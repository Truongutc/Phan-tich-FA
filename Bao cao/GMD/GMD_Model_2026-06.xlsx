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ver" sheetId="1" state="visible" r:id="rId1"/>
    <sheet name="02_Assumptions" sheetId="2" state="visible" r:id="rId2"/>
    <sheet name="03_PnL" sheetId="3" state="visible" r:id="rId3"/>
    <sheet name="04_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MÔ HÌNH PHÂN TÍCH TÀI CHÍNH &amp; ĐỊNH GIÁ GMD</t>
        </is>
      </c>
    </row>
    <row r="3">
      <c r="B3" s="2" t="inlineStr">
        <is>
          <t>Công ty Cổ phần Tập đoàn Gemadept</t>
        </is>
      </c>
    </row>
    <row r="5">
      <c r="B5" t="inlineStr">
        <is>
          <t>Giá hiện tại:</t>
        </is>
      </c>
      <c r="C5" s="3" t="n">
        <v>10000</v>
      </c>
    </row>
    <row r="6">
      <c r="B6" t="inlineStr">
        <is>
          <t>Số lượng CP lưu hành:</t>
        </is>
      </c>
      <c r="C6" s="3" t="n">
        <v>10000000</v>
      </c>
    </row>
    <row r="7">
      <c r="B7" t="inlineStr">
        <is>
          <t>Vốn hóa thị trường (tỷ):</t>
        </is>
      </c>
      <c r="C7" s="4">
        <f>C5*C6/1000000000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Tham số giả định</t>
        </is>
      </c>
      <c r="B1" t="inlineStr">
        <is>
          <t>Giá trị</t>
        </is>
      </c>
    </row>
    <row r="2">
      <c r="A2" t="inlineStr">
        <is>
          <t>Tốc độ tăng trưởng DT dài hạn (g)</t>
        </is>
      </c>
      <c r="B2" s="5" t="n">
        <v>0.1728532740831309</v>
      </c>
    </row>
    <row r="3">
      <c r="A3" t="inlineStr">
        <is>
          <t>Biên lợi nhuận ròng dự báo</t>
        </is>
      </c>
      <c r="B3" s="5" t="n">
        <v>0.3</v>
      </c>
    </row>
    <row r="4">
      <c r="A4" t="inlineStr">
        <is>
          <t>P/E Mục tiêu</t>
        </is>
      </c>
      <c r="B4" s="6" t="n">
        <v>12</v>
      </c>
    </row>
    <row r="5">
      <c r="A5" t="inlineStr">
        <is>
          <t>P/B Mục tiêu</t>
        </is>
      </c>
      <c r="B5" s="6" t="n">
        <v>1.5</v>
      </c>
    </row>
    <row r="6">
      <c r="A6" t="inlineStr">
        <is>
          <t>Số lượng cổ phiếu</t>
        </is>
      </c>
      <c r="B6" s="3" t="n">
        <v>10000000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Chỉ tiêu P&amp;L (tỷ VND)</t>
        </is>
      </c>
      <c r="B1" t="inlineStr">
        <is>
          <t>2021A</t>
        </is>
      </c>
      <c r="C1" t="inlineStr">
        <is>
          <t>2022A</t>
        </is>
      </c>
      <c r="D1" t="inlineStr">
        <is>
          <t>2023A</t>
        </is>
      </c>
      <c r="E1" t="inlineStr">
        <is>
          <t>2024A</t>
        </is>
      </c>
      <c r="F1" t="inlineStr">
        <is>
          <t>2025A</t>
        </is>
      </c>
      <c r="G1" t="inlineStr">
        <is>
          <t>2026E</t>
        </is>
      </c>
      <c r="H1" t="inlineStr">
        <is>
          <t>2027E</t>
        </is>
      </c>
    </row>
    <row r="2">
      <c r="A2" t="inlineStr">
        <is>
          <t>Doanh thu thuần</t>
        </is>
      </c>
      <c r="B2" s="4" t="n">
        <v>3206.290165333</v>
      </c>
      <c r="C2" s="4" t="n">
        <v>3898.24360857</v>
      </c>
      <c r="D2" s="4" t="n">
        <v>3845.826296568</v>
      </c>
      <c r="E2" s="4" t="n">
        <v>4832.024798961</v>
      </c>
      <c r="F2" s="4" t="n">
        <v>5956.025297015</v>
      </c>
      <c r="G2" s="4">
        <f>F2*(1+'02_Assumptions'!$B$2)</f>
        <v/>
      </c>
      <c r="H2" s="4">
        <f>G2*(1+'02_Assumptions'!$B$2)</f>
        <v/>
      </c>
    </row>
    <row r="3">
      <c r="A3" t="inlineStr">
        <is>
          <t>Giá vốn hàng bán</t>
        </is>
      </c>
      <c r="B3" s="4" t="n">
        <v>2064.489230639</v>
      </c>
      <c r="C3" s="4" t="n">
        <v>2180.183031483</v>
      </c>
      <c r="D3" s="4" t="n">
        <v>2067.811109265</v>
      </c>
      <c r="E3" s="4" t="n">
        <v>2696.544401941</v>
      </c>
      <c r="F3" s="4" t="n">
        <v>3216.552758085</v>
      </c>
      <c r="G3" s="4">
        <f>G2*0.75</f>
        <v/>
      </c>
      <c r="H3" s="4">
        <f>H2*0.75</f>
        <v/>
      </c>
    </row>
    <row r="4">
      <c r="A4" t="inlineStr">
        <is>
          <t>Lợi nhuận gộp</t>
        </is>
      </c>
      <c r="B4" s="4" t="n">
        <v>1141.800934694</v>
      </c>
      <c r="C4" s="4" t="n">
        <v>1718.060577087</v>
      </c>
      <c r="D4" s="4" t="n">
        <v>1778.015187303</v>
      </c>
      <c r="E4" s="4" t="n">
        <v>2135.48039702</v>
      </c>
      <c r="F4" s="4" t="n">
        <v>2739.472538930001</v>
      </c>
      <c r="G4" s="4">
        <f>G2-G3</f>
        <v/>
      </c>
      <c r="H4" s="4">
        <f>H2-H3</f>
        <v/>
      </c>
    </row>
    <row r="5">
      <c r="A5" t="inlineStr">
        <is>
          <t>Lợi nhuận sau thuế (LNST)</t>
        </is>
      </c>
      <c r="B5" s="4" t="n">
        <v>612.182073397</v>
      </c>
      <c r="C5" s="4" t="n">
        <v>993.915564733</v>
      </c>
      <c r="D5" s="4" t="n">
        <v>2250.57733992</v>
      </c>
      <c r="E5" s="4" t="n">
        <v>1455.479595602</v>
      </c>
      <c r="F5" s="4" t="n">
        <v>1755.629825296</v>
      </c>
      <c r="G5" s="4">
        <f>G2*'02_Assumptions'!$B$3</f>
        <v/>
      </c>
      <c r="H5" s="4">
        <f>H2*'02_Assumptions'!$B$3</f>
        <v/>
      </c>
    </row>
    <row r="6">
      <c r="A6" t="inlineStr">
        <is>
          <t>EPS (VND)</t>
        </is>
      </c>
      <c r="B6" s="3" t="n">
        <v>1869</v>
      </c>
      <c r="C6" s="3" t="n">
        <v>3034</v>
      </c>
      <c r="D6" s="3" t="n">
        <v>7207</v>
      </c>
      <c r="E6" s="3" t="n">
        <v>4276</v>
      </c>
      <c r="F6" s="3" t="n">
        <v>3839</v>
      </c>
      <c r="G6" s="3">
        <f>G5*1000000000/'02_Assumptions'!$B$6</f>
        <v/>
      </c>
      <c r="H6" s="3">
        <f>H5*1000000000/'02_Assumptions'!$B$6</f>
        <v/>
      </c>
    </row>
    <row r="7">
      <c r="A7" t="inlineStr">
        <is>
          <t>Vốn chủ sở hữu (VCSH)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>
        <f>F7+G5*0.7</f>
        <v/>
      </c>
      <c r="H7" s="4">
        <f>G7+H5*0.7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Chỉ số tài chính</t>
        </is>
      </c>
      <c r="B1" t="inlineStr">
        <is>
          <t>2021A</t>
        </is>
      </c>
      <c r="C1" t="inlineStr">
        <is>
          <t>2022A</t>
        </is>
      </c>
      <c r="D1" t="inlineStr">
        <is>
          <t>2023A</t>
        </is>
      </c>
      <c r="E1" t="inlineStr">
        <is>
          <t>2024A</t>
        </is>
      </c>
      <c r="F1" t="inlineStr">
        <is>
          <t>2025A</t>
        </is>
      </c>
      <c r="G1" t="inlineStr">
        <is>
          <t>2026E</t>
        </is>
      </c>
      <c r="H1" t="inlineStr">
        <is>
          <t>2027E</t>
        </is>
      </c>
    </row>
    <row r="2">
      <c r="A2" t="inlineStr">
        <is>
          <t>Biên lợi nhuận gộp (%)</t>
        </is>
      </c>
      <c r="B2" s="5">
        <f>'03_PnL'!B4/'03_PnL'!B2</f>
        <v/>
      </c>
      <c r="C2" s="5">
        <f>'03_PnL'!C4/'03_PnL'!C2</f>
        <v/>
      </c>
      <c r="D2" s="5">
        <f>'03_PnL'!D4/'03_PnL'!D2</f>
        <v/>
      </c>
      <c r="E2" s="5">
        <f>'03_PnL'!E4/'03_PnL'!E2</f>
        <v/>
      </c>
      <c r="F2" s="5">
        <f>'03_PnL'!F4/'03_PnL'!F2</f>
        <v/>
      </c>
      <c r="G2" s="5">
        <f>'03_PnL'!G4/'03_PnL'!G2</f>
        <v/>
      </c>
      <c r="H2" s="5">
        <f>'03_PnL'!H4/'03_PnL'!H2</f>
        <v/>
      </c>
    </row>
    <row r="3">
      <c r="A3" t="inlineStr">
        <is>
          <t>Biên lợi nhuận ròng (%)</t>
        </is>
      </c>
      <c r="B3" s="5">
        <f>'03_PnL'!B5/'03_PnL'!B2</f>
        <v/>
      </c>
      <c r="C3" s="5">
        <f>'03_PnL'!C5/'03_PnL'!C2</f>
        <v/>
      </c>
      <c r="D3" s="5">
        <f>'03_PnL'!D5/'03_PnL'!D2</f>
        <v/>
      </c>
      <c r="E3" s="5">
        <f>'03_PnL'!E5/'03_PnL'!E2</f>
        <v/>
      </c>
      <c r="F3" s="5">
        <f>'03_PnL'!F5/'03_PnL'!F2</f>
        <v/>
      </c>
      <c r="G3" s="5">
        <f>'03_PnL'!G5/'03_PnL'!G2</f>
        <v/>
      </c>
      <c r="H3" s="5">
        <f>'03_PnL'!H5/'03_PnL'!H2</f>
        <v/>
      </c>
    </row>
    <row r="4">
      <c r="A4" t="inlineStr">
        <is>
          <t>Hiệu suất sử dụng vốn (ROE)</t>
        </is>
      </c>
      <c r="B4" s="5">
        <f>'03_PnL'!B5/'03_PnL'!B7</f>
        <v/>
      </c>
      <c r="C4" s="5">
        <f>'03_PnL'!C5/'03_PnL'!C7</f>
        <v/>
      </c>
      <c r="D4" s="5">
        <f>'03_PnL'!D5/'03_PnL'!D7</f>
        <v/>
      </c>
      <c r="E4" s="5">
        <f>'03_PnL'!E5/'03_PnL'!E7</f>
        <v/>
      </c>
      <c r="F4" s="5">
        <f>'03_PnL'!F5/'03_PnL'!F7</f>
        <v/>
      </c>
      <c r="G4" s="5">
        <f>'03_PnL'!G5/'03_PnL'!G7</f>
        <v/>
      </c>
      <c r="H4" s="5">
        <f>'03_PnL'!H5/'03_PnL'!H7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2026-06-28T17:42:22Z</dcterms:created>
  <dcterms:modified xsi:type="dcterms:W3CDTF">2026-06-28T17:42:22Z</dcterms:modified>
</cp:coreProperties>
</file>