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E" sheetId="1" state="visible" r:id="rId1"/>
    <sheet xmlns:r="http://schemas.openxmlformats.org/officeDocument/2006/relationships" name="01_Cover" sheetId="2" state="visible" r:id="rId2"/>
    <sheet xmlns:r="http://schemas.openxmlformats.org/officeDocument/2006/relationships" name="02_Assumptions" sheetId="3" state="visible" r:id="rId3"/>
    <sheet xmlns:r="http://schemas.openxmlformats.org/officeDocument/2006/relationships" name="03_Income_Model" sheetId="4" state="visible" r:id="rId4"/>
    <sheet xmlns:r="http://schemas.openxmlformats.org/officeDocument/2006/relationships" name="04_PnL_Quarterly" sheetId="5" state="visible" r:id="rId5"/>
    <sheet xmlns:r="http://schemas.openxmlformats.org/officeDocument/2006/relationships" name="04_PnL" sheetId="6" state="visible" r:id="rId6"/>
    <sheet xmlns:r="http://schemas.openxmlformats.org/officeDocument/2006/relationships" name="05_Balance_Sheet_Quarterly" sheetId="7" state="visible" r:id="rId7"/>
    <sheet xmlns:r="http://schemas.openxmlformats.org/officeDocument/2006/relationships" name="05_Balance_Sheet" sheetId="8" state="visible" r:id="rId8"/>
    <sheet xmlns:r="http://schemas.openxmlformats.org/officeDocument/2006/relationships" name="06_Ratios_Quarterly" sheetId="9" state="visible" r:id="rId9"/>
    <sheet xmlns:r="http://schemas.openxmlformats.org/officeDocument/2006/relationships" name="06_Ratios" sheetId="10" state="visible" r:id="rId10"/>
    <sheet xmlns:r="http://schemas.openxmlformats.org/officeDocument/2006/relationships" name="07_Valuation" sheetId="11" state="visible" r:id="rId11"/>
    <sheet xmlns:r="http://schemas.openxmlformats.org/officeDocument/2006/relationships" name="08_Sensitivity" sheetId="12" state="visible" r:id="rId12"/>
    <sheet xmlns:r="http://schemas.openxmlformats.org/officeDocument/2006/relationships" name="09_PESTLE" sheetId="13" state="visible" r:id="rId13"/>
    <sheet xmlns:r="http://schemas.openxmlformats.org/officeDocument/2006/relationships" name="10_Leading_Indicators" sheetId="14" state="visible" r:id="rId14"/>
    <sheet xmlns:r="http://schemas.openxmlformats.org/officeDocument/2006/relationships" name="11_Investment_Thesis" sheetId="15" state="visible" r:id="rId15"/>
    <sheet xmlns:r="http://schemas.openxmlformats.org/officeDocument/2006/relationships" name="12_Summary_Snapshot" sheetId="16" state="visible" r:id="rId16"/>
    <sheet xmlns:r="http://schemas.openxmlformats.org/officeDocument/2006/relationships" name="13_PE_PB_Histo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000"/>
    <numFmt numFmtId="166" formatCode="0.0%"/>
    <numFmt numFmtId="167" formatCode="0.0"/>
  </numFmts>
  <fonts count="11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6"/>
    </font>
    <font>
      <name val="Calibri"/>
      <i val="1"/>
      <sz val="12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006400"/>
    </font>
    <font>
      <name val="Calibri"/>
      <color rgb="00006400"/>
      <sz val="9"/>
    </font>
    <font>
      <name val="Calibri"/>
      <color rgb="00595959"/>
      <sz val="9"/>
    </font>
    <font>
      <name val="Calibri"/>
      <b val="1"/>
      <color rgb="00C00000"/>
    </font>
    <font>
      <name val="Calibri"/>
      <color rgb="00C00000"/>
      <sz val="9"/>
    </font>
  </fonts>
  <fills count="5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4472C4"/>
        <bgColor rgb="004472C4"/>
      </patternFill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  <xf numFmtId="1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3" fontId="4" fillId="0" borderId="0" pivotButton="0" quotePrefix="0" xfId="0"/>
    <xf numFmtId="3" fontId="1" fillId="0" borderId="0" pivotButton="0" quotePrefix="0" xfId="0"/>
    <xf numFmtId="10" fontId="1" fillId="0" borderId="0" pivotButton="0" quotePrefix="0" xfId="0"/>
    <xf numFmtId="0" fontId="5" fillId="3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3" fontId="4" fillId="0" borderId="1" applyAlignment="1" pivotButton="0" quotePrefix="0" xfId="0">
      <alignment horizontal="center"/>
    </xf>
    <xf numFmtId="10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3" fontId="0" fillId="0" borderId="0" pivotButton="0" quotePrefix="0" xfId="0"/>
    <xf numFmtId="2" fontId="0" fillId="0" borderId="0" pivotButton="0" quotePrefix="0" xfId="0"/>
    <xf numFmtId="2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2" fontId="9" fillId="0" borderId="0" pivotButton="0" quotePrefix="0" xfId="0"/>
    <xf numFmtId="0" fontId="1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166" fontId="0" fillId="0" borderId="0" pivotButton="0" quotePrefix="0" xfId="0"/>
    <xf numFmtId="3" fontId="0" fillId="4" borderId="0" pivotButton="0" quotePrefix="0" xfId="0"/>
    <xf numFmtId="0" fontId="1" fillId="0" borderId="1" pivotButton="0" quotePrefix="0" xfId="0"/>
    <xf numFmtId="167" fontId="1" fillId="0" borderId="1" pivotButton="0" quotePrefix="0" xfId="0"/>
    <xf numFmtId="2" fontId="1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30" customWidth="1" min="3" max="3"/>
  </cols>
  <sheetData>
    <row r="1">
      <c r="A1" s="1" t="inlineStr">
        <is>
          <t>CHI PHÍ VỐN CSH (COE) — MÔ HÌNH CAPM</t>
        </is>
      </c>
    </row>
    <row r="3">
      <c r="A3" s="1" t="inlineStr">
        <is>
          <t>Tham số</t>
        </is>
      </c>
      <c r="B3" s="1" t="inlineStr">
        <is>
          <t>Giá trị</t>
        </is>
      </c>
    </row>
    <row r="4">
      <c r="A4" t="inlineStr">
        <is>
          <t>Rf — Lãi suất phi rủi ro</t>
        </is>
      </c>
      <c r="B4" s="2" t="n">
        <v>0.045</v>
      </c>
    </row>
    <row r="5">
      <c r="A5" t="inlineStr">
        <is>
          <t>β  — Hệ số Beta</t>
        </is>
      </c>
      <c r="B5" t="n">
        <v>0.88</v>
      </c>
    </row>
    <row r="6">
      <c r="A6" t="inlineStr">
        <is>
          <t>ERP — Phần bù rủi ro vốn</t>
        </is>
      </c>
      <c r="B6" s="2" t="n">
        <v>0.07000000000000001</v>
      </c>
    </row>
    <row r="7">
      <c r="A7" t="inlineStr">
        <is>
          <t>α  — Phần bù rủi ro đặc thù (Frontier/Bank)</t>
        </is>
      </c>
      <c r="B7" s="2" t="n">
        <v>0.02</v>
      </c>
    </row>
    <row r="9">
      <c r="A9" s="1" t="inlineStr">
        <is>
          <t>COE = Rf + β × ERP + α</t>
        </is>
      </c>
      <c r="B9" s="3">
        <f>B4+B5*B6+B7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8"/>
  <sheetViews>
    <sheetView showGridLines="1" workbookViewId="0">
      <selection activeCell="A1" sqref="A1"/>
    </sheetView>
  </sheetViews>
  <sheetFormatPr baseColWidth="8" defaultRowHeight="15"/>
  <sheetData>
    <row r="2">
      <c r="B2" s="4" t="inlineStr">
        <is>
          <t>PHÂN TÍCH CỔ PHIẾU NGÂN HÀNG: HDB</t>
        </is>
      </c>
    </row>
    <row r="3">
      <c r="B3" s="5" t="inlineStr">
        <is>
          <t>Ngân hàng Thương mại Cổ phần Phát Triển Thành phố Hồ Chí Minh</t>
        </is>
      </c>
    </row>
    <row r="5">
      <c r="B5" t="inlineStr">
        <is>
          <t>Giá hiện tại (VND):</t>
        </is>
      </c>
      <c r="C5" s="6">
        <f>'02_Assumptions'!B2</f>
        <v/>
      </c>
    </row>
    <row r="6">
      <c r="B6" t="inlineStr">
        <is>
          <t>Giá mục tiêu (VND):</t>
        </is>
      </c>
      <c r="C6" s="7">
        <f>'07_Valuation'!B21</f>
        <v/>
      </c>
    </row>
    <row r="7">
      <c r="B7" t="inlineStr">
        <is>
          <t>Upside:</t>
        </is>
      </c>
      <c r="C7" s="8">
        <f>'07_Valuation'!B23</f>
        <v/>
      </c>
    </row>
    <row r="8">
      <c r="B8" t="inlineStr">
        <is>
          <t>Khuyến nghị:</t>
        </is>
      </c>
      <c r="C8" s="1">
        <f>IF('07_Valuation'!B23&gt;0.15,"MUA",IF('07_Valuation'!B23&lt;-0.05,"BÁN","THEO DÕI"))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Chỉ tiêu</t>
        </is>
      </c>
      <c r="B1" s="9" t="inlineStr">
        <is>
          <t>2021</t>
        </is>
      </c>
      <c r="C1" s="9" t="inlineStr">
        <is>
          <t>2022</t>
        </is>
      </c>
      <c r="D1" s="9" t="inlineStr">
        <is>
          <t>2023</t>
        </is>
      </c>
      <c r="E1" s="9" t="inlineStr">
        <is>
          <t>2024</t>
        </is>
      </c>
      <c r="F1" s="9" t="inlineStr">
        <is>
          <t>2025</t>
        </is>
      </c>
      <c r="G1" s="9" t="inlineStr">
        <is>
          <t>2026F</t>
        </is>
      </c>
      <c r="H1" s="9" t="inlineStr">
        <is>
          <t>2027F</t>
        </is>
      </c>
      <c r="I1" s="9" t="inlineStr">
        <is>
          <t>2028F</t>
        </is>
      </c>
    </row>
    <row r="2">
      <c r="A2" s="10" t="inlineStr">
        <is>
          <t>Giá cổ phiếu (VND)</t>
        </is>
      </c>
      <c r="B2" s="11" t="n">
        <v>25400</v>
      </c>
      <c r="C2" s="10" t="n"/>
      <c r="D2" s="10" t="n"/>
      <c r="E2" s="10" t="n"/>
      <c r="F2" s="10" t="n"/>
      <c r="G2" s="10" t="n"/>
      <c r="H2" s="10" t="n"/>
      <c r="I2" s="10" t="n"/>
    </row>
    <row r="3">
      <c r="A3" s="10" t="inlineStr">
        <is>
          <t>Số lượng CP lưu hành</t>
        </is>
      </c>
      <c r="B3" s="11" t="n">
        <v>5132772600</v>
      </c>
      <c r="C3" s="10" t="n"/>
      <c r="D3" s="10" t="n"/>
      <c r="E3" s="10" t="n"/>
      <c r="F3" s="10" t="n"/>
      <c r="G3" s="10" t="n"/>
      <c r="H3" s="10" t="n"/>
      <c r="I3" s="10" t="n"/>
    </row>
    <row r="4">
      <c r="A4" s="10" t="inlineStr">
        <is>
          <t>Tín dụng tăng trưởng (%)</t>
        </is>
      </c>
      <c r="B4" s="10" t="n"/>
      <c r="C4" s="10" t="n"/>
      <c r="D4" s="10" t="n"/>
      <c r="E4" s="10" t="n"/>
      <c r="F4" s="10" t="n"/>
      <c r="G4" s="12" t="n">
        <v>0.14</v>
      </c>
      <c r="H4" s="12" t="n">
        <v>0.13</v>
      </c>
      <c r="I4" s="12" t="n">
        <v>0.12</v>
      </c>
    </row>
    <row r="5">
      <c r="A5" s="10" t="inlineStr">
        <is>
          <t>Huy động tăng trưởng (%)</t>
        </is>
      </c>
      <c r="B5" s="10" t="n"/>
      <c r="C5" s="10" t="n"/>
      <c r="D5" s="10" t="n"/>
      <c r="E5" s="10" t="n"/>
      <c r="F5" s="10" t="n"/>
      <c r="G5" s="12" t="n">
        <v>0.12</v>
      </c>
      <c r="H5" s="12" t="n">
        <v>0.11</v>
      </c>
      <c r="I5" s="12" t="n">
        <v>0.1</v>
      </c>
    </row>
    <row r="6">
      <c r="A6" s="10" t="inlineStr">
        <is>
          <t>NIM (%)</t>
        </is>
      </c>
      <c r="B6" s="12" t="n">
        <v>0.0413</v>
      </c>
      <c r="C6" s="12" t="n">
        <v>0.0508</v>
      </c>
      <c r="D6" s="12" t="n">
        <v>0.0495</v>
      </c>
      <c r="E6" s="12" t="n">
        <v>0.0541</v>
      </c>
      <c r="F6" s="12" t="n">
        <v>0.0469</v>
      </c>
      <c r="G6" s="12" t="n">
        <v>0.0492</v>
      </c>
      <c r="H6" s="12" t="n">
        <v>0.0507</v>
      </c>
      <c r="I6" s="12" t="n">
        <v>0.0516</v>
      </c>
    </row>
    <row r="7">
      <c r="A7" s="10" t="inlineStr">
        <is>
          <t>CIR (%)</t>
        </is>
      </c>
      <c r="B7" s="12" t="n">
        <v>0.3809</v>
      </c>
      <c r="C7" s="12" t="n">
        <v>0.3929</v>
      </c>
      <c r="D7" s="12" t="n">
        <v>0.3456</v>
      </c>
      <c r="E7" s="12" t="n">
        <v>0.352</v>
      </c>
      <c r="F7" s="12" t="n">
        <v>0.2717</v>
      </c>
      <c r="G7" s="12" t="n">
        <v>0.33</v>
      </c>
      <c r="H7" s="12" t="n">
        <v>0.32</v>
      </c>
      <c r="I7" s="12" t="n">
        <v>0.32</v>
      </c>
    </row>
    <row r="8">
      <c r="A8" s="10" t="inlineStr">
        <is>
          <t>CoC - Credit Cost (%)</t>
        </is>
      </c>
      <c r="B8" s="12" t="n">
        <v>0.0115</v>
      </c>
      <c r="C8" s="12" t="n">
        <v>0.0133</v>
      </c>
      <c r="D8" s="12" t="n">
        <v>0.0142</v>
      </c>
      <c r="E8" s="12" t="n">
        <v>0.0137</v>
      </c>
      <c r="F8" s="12" t="n">
        <v>0.02</v>
      </c>
      <c r="G8" s="12" t="n">
        <v>0.019</v>
      </c>
      <c r="H8" s="12" t="n">
        <v>0.018</v>
      </c>
      <c r="I8" s="12" t="n">
        <v>0.017</v>
      </c>
    </row>
    <row r="9">
      <c r="A9" s="10" t="inlineStr">
        <is>
          <t>NPL ratio (%)</t>
        </is>
      </c>
      <c r="B9" s="12" t="n">
        <v>0.0167</v>
      </c>
      <c r="C9" s="12" t="n">
        <v>0.0169</v>
      </c>
      <c r="D9" s="12" t="n">
        <v>0.0182</v>
      </c>
      <c r="E9" s="12" t="n">
        <v>0.0196</v>
      </c>
      <c r="F9" s="12" t="n">
        <v>0.0247</v>
      </c>
      <c r="G9" s="12" t="n">
        <v>0.0235</v>
      </c>
      <c r="H9" s="12" t="n">
        <v>0.0222</v>
      </c>
      <c r="I9" s="12" t="n">
        <v>0.021</v>
      </c>
    </row>
    <row r="10">
      <c r="A10" s="10" t="inlineStr">
        <is>
          <t>CASA ratio (%)</t>
        </is>
      </c>
      <c r="B10" s="12" t="n">
        <v>0.1305</v>
      </c>
      <c r="C10" s="12" t="n">
        <v>0.103</v>
      </c>
      <c r="D10" s="12" t="n">
        <v>0.1088</v>
      </c>
      <c r="E10" s="12" t="n">
        <v>0.1177</v>
      </c>
      <c r="F10" s="12" t="n">
        <v>0.121</v>
      </c>
      <c r="G10" s="12" t="n">
        <v>0.131</v>
      </c>
      <c r="H10" s="12" t="n">
        <v>0.141</v>
      </c>
      <c r="I10" s="12" t="n">
        <v>0.151</v>
      </c>
    </row>
    <row r="11">
      <c r="A11" s="10" t="inlineStr">
        <is>
          <t>Tăng trưởng non-TOI (%)</t>
        </is>
      </c>
      <c r="B11" s="10" t="n"/>
      <c r="C11" s="10" t="n"/>
      <c r="D11" s="10" t="n"/>
      <c r="E11" s="10" t="n"/>
      <c r="F11" s="10" t="n"/>
      <c r="G11" s="12" t="n">
        <v>0.15</v>
      </c>
      <c r="H11" s="12" t="n">
        <v>0.15</v>
      </c>
      <c r="I11" s="12" t="n">
        <v>0.14</v>
      </c>
    </row>
    <row r="12">
      <c r="A12" s="10" t="inlineStr">
        <is>
          <t>Chi phí vốn CSH (COE)</t>
        </is>
      </c>
      <c r="B12" s="10" t="n"/>
      <c r="C12" s="10" t="n"/>
      <c r="D12" s="10" t="n"/>
      <c r="E12" s="10" t="n"/>
      <c r="F12" s="10" t="n"/>
      <c r="G12" s="12" t="n">
        <v>0.1266</v>
      </c>
      <c r="H12" s="12" t="n">
        <v>0.1266</v>
      </c>
      <c r="I12" s="12" t="n">
        <v>0.1266</v>
      </c>
    </row>
    <row r="13">
      <c r="A13" s="10" t="inlineStr">
        <is>
          <t>Tăng trưởng dài hạn (g)</t>
        </is>
      </c>
      <c r="B13" s="10" t="n"/>
      <c r="C13" s="10" t="n"/>
      <c r="D13" s="10" t="n"/>
      <c r="E13" s="10" t="n"/>
      <c r="F13" s="10" t="n"/>
      <c r="G13" s="10" t="n"/>
      <c r="H13" s="10" t="n"/>
      <c r="I13" s="12" t="n">
        <v>0.03</v>
      </c>
    </row>
    <row r="14">
      <c r="A14" s="10" t="inlineStr">
        <is>
          <t>Thuế suất (%)</t>
        </is>
      </c>
      <c r="B14" s="10" t="n"/>
      <c r="C14" s="10" t="n"/>
      <c r="D14" s="10" t="n"/>
      <c r="E14" s="10" t="n"/>
      <c r="F14" s="10" t="n"/>
      <c r="G14" s="12" t="n">
        <v>0.2</v>
      </c>
      <c r="H14" s="12" t="n">
        <v>0.2</v>
      </c>
      <c r="I14" s="12" t="n">
        <v>0.2</v>
      </c>
    </row>
    <row r="15">
      <c r="A15" s="10" t="inlineStr">
        <is>
          <t>P/B mục tiêu (x)</t>
        </is>
      </c>
      <c r="B15" s="10" t="n"/>
      <c r="C15" s="10" t="n"/>
      <c r="D15" s="10" t="n"/>
      <c r="E15" s="10" t="n"/>
      <c r="F15" s="10" t="n"/>
      <c r="G15" s="13" t="n">
        <v>1.6648450848</v>
      </c>
      <c r="H15" s="13" t="n">
        <v>1.6648450848</v>
      </c>
      <c r="I15" s="13" t="n">
        <v>1.6648450848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Chỉ tiêu</t>
        </is>
      </c>
      <c r="B1" s="9" t="inlineStr">
        <is>
          <t>2021</t>
        </is>
      </c>
      <c r="C1" s="9" t="inlineStr">
        <is>
          <t>2022</t>
        </is>
      </c>
      <c r="D1" s="9" t="inlineStr">
        <is>
          <t>2023</t>
        </is>
      </c>
      <c r="E1" s="9" t="inlineStr">
        <is>
          <t>2024</t>
        </is>
      </c>
      <c r="F1" s="9" t="inlineStr">
        <is>
          <t>2025</t>
        </is>
      </c>
      <c r="G1" s="9" t="inlineStr">
        <is>
          <t>2026F</t>
        </is>
      </c>
      <c r="H1" s="9" t="inlineStr">
        <is>
          <t>2027F</t>
        </is>
      </c>
      <c r="I1" s="9" t="inlineStr">
        <is>
          <t>2028F</t>
        </is>
      </c>
    </row>
    <row r="2">
      <c r="A2" s="10" t="inlineStr">
        <is>
          <t>IEA bình quân (tỷ)</t>
        </is>
      </c>
      <c r="B2" s="13" t="n">
        <v>336508.493</v>
      </c>
      <c r="C2" s="13" t="n">
        <v>354698.0719999999</v>
      </c>
      <c r="D2" s="13" t="n">
        <v>448568.1614999999</v>
      </c>
      <c r="E2" s="13" t="n">
        <v>570496.036</v>
      </c>
      <c r="F2" s="13" t="n">
        <v>740461.202</v>
      </c>
      <c r="G2" s="13" t="n">
        <v>920350.6392600001</v>
      </c>
      <c r="H2" s="13" t="n">
        <v>1035113.6109912</v>
      </c>
      <c r="I2" s="13" t="n">
        <v>1153858.719572832</v>
      </c>
    </row>
    <row r="3">
      <c r="A3" s="10" t="inlineStr">
        <is>
          <t>IEA tăng trưởng (%)</t>
        </is>
      </c>
      <c r="B3" s="10" t="n"/>
      <c r="C3" s="12" t="n">
        <v>0.1081</v>
      </c>
      <c r="D3" s="12" t="n">
        <v>0.4059</v>
      </c>
      <c r="E3" s="12" t="n">
        <v>0.1764</v>
      </c>
      <c r="F3" s="12" t="n">
        <v>0.4012</v>
      </c>
      <c r="G3" s="12" t="n">
        <v>0.13</v>
      </c>
      <c r="H3" s="12" t="n">
        <v>0.12</v>
      </c>
      <c r="I3" s="12" t="n">
        <v>0.11</v>
      </c>
    </row>
    <row r="4">
      <c r="A4" s="10" t="inlineStr">
        <is>
          <t>NIM (%)</t>
        </is>
      </c>
      <c r="B4" s="13" t="n">
        <v>0.0413</v>
      </c>
      <c r="C4" s="13" t="n">
        <v>0.0508</v>
      </c>
      <c r="D4" s="13" t="n">
        <v>0.0495</v>
      </c>
      <c r="E4" s="13" t="n">
        <v>0.0541</v>
      </c>
      <c r="F4" s="13" t="n">
        <v>0.0469</v>
      </c>
      <c r="G4" s="13" t="n">
        <v>0.0492</v>
      </c>
      <c r="H4" s="13" t="n">
        <v>0.0507</v>
      </c>
      <c r="I4" s="13" t="n">
        <v>0.0516</v>
      </c>
    </row>
    <row r="5">
      <c r="A5" s="10" t="inlineStr">
        <is>
          <t>NII (tỷ)</t>
        </is>
      </c>
      <c r="B5" s="13" t="n">
        <v>13890.777</v>
      </c>
      <c r="C5" s="13" t="n">
        <v>18011.568</v>
      </c>
      <c r="D5" s="13" t="n">
        <v>22183.974</v>
      </c>
      <c r="E5" s="13" t="n">
        <v>30857.076</v>
      </c>
      <c r="F5" s="13" t="n">
        <v>34746.19</v>
      </c>
      <c r="G5" s="13">
        <f>G2*'02_Assumptions'!G6</f>
        <v/>
      </c>
      <c r="H5" s="13">
        <f>H2*'02_Assumptions'!H6</f>
        <v/>
      </c>
      <c r="I5" s="13">
        <f>I2*'02_Assumptions'!I6</f>
        <v/>
      </c>
    </row>
    <row r="6">
      <c r="A6" s="10" t="inlineStr">
        <is>
          <t>Thu nhập dịch vụ</t>
        </is>
      </c>
      <c r="B6" s="13" t="n">
        <v>1927.438</v>
      </c>
      <c r="C6" s="13" t="n">
        <v>2956.818</v>
      </c>
      <c r="D6" s="13" t="n">
        <v>2187.802</v>
      </c>
      <c r="E6" s="13" t="n">
        <v>1416.578</v>
      </c>
      <c r="F6" s="13" t="n">
        <v>4126.04</v>
      </c>
      <c r="G6" s="10" t="n"/>
      <c r="H6" s="10" t="n"/>
      <c r="I6" s="10" t="n"/>
    </row>
    <row r="7">
      <c r="A7" s="10" t="inlineStr">
        <is>
          <t>Thu nhập ngoại hối</t>
        </is>
      </c>
      <c r="B7" s="13" t="n">
        <v>179.248</v>
      </c>
      <c r="C7" s="13" t="n">
        <v>134.237</v>
      </c>
      <c r="D7" s="13" t="n">
        <v>564.703</v>
      </c>
      <c r="E7" s="13" t="n">
        <v>843.813</v>
      </c>
      <c r="F7" s="13" t="n">
        <v>1272.182</v>
      </c>
      <c r="G7" s="10" t="n"/>
      <c r="H7" s="10" t="n"/>
      <c r="I7" s="10" t="n"/>
    </row>
    <row r="8">
      <c r="A8" s="10" t="inlineStr">
        <is>
          <t>Thu nhập CK đầu tư</t>
        </is>
      </c>
      <c r="B8" s="13" t="n">
        <v>578.145</v>
      </c>
      <c r="C8" s="13" t="n">
        <v>329.606</v>
      </c>
      <c r="D8" s="13" t="n">
        <v>1208.728</v>
      </c>
      <c r="E8" s="13" t="n">
        <v>137.182</v>
      </c>
      <c r="F8" s="13" t="n">
        <v>1495.37</v>
      </c>
      <c r="G8" s="10" t="n"/>
      <c r="H8" s="10" t="n"/>
      <c r="I8" s="10" t="n"/>
    </row>
    <row r="9">
      <c r="A9" s="10" t="inlineStr">
        <is>
          <t>Thu nhập khác</t>
        </is>
      </c>
      <c r="B9" s="13" t="n">
        <v>182.637</v>
      </c>
      <c r="C9" s="13" t="n">
        <v>528.09</v>
      </c>
      <c r="D9" s="13" t="n">
        <v>259.153</v>
      </c>
      <c r="E9" s="13" t="n">
        <v>705.871</v>
      </c>
      <c r="F9" s="13" t="n">
        <v>736.6180000000001</v>
      </c>
      <c r="G9" s="10" t="n"/>
      <c r="H9" s="10" t="n"/>
      <c r="I9" s="10" t="n"/>
    </row>
    <row r="10">
      <c r="A10" s="10" t="inlineStr">
        <is>
          <t>Tổng thu nhập ngoài lãi</t>
        </is>
      </c>
      <c r="B10" s="13" t="n">
        <v>2867.467999999999</v>
      </c>
      <c r="C10" s="13" t="n">
        <v>3955.536</v>
      </c>
      <c r="D10" s="13" t="n">
        <v>4229.711000000003</v>
      </c>
      <c r="E10" s="13" t="n">
        <v>3175.108</v>
      </c>
      <c r="F10" s="13" t="n">
        <v>7949.682000000001</v>
      </c>
      <c r="G10" s="13" t="n">
        <v>9142.1343</v>
      </c>
      <c r="H10" s="13" t="n">
        <v>10513.454445</v>
      </c>
      <c r="I10" s="13" t="n">
        <v>11985.3380673</v>
      </c>
    </row>
    <row r="11">
      <c r="A11" s="10" t="inlineStr">
        <is>
          <t>Tổng thu nhập HĐ - TOI</t>
        </is>
      </c>
      <c r="B11" s="13" t="n">
        <v>16758.245</v>
      </c>
      <c r="C11" s="13" t="n">
        <v>21967.104</v>
      </c>
      <c r="D11" s="13" t="n">
        <v>26413.685</v>
      </c>
      <c r="E11" s="13" t="n">
        <v>34032.184</v>
      </c>
      <c r="F11" s="13" t="n">
        <v>42695.872</v>
      </c>
      <c r="G11" s="13">
        <f>G5+G10</f>
        <v/>
      </c>
      <c r="H11" s="13">
        <f>H5+H10</f>
        <v/>
      </c>
      <c r="I11" s="13">
        <f>I5+I10</f>
        <v/>
      </c>
    </row>
    <row r="12">
      <c r="A12" s="10" t="inlineStr">
        <is>
          <t>NII/TOI (%)</t>
        </is>
      </c>
      <c r="B12" s="13" t="n">
        <v>82.89</v>
      </c>
      <c r="C12" s="13" t="n">
        <v>81.98999999999999</v>
      </c>
      <c r="D12" s="13" t="n">
        <v>83.98999999999999</v>
      </c>
      <c r="E12" s="13" t="n">
        <v>90.67</v>
      </c>
      <c r="F12" s="13" t="n">
        <v>81.38</v>
      </c>
      <c r="G12" s="10" t="n"/>
      <c r="H12" s="10" t="n"/>
      <c r="I12" s="10" t="n"/>
    </row>
    <row r="13">
      <c r="A13" s="10" t="inlineStr">
        <is>
          <t>Chi phí HĐ - OPEX</t>
        </is>
      </c>
      <c r="B13" s="13" t="n">
        <v>6382.768</v>
      </c>
      <c r="C13" s="13" t="n">
        <v>8630.709000000001</v>
      </c>
      <c r="D13" s="13" t="n">
        <v>9129.201999999999</v>
      </c>
      <c r="E13" s="13" t="n">
        <v>11980.755</v>
      </c>
      <c r="F13" s="13" t="n">
        <v>11600.987</v>
      </c>
      <c r="G13" s="13">
        <f>G11*'02_Assumptions'!G7</f>
        <v/>
      </c>
      <c r="H13" s="13">
        <f>H11*'02_Assumptions'!H7</f>
        <v/>
      </c>
      <c r="I13" s="13">
        <f>I11*'02_Assumptions'!I7</f>
        <v/>
      </c>
    </row>
    <row r="14">
      <c r="A14" s="10" t="inlineStr">
        <is>
          <t>PPOP - LN trước dự phòng</t>
        </is>
      </c>
      <c r="B14" s="13" t="n">
        <v>10375.477</v>
      </c>
      <c r="C14" s="13" t="n">
        <v>13336.395</v>
      </c>
      <c r="D14" s="13" t="n">
        <v>17284.483</v>
      </c>
      <c r="E14" s="13" t="n">
        <v>22051.429</v>
      </c>
      <c r="F14" s="13" t="n">
        <v>31094.885</v>
      </c>
      <c r="G14" s="13">
        <f>G11-G13</f>
        <v/>
      </c>
      <c r="H14" s="13">
        <f>H11-H13</f>
        <v/>
      </c>
      <c r="I14" s="13">
        <f>I11-I13</f>
        <v/>
      </c>
    </row>
    <row r="15">
      <c r="A15" s="10" t="inlineStr">
        <is>
          <t>PPOP/TOI (%)</t>
        </is>
      </c>
      <c r="B15" s="13" t="n">
        <v>61.91</v>
      </c>
      <c r="C15" s="13" t="n">
        <v>60.71</v>
      </c>
      <c r="D15" s="13" t="n">
        <v>65.44</v>
      </c>
      <c r="E15" s="13" t="n">
        <v>64.8</v>
      </c>
      <c r="F15" s="13" t="n">
        <v>72.83</v>
      </c>
      <c r="G15" s="10" t="n"/>
      <c r="H15" s="10" t="n"/>
      <c r="I15" s="10" t="n"/>
    </row>
    <row r="16">
      <c r="A16" s="10" t="inlineStr">
        <is>
          <t>Dự phòng tín dụng</t>
        </is>
      </c>
      <c r="B16" s="13" t="n">
        <v>2305.86</v>
      </c>
      <c r="C16" s="13" t="n">
        <v>3068.339</v>
      </c>
      <c r="D16" s="13" t="n">
        <v>4267.751</v>
      </c>
      <c r="E16" s="13" t="n">
        <v>5321.434</v>
      </c>
      <c r="F16" s="13" t="n">
        <v>9748.394</v>
      </c>
      <c r="G16" s="13">
        <f>(('05_Balance_Sheet'!F3+'05_Balance_Sheet'!G3)/2)*'02_Assumptions'!G8</f>
        <v/>
      </c>
      <c r="H16" s="13">
        <f>(('05_Balance_Sheet'!G3+'05_Balance_Sheet'!H3)/2)*'02_Assumptions'!H8</f>
        <v/>
      </c>
      <c r="I16" s="13">
        <f>(('05_Balance_Sheet'!H3+'05_Balance_Sheet'!I3)/2)*'02_Assumptions'!I8</f>
        <v/>
      </c>
    </row>
    <row r="17">
      <c r="A17" s="10" t="inlineStr">
        <is>
          <t>LN trước thuế - PBT</t>
        </is>
      </c>
      <c r="B17" s="13" t="n">
        <v>8069.617</v>
      </c>
      <c r="C17" s="13" t="n">
        <v>10268.056</v>
      </c>
      <c r="D17" s="13" t="n">
        <v>13016.732</v>
      </c>
      <c r="E17" s="13" t="n">
        <v>16729.995</v>
      </c>
      <c r="F17" s="13" t="n">
        <v>21346.491</v>
      </c>
      <c r="G17" s="13">
        <f>G14-G16</f>
        <v/>
      </c>
      <c r="H17" s="13">
        <f>H14-H16</f>
        <v/>
      </c>
      <c r="I17" s="13">
        <f>I14-I16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Chỉ tiêu</t>
        </is>
      </c>
      <c r="B1" s="9" t="inlineStr">
        <is>
          <t>Q2/2023</t>
        </is>
      </c>
      <c r="C1" s="9" t="inlineStr">
        <is>
          <t>Q3/2023</t>
        </is>
      </c>
      <c r="D1" s="9" t="inlineStr">
        <is>
          <t>Q4/2023</t>
        </is>
      </c>
      <c r="E1" s="9" t="inlineStr">
        <is>
          <t>Q1/2024</t>
        </is>
      </c>
      <c r="F1" s="9" t="inlineStr">
        <is>
          <t>Q2/2024</t>
        </is>
      </c>
      <c r="G1" s="9" t="inlineStr">
        <is>
          <t>Q3/2024</t>
        </is>
      </c>
      <c r="H1" s="9" t="inlineStr">
        <is>
          <t>Q4/2024</t>
        </is>
      </c>
      <c r="I1" s="9" t="inlineStr">
        <is>
          <t>Q1/2025</t>
        </is>
      </c>
      <c r="J1" s="9" t="inlineStr">
        <is>
          <t>Q2/2025</t>
        </is>
      </c>
      <c r="K1" s="9" t="inlineStr">
        <is>
          <t>Q3/2025</t>
        </is>
      </c>
      <c r="L1" s="9" t="inlineStr">
        <is>
          <t>Q4/2025</t>
        </is>
      </c>
      <c r="M1" s="9" t="inlineStr">
        <is>
          <t>Q1/2026</t>
        </is>
      </c>
    </row>
    <row r="2">
      <c r="A2" s="10" t="inlineStr">
        <is>
          <t>Thu nhập lãi thuần - NII</t>
        </is>
      </c>
      <c r="B2" s="13" t="n">
        <v>4954.515</v>
      </c>
      <c r="C2" s="13" t="n">
        <v>4916.148</v>
      </c>
      <c r="D2" s="13" t="n">
        <v>7472.503</v>
      </c>
      <c r="E2" s="13" t="n">
        <v>7160.35</v>
      </c>
      <c r="F2" s="13" t="n">
        <v>7719.878</v>
      </c>
      <c r="G2" s="13" t="n">
        <v>7773.445</v>
      </c>
      <c r="H2" s="13" t="n">
        <v>8203.403</v>
      </c>
      <c r="I2" s="13" t="n">
        <v>7408.1</v>
      </c>
      <c r="J2" s="13" t="n">
        <v>9819.157999999999</v>
      </c>
      <c r="K2" s="13" t="n">
        <v>7763.322</v>
      </c>
      <c r="L2" s="13" t="n">
        <v>9755.610000000001</v>
      </c>
      <c r="M2" s="13" t="n">
        <v>8483.022000000001</v>
      </c>
    </row>
    <row r="3">
      <c r="A3" s="10" t="inlineStr">
        <is>
          <t>Thu nhập ngoài lãi</t>
        </is>
      </c>
      <c r="B3" s="13" t="n">
        <v>1458.876</v>
      </c>
      <c r="C3" s="13" t="n">
        <v>1169.08</v>
      </c>
      <c r="D3" s="13" t="n">
        <v>785.1559999999999</v>
      </c>
      <c r="E3" s="13" t="n">
        <v>591.715</v>
      </c>
      <c r="F3" s="13" t="n">
        <v>573.138</v>
      </c>
      <c r="G3" s="13" t="n">
        <v>761.527</v>
      </c>
      <c r="H3" s="13" t="n">
        <v>1248.728</v>
      </c>
      <c r="I3" s="13" t="n">
        <v>1796.453</v>
      </c>
      <c r="J3" s="13" t="n">
        <v>1816.729</v>
      </c>
      <c r="K3" s="13" t="n">
        <v>1753.16</v>
      </c>
      <c r="L3" s="13" t="n">
        <v>2583.34</v>
      </c>
      <c r="M3" s="13" t="n">
        <v>1469.82</v>
      </c>
    </row>
    <row r="4">
      <c r="A4" s="10" t="inlineStr">
        <is>
          <t>Tổng thu nhập HĐ - TOI</t>
        </is>
      </c>
      <c r="B4" s="13" t="n">
        <v>6413.391</v>
      </c>
      <c r="C4" s="13" t="n">
        <v>6085.228</v>
      </c>
      <c r="D4" s="13" t="n">
        <v>8257.659</v>
      </c>
      <c r="E4" s="13" t="n">
        <v>7752.065</v>
      </c>
      <c r="F4" s="13" t="n">
        <v>8293.016</v>
      </c>
      <c r="G4" s="13" t="n">
        <v>8534.972</v>
      </c>
      <c r="H4" s="13" t="n">
        <v>9452.130999999999</v>
      </c>
      <c r="I4" s="13" t="n">
        <v>9204.553</v>
      </c>
      <c r="J4" s="13" t="n">
        <v>11635.887</v>
      </c>
      <c r="K4" s="13" t="n">
        <v>9516.482</v>
      </c>
      <c r="L4" s="13" t="n">
        <v>12338.95</v>
      </c>
      <c r="M4" s="13" t="n">
        <v>9952.842000000001</v>
      </c>
    </row>
    <row r="5">
      <c r="A5" s="10" t="inlineStr">
        <is>
          <t>Chi phí hoạt động - OPEX</t>
        </is>
      </c>
      <c r="B5" s="13" t="n">
        <v>2238.587</v>
      </c>
      <c r="C5" s="13" t="n">
        <v>2301.873</v>
      </c>
      <c r="D5" s="13" t="n">
        <v>2630.124</v>
      </c>
      <c r="E5" s="13" t="n">
        <v>2454.639</v>
      </c>
      <c r="F5" s="13" t="n">
        <v>3029.78</v>
      </c>
      <c r="G5" s="13" t="n">
        <v>2951.077</v>
      </c>
      <c r="H5" s="13" t="n">
        <v>3545.259</v>
      </c>
      <c r="I5" s="13" t="n">
        <v>2524.523</v>
      </c>
      <c r="J5" s="13" t="n">
        <v>2782.029</v>
      </c>
      <c r="K5" s="13" t="n">
        <v>2487.98</v>
      </c>
      <c r="L5" s="13" t="n">
        <v>3806.455</v>
      </c>
      <c r="M5" s="13" t="n">
        <v>2587.015</v>
      </c>
    </row>
    <row r="6">
      <c r="A6" s="10" t="inlineStr">
        <is>
          <t>LN trước dự phòng - PPOP</t>
        </is>
      </c>
      <c r="B6" s="13" t="n">
        <v>4174.804</v>
      </c>
      <c r="C6" s="13" t="n">
        <v>3783.355</v>
      </c>
      <c r="D6" s="13" t="n">
        <v>5627.535</v>
      </c>
      <c r="E6" s="13" t="n">
        <v>5297.426</v>
      </c>
      <c r="F6" s="13" t="n">
        <v>5263.236</v>
      </c>
      <c r="G6" s="13" t="n">
        <v>5583.895</v>
      </c>
      <c r="H6" s="13" t="n">
        <v>5906.872</v>
      </c>
      <c r="I6" s="13" t="n">
        <v>6680.03</v>
      </c>
      <c r="J6" s="13" t="n">
        <v>8853.858</v>
      </c>
      <c r="K6" s="13" t="n">
        <v>7028.502</v>
      </c>
      <c r="L6" s="13" t="n">
        <v>8532.495000000001</v>
      </c>
      <c r="M6" s="13" t="n">
        <v>7365.827</v>
      </c>
    </row>
    <row r="7">
      <c r="A7" s="10" t="inlineStr">
        <is>
          <t>Dự phòng tín dụng</t>
        </is>
      </c>
      <c r="B7" s="13" t="n">
        <v>1433.167</v>
      </c>
      <c r="C7" s="13" t="n">
        <v>636.0890000000001</v>
      </c>
      <c r="D7" s="13" t="n">
        <v>1242.405</v>
      </c>
      <c r="E7" s="13" t="n">
        <v>1269.851</v>
      </c>
      <c r="F7" s="13" t="n">
        <v>1126.231</v>
      </c>
      <c r="G7" s="13" t="n">
        <v>1093.488</v>
      </c>
      <c r="H7" s="13" t="n">
        <v>1831.864</v>
      </c>
      <c r="I7" s="13" t="n">
        <v>1324.795</v>
      </c>
      <c r="J7" s="13" t="n">
        <v>4141.072</v>
      </c>
      <c r="K7" s="13" t="n">
        <v>2294.002</v>
      </c>
      <c r="L7" s="13" t="n">
        <v>1988.525</v>
      </c>
      <c r="M7" s="13" t="n">
        <v>1258.493</v>
      </c>
    </row>
    <row r="8">
      <c r="A8" s="10" t="inlineStr">
        <is>
          <t>LN trước thuế - PBT</t>
        </is>
      </c>
      <c r="B8" s="13" t="n">
        <v>2741.637</v>
      </c>
      <c r="C8" s="13" t="n">
        <v>3147.266</v>
      </c>
      <c r="D8" s="13" t="n">
        <v>4385.13</v>
      </c>
      <c r="E8" s="13" t="n">
        <v>4027.575</v>
      </c>
      <c r="F8" s="13" t="n">
        <v>4137.005</v>
      </c>
      <c r="G8" s="13" t="n">
        <v>4490.407</v>
      </c>
      <c r="H8" s="13" t="n">
        <v>4075.008</v>
      </c>
      <c r="I8" s="13" t="n">
        <v>5355.235</v>
      </c>
      <c r="J8" s="13" t="n">
        <v>4712.786</v>
      </c>
      <c r="K8" s="13" t="n">
        <v>4734.5</v>
      </c>
      <c r="L8" s="13" t="n">
        <v>6543.97</v>
      </c>
      <c r="M8" s="13" t="n">
        <v>6107.334</v>
      </c>
    </row>
    <row r="9">
      <c r="A9" s="10" t="inlineStr">
        <is>
          <t>LN sau thuế - NPAT</t>
        </is>
      </c>
      <c r="B9" s="13" t="n">
        <v>2179.528</v>
      </c>
      <c r="C9" s="13" t="n">
        <v>2515.158</v>
      </c>
      <c r="D9" s="13" t="n">
        <v>3447.615</v>
      </c>
      <c r="E9" s="13" t="n">
        <v>3213.172</v>
      </c>
      <c r="F9" s="13" t="n">
        <v>3251.852</v>
      </c>
      <c r="G9" s="13" t="n">
        <v>3545.636</v>
      </c>
      <c r="H9" s="13" t="n">
        <v>3236.988</v>
      </c>
      <c r="I9" s="13" t="n">
        <v>4357.672</v>
      </c>
      <c r="J9" s="13" t="n">
        <v>3676.059</v>
      </c>
      <c r="K9" s="13" t="n">
        <v>3798.817</v>
      </c>
      <c r="L9" s="13" t="n">
        <v>5241.074</v>
      </c>
      <c r="M9" s="13" t="n">
        <v>4902.14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Chỉ tiêu</t>
        </is>
      </c>
      <c r="B1" s="9" t="inlineStr">
        <is>
          <t>2021</t>
        </is>
      </c>
      <c r="C1" s="9" t="inlineStr">
        <is>
          <t>2022</t>
        </is>
      </c>
      <c r="D1" s="9" t="inlineStr">
        <is>
          <t>2023</t>
        </is>
      </c>
      <c r="E1" s="9" t="inlineStr">
        <is>
          <t>2024</t>
        </is>
      </c>
      <c r="F1" s="9" t="inlineStr">
        <is>
          <t>2025</t>
        </is>
      </c>
      <c r="G1" s="9" t="inlineStr">
        <is>
          <t>2026F</t>
        </is>
      </c>
      <c r="H1" s="9" t="inlineStr">
        <is>
          <t>2027F</t>
        </is>
      </c>
      <c r="I1" s="9" t="inlineStr">
        <is>
          <t>2028F</t>
        </is>
      </c>
    </row>
    <row r="2">
      <c r="A2" s="10" t="inlineStr">
        <is>
          <t>Thu nhập lãi thuần (NII)</t>
        </is>
      </c>
      <c r="B2" s="13" t="n">
        <v>13890.777</v>
      </c>
      <c r="C2" s="13" t="n">
        <v>18011.568</v>
      </c>
      <c r="D2" s="13" t="n">
        <v>22183.974</v>
      </c>
      <c r="E2" s="13" t="n">
        <v>30857.076</v>
      </c>
      <c r="F2" s="13" t="n">
        <v>34746.19</v>
      </c>
      <c r="G2" s="13">
        <f>'03_Income_Model'!G5</f>
        <v/>
      </c>
      <c r="H2" s="13">
        <f>'03_Income_Model'!H5</f>
        <v/>
      </c>
      <c r="I2" s="13">
        <f>'03_Income_Model'!I5</f>
        <v/>
      </c>
    </row>
    <row r="3">
      <c r="A3" s="10" t="inlineStr">
        <is>
          <t>Tổng thu nhập hoạt động (TOI)</t>
        </is>
      </c>
      <c r="B3" s="13" t="n">
        <v>16758.245</v>
      </c>
      <c r="C3" s="13" t="n">
        <v>21967.104</v>
      </c>
      <c r="D3" s="13" t="n">
        <v>26413.685</v>
      </c>
      <c r="E3" s="13" t="n">
        <v>34032.184</v>
      </c>
      <c r="F3" s="13" t="n">
        <v>42695.872</v>
      </c>
      <c r="G3" s="13">
        <f>SUM(G2+'03_Income_Model'!G10)</f>
        <v/>
      </c>
      <c r="H3" s="13">
        <f>SUM(H2+'03_Income_Model'!H10)</f>
        <v/>
      </c>
      <c r="I3" s="13">
        <f>SUM(I2+'03_Income_Model'!I10)</f>
        <v/>
      </c>
    </row>
    <row r="4">
      <c r="A4" s="10" t="inlineStr">
        <is>
          <t>Lợi nhuận trước dự phòng (PPOP)</t>
        </is>
      </c>
      <c r="B4" s="13" t="n">
        <v>10375.477</v>
      </c>
      <c r="C4" s="13" t="n">
        <v>13336.395</v>
      </c>
      <c r="D4" s="13" t="n">
        <v>17284.483</v>
      </c>
      <c r="E4" s="13" t="n">
        <v>22051.429</v>
      </c>
      <c r="F4" s="13" t="n">
        <v>31094.885</v>
      </c>
      <c r="G4" s="13">
        <f>'03_Income_Model'!G14</f>
        <v/>
      </c>
      <c r="H4" s="13">
        <f>'03_Income_Model'!H14</f>
        <v/>
      </c>
      <c r="I4" s="13">
        <f>'03_Income_Model'!I14</f>
        <v/>
      </c>
    </row>
    <row r="5">
      <c r="A5" s="10" t="inlineStr">
        <is>
          <t>LNST (NPAT)</t>
        </is>
      </c>
      <c r="B5" s="13" t="n">
        <v>6453.499</v>
      </c>
      <c r="C5" s="13" t="n">
        <v>8209.469999999999</v>
      </c>
      <c r="D5" s="13" t="n">
        <v>10336.013</v>
      </c>
      <c r="E5" s="13" t="n">
        <v>13247.648</v>
      </c>
      <c r="F5" s="13" t="n">
        <v>17073.622</v>
      </c>
      <c r="G5" s="13">
        <f>('03_Income_Model'!G17)-MAX(('03_Income_Model'!G17)*'02_Assumptions'!G14,0)</f>
        <v/>
      </c>
      <c r="H5" s="13">
        <f>('03_Income_Model'!H17)-MAX(('03_Income_Model'!H17)*'02_Assumptions'!H14,0)</f>
        <v/>
      </c>
      <c r="I5" s="13">
        <f>('03_Income_Model'!I17)-MAX(('03_Income_Model'!I17)*'02_Assumptions'!I14,0)</f>
        <v/>
      </c>
    </row>
    <row r="6">
      <c r="A6" s="10" t="inlineStr">
        <is>
          <t>EPS (VND)</t>
        </is>
      </c>
      <c r="B6" s="11" t="n">
        <v>1257.312470846653</v>
      </c>
      <c r="C6" s="11" t="n">
        <v>1599.422113498657</v>
      </c>
      <c r="D6" s="11" t="n">
        <v>2013.728993176125</v>
      </c>
      <c r="E6" s="11" t="n">
        <v>2580.992580890882</v>
      </c>
      <c r="F6" s="11" t="n">
        <v>3326.393614242719</v>
      </c>
      <c r="G6" s="11">
        <f>G5*1000000000/'02_Assumptions'!$B$3</f>
        <v/>
      </c>
      <c r="H6" s="11">
        <f>H5*1000000000/'02_Assumptions'!$B$3</f>
        <v/>
      </c>
      <c r="I6" s="11">
        <f>I5*1000000000/'02_Assumptions'!$B$3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Chỉ tiêu</t>
        </is>
      </c>
      <c r="B1" s="9" t="inlineStr">
        <is>
          <t>Q2/2023</t>
        </is>
      </c>
      <c r="C1" s="9" t="inlineStr">
        <is>
          <t>Q3/2023</t>
        </is>
      </c>
      <c r="D1" s="9" t="inlineStr">
        <is>
          <t>Q4/2023</t>
        </is>
      </c>
      <c r="E1" s="9" t="inlineStr">
        <is>
          <t>Q1/2024</t>
        </is>
      </c>
      <c r="F1" s="9" t="inlineStr">
        <is>
          <t>Q2/2024</t>
        </is>
      </c>
      <c r="G1" s="9" t="inlineStr">
        <is>
          <t>Q3/2024</t>
        </is>
      </c>
      <c r="H1" s="9" t="inlineStr">
        <is>
          <t>Q4/2024</t>
        </is>
      </c>
      <c r="I1" s="9" t="inlineStr">
        <is>
          <t>Q1/2025</t>
        </is>
      </c>
      <c r="J1" s="9" t="inlineStr">
        <is>
          <t>Q2/2025</t>
        </is>
      </c>
      <c r="K1" s="9" t="inlineStr">
        <is>
          <t>Q3/2025</t>
        </is>
      </c>
      <c r="L1" s="9" t="inlineStr">
        <is>
          <t>Q4/2025</t>
        </is>
      </c>
      <c r="M1" s="9" t="inlineStr">
        <is>
          <t>Q1/2026</t>
        </is>
      </c>
    </row>
    <row r="2">
      <c r="A2" s="10" t="inlineStr">
        <is>
          <t>Tổng tài sản</t>
        </is>
      </c>
      <c r="B2" s="13" t="n">
        <v>483935.823</v>
      </c>
      <c r="C2" s="13" t="n">
        <v>508263.253</v>
      </c>
      <c r="D2" s="13" t="n">
        <v>602314.8590000001</v>
      </c>
      <c r="E2" s="13" t="n">
        <v>602551.5699999999</v>
      </c>
      <c r="F2" s="13" t="n">
        <v>624443.499</v>
      </c>
      <c r="G2" s="13" t="n">
        <v>629569.112</v>
      </c>
      <c r="H2" s="13" t="n">
        <v>697366.458</v>
      </c>
      <c r="I2" s="13" t="n">
        <v>711310.758</v>
      </c>
      <c r="J2" s="13" t="n">
        <v>784096.287</v>
      </c>
      <c r="K2" s="13" t="n">
        <v>781937.368</v>
      </c>
      <c r="L2" s="13" t="n">
        <v>931103.9449999999</v>
      </c>
      <c r="M2" s="13" t="n">
        <v>984216.21</v>
      </c>
    </row>
    <row r="3">
      <c r="A3" s="10" t="inlineStr">
        <is>
          <t>Tiền mặt &amp; NHNN</t>
        </is>
      </c>
      <c r="B3" s="13" t="n">
        <v>2902.517</v>
      </c>
      <c r="C3" s="13" t="n">
        <v>2765.559</v>
      </c>
      <c r="D3" s="13" t="n">
        <v>2810.044</v>
      </c>
      <c r="E3" s="13" t="n">
        <v>2891.213</v>
      </c>
      <c r="F3" s="13" t="n">
        <v>3102.598</v>
      </c>
      <c r="G3" s="13" t="n">
        <v>3127.639</v>
      </c>
      <c r="H3" s="13" t="n">
        <v>3105.355</v>
      </c>
      <c r="I3" s="13" t="n">
        <v>3597.997</v>
      </c>
      <c r="J3" s="13" t="n">
        <v>3944.656</v>
      </c>
      <c r="K3" s="13" t="n">
        <v>3679.667</v>
      </c>
      <c r="L3" s="13" t="n">
        <v>4126.643</v>
      </c>
      <c r="M3" s="13" t="n">
        <v>4870.562</v>
      </c>
    </row>
    <row r="4">
      <c r="A4" s="10" t="inlineStr">
        <is>
          <t>TG các TCTD khác</t>
        </is>
      </c>
      <c r="B4" s="13" t="n">
        <v>87190.85799999999</v>
      </c>
      <c r="C4" s="13" t="n">
        <v>55427.3</v>
      </c>
      <c r="D4" s="13" t="n">
        <v>96514.863</v>
      </c>
      <c r="E4" s="13" t="n">
        <v>87659.83</v>
      </c>
      <c r="F4" s="13" t="n">
        <v>83923.363</v>
      </c>
      <c r="G4" s="13" t="n">
        <v>98656.083</v>
      </c>
      <c r="H4" s="13" t="n">
        <v>101600.254</v>
      </c>
      <c r="I4" s="13" t="n">
        <v>126666.26</v>
      </c>
      <c r="J4" s="13" t="n">
        <v>132104.675</v>
      </c>
      <c r="K4" s="13" t="n">
        <v>153845.277</v>
      </c>
      <c r="L4" s="13" t="n">
        <v>184262.209</v>
      </c>
      <c r="M4" s="13" t="n">
        <v>203790.573</v>
      </c>
    </row>
    <row r="5">
      <c r="A5" s="10" t="inlineStr">
        <is>
          <t>Cho vay khách hàng</t>
        </is>
      </c>
      <c r="B5" s="13" t="n">
        <v>283565.064</v>
      </c>
      <c r="C5" s="13" t="n">
        <v>288136.806</v>
      </c>
      <c r="D5" s="13" t="n">
        <v>339349.838</v>
      </c>
      <c r="E5" s="13" t="n">
        <v>358835.149</v>
      </c>
      <c r="F5" s="13" t="n">
        <v>381419.719</v>
      </c>
      <c r="G5" s="13" t="n">
        <v>393739.706</v>
      </c>
      <c r="H5" s="13" t="n">
        <v>436606.237</v>
      </c>
      <c r="I5" s="13" t="n">
        <v>440468.264</v>
      </c>
      <c r="J5" s="13" t="n">
        <v>502451.955</v>
      </c>
      <c r="K5" s="13" t="n">
        <v>482446.82</v>
      </c>
      <c r="L5" s="13" t="n">
        <v>539071.334</v>
      </c>
      <c r="M5" s="13" t="n">
        <v>593322.802</v>
      </c>
    </row>
    <row r="6">
      <c r="A6" s="10" t="inlineStr">
        <is>
          <t>CK đầu tư</t>
        </is>
      </c>
      <c r="B6" s="13" t="n">
        <v>44652.422</v>
      </c>
      <c r="C6" s="13" t="n">
        <v>51041.447</v>
      </c>
      <c r="D6" s="13" t="n">
        <v>44092.289</v>
      </c>
      <c r="E6" s="13" t="n">
        <v>55248.147</v>
      </c>
      <c r="F6" s="13" t="n">
        <v>60762.059</v>
      </c>
      <c r="G6" s="13" t="n">
        <v>34611.149</v>
      </c>
      <c r="H6" s="13" t="n">
        <v>48751.284</v>
      </c>
      <c r="I6" s="13" t="n">
        <v>49726.466</v>
      </c>
      <c r="J6" s="13" t="n">
        <v>71362.33</v>
      </c>
      <c r="K6" s="13" t="n">
        <v>63385.953</v>
      </c>
      <c r="L6" s="13" t="n">
        <v>76811.704</v>
      </c>
      <c r="M6" s="13" t="n">
        <v>88955.22100000001</v>
      </c>
    </row>
    <row r="7">
      <c r="A7" s="10" t="inlineStr">
        <is>
          <t>Tiền gửi khách hàng</t>
        </is>
      </c>
      <c r="B7" s="13" t="n">
        <v>309645.137</v>
      </c>
      <c r="C7" s="13" t="n">
        <v>341712.982</v>
      </c>
      <c r="D7" s="13" t="n">
        <v>370777.888</v>
      </c>
      <c r="E7" s="13" t="n">
        <v>378789.084</v>
      </c>
      <c r="F7" s="13" t="n">
        <v>386573.343</v>
      </c>
      <c r="G7" s="13" t="n">
        <v>397018.666</v>
      </c>
      <c r="H7" s="13" t="n">
        <v>437505.165</v>
      </c>
      <c r="I7" s="13" t="n">
        <v>465321.208</v>
      </c>
      <c r="J7" s="13" t="n">
        <v>478700.229</v>
      </c>
      <c r="K7" s="13" t="n">
        <v>487862.978</v>
      </c>
      <c r="L7" s="13" t="n">
        <v>560714.282</v>
      </c>
      <c r="M7" s="13" t="n">
        <v>621548.943</v>
      </c>
    </row>
    <row r="8">
      <c r="A8" s="10" t="inlineStr">
        <is>
          <t>Vốn chủ sở hữu</t>
        </is>
      </c>
      <c r="B8" s="13" t="n">
        <v>40476.748</v>
      </c>
      <c r="C8" s="13" t="n">
        <v>43025.581</v>
      </c>
      <c r="D8" s="13" t="n">
        <v>46400.322</v>
      </c>
      <c r="E8" s="13" t="n">
        <v>49700.25</v>
      </c>
      <c r="F8" s="13" t="n">
        <v>52825.71</v>
      </c>
      <c r="G8" s="13" t="n">
        <v>53583.975</v>
      </c>
      <c r="H8" s="13" t="n">
        <v>56657.261</v>
      </c>
      <c r="I8" s="13" t="n">
        <v>61032.537</v>
      </c>
      <c r="J8" s="13" t="n">
        <v>64626.363</v>
      </c>
      <c r="K8" s="13" t="n">
        <v>68407.053</v>
      </c>
      <c r="L8" s="13" t="n">
        <v>78285.522</v>
      </c>
      <c r="M8" s="13" t="n">
        <v>83186.008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Chỉ tiêu</t>
        </is>
      </c>
      <c r="B1" s="9" t="inlineStr">
        <is>
          <t>2021</t>
        </is>
      </c>
      <c r="C1" s="9" t="inlineStr">
        <is>
          <t>2022</t>
        </is>
      </c>
      <c r="D1" s="9" t="inlineStr">
        <is>
          <t>2023</t>
        </is>
      </c>
      <c r="E1" s="9" t="inlineStr">
        <is>
          <t>2024</t>
        </is>
      </c>
      <c r="F1" s="9" t="inlineStr">
        <is>
          <t>2025</t>
        </is>
      </c>
      <c r="G1" s="9" t="inlineStr">
        <is>
          <t>2026F</t>
        </is>
      </c>
      <c r="H1" s="9" t="inlineStr">
        <is>
          <t>2027F</t>
        </is>
      </c>
      <c r="I1" s="9" t="inlineStr">
        <is>
          <t>2028F</t>
        </is>
      </c>
    </row>
    <row r="2">
      <c r="A2" s="10" t="inlineStr">
        <is>
          <t>Tổng tài sản</t>
        </is>
      </c>
      <c r="B2" s="13" t="n">
        <v>374611.571</v>
      </c>
      <c r="C2" s="13" t="n">
        <v>416273.023</v>
      </c>
      <c r="D2" s="13" t="n">
        <v>602314.8590000001</v>
      </c>
      <c r="E2" s="13" t="n">
        <v>697366.458</v>
      </c>
      <c r="F2" s="13" t="n">
        <v>931103.9449999999</v>
      </c>
      <c r="G2" s="10">
        <f>SUM(G3:G6)+G7-G8-G9+G10</f>
        <v/>
      </c>
      <c r="H2" s="10">
        <f>SUM(H3:H6)+H7-H8-H9+H10</f>
        <v/>
      </c>
      <c r="I2" s="10">
        <f>SUM(I3:I6)+I7-I8-I9+I10</f>
        <v/>
      </c>
    </row>
    <row r="3">
      <c r="A3" s="10" t="inlineStr">
        <is>
          <t>Cho vay khách hàng (Gross)</t>
        </is>
      </c>
      <c r="B3" s="13" t="n">
        <v>200758.833</v>
      </c>
      <c r="C3" s="13" t="n">
        <v>260754.811</v>
      </c>
      <c r="D3" s="13" t="n">
        <v>339349.838</v>
      </c>
      <c r="E3" s="13" t="n">
        <v>436606.237</v>
      </c>
      <c r="F3" s="13" t="n">
        <v>539071.334</v>
      </c>
      <c r="G3" s="13">
        <f>F3*(1+'02_Assumptions'!G4)</f>
        <v/>
      </c>
      <c r="H3" s="13">
        <f>G3*(1+'02_Assumptions'!H4)</f>
        <v/>
      </c>
      <c r="I3" s="13">
        <f>H3*(1+'02_Assumptions'!I4)</f>
        <v/>
      </c>
    </row>
    <row r="4">
      <c r="A4" s="10" t="inlineStr">
        <is>
          <t>Trái phiếu doanh nghiệp</t>
        </is>
      </c>
      <c r="B4" s="13" t="n">
        <v>24879.776</v>
      </c>
      <c r="C4" s="13" t="n">
        <v>25793.635</v>
      </c>
      <c r="D4" s="13" t="n">
        <v>93389.645</v>
      </c>
      <c r="E4" s="13" t="n">
        <v>138247.896</v>
      </c>
      <c r="F4" s="13" t="n">
        <v>175459.659</v>
      </c>
      <c r="G4" s="10">
        <f>F4*(1+'02_Assumptions'!G4)</f>
        <v/>
      </c>
      <c r="H4" s="10">
        <f>G4*(1+'02_Assumptions'!H4)</f>
        <v/>
      </c>
      <c r="I4" s="10">
        <f>H4*(1+'02_Assumptions'!I4)</f>
        <v/>
      </c>
    </row>
    <row r="5">
      <c r="A5" s="10" t="inlineStr">
        <is>
          <t>Tiền gửi khách hàng</t>
        </is>
      </c>
      <c r="B5" s="13" t="n">
        <v>183283.117</v>
      </c>
      <c r="C5" s="13" t="n">
        <v>215797.174</v>
      </c>
      <c r="D5" s="13" t="n">
        <v>370777.888</v>
      </c>
      <c r="E5" s="13" t="n">
        <v>437505.165</v>
      </c>
      <c r="F5" s="13" t="n">
        <v>560714.282</v>
      </c>
      <c r="G5" s="13">
        <f>F5*(1+'02_Assumptions'!G5)</f>
        <v/>
      </c>
      <c r="H5" s="13">
        <f>G5*(1+'02_Assumptions'!H5)</f>
        <v/>
      </c>
      <c r="I5" s="13">
        <f>H5*(1+'02_Assumptions'!I5)</f>
        <v/>
      </c>
    </row>
    <row r="6">
      <c r="A6" s="10" t="inlineStr">
        <is>
          <t>Giấy tờ có giá phát hành (Bonds)</t>
        </is>
      </c>
      <c r="B6" s="13" t="n">
        <v>42756.113</v>
      </c>
      <c r="C6" s="13" t="n">
        <v>44161.64</v>
      </c>
      <c r="D6" s="13" t="n">
        <v>50938.148</v>
      </c>
      <c r="E6" s="13" t="n">
        <v>81349.74400000001</v>
      </c>
      <c r="F6" s="13" t="n">
        <v>87434.265</v>
      </c>
      <c r="G6" s="10">
        <f>F6*1.02</f>
        <v/>
      </c>
      <c r="H6" s="10">
        <f>G6*1.02</f>
        <v/>
      </c>
      <c r="I6" s="10">
        <f>H6*1.02</f>
        <v/>
      </c>
    </row>
    <row r="7">
      <c r="A7" s="10" t="inlineStr">
        <is>
          <t>Tiền gửi Kho bạc Nhà nước</t>
        </is>
      </c>
      <c r="B7" s="13" t="n">
        <v>25507.511</v>
      </c>
      <c r="C7" s="13" t="n">
        <v>50949.728</v>
      </c>
      <c r="D7" s="13" t="n">
        <v>57835.226</v>
      </c>
      <c r="E7" s="13" t="n">
        <v>56059.007</v>
      </c>
      <c r="F7" s="13" t="n">
        <v>51095.331</v>
      </c>
      <c r="G7" s="10">
        <f>F7*(1+'02_Assumptions'!G5)</f>
        <v/>
      </c>
      <c r="H7" s="10">
        <f>G7*(1+'02_Assumptions'!H5)</f>
        <v/>
      </c>
      <c r="I7" s="10">
        <f>H7*(1+'02_Assumptions'!I5)</f>
        <v/>
      </c>
    </row>
    <row r="8">
      <c r="A8" s="10" t="inlineStr">
        <is>
          <t>Tiền gửi ký quỹ (trừ đi)</t>
        </is>
      </c>
      <c r="B8" s="13" t="n">
        <v>3306.15</v>
      </c>
      <c r="C8" s="13" t="n">
        <v>23377.548</v>
      </c>
      <c r="D8" s="13" t="n">
        <v>2444.773</v>
      </c>
      <c r="E8" s="13" t="n">
        <v>3798.848</v>
      </c>
      <c r="F8" s="13" t="n">
        <v>12520.928</v>
      </c>
      <c r="G8" s="10">
        <f>F8*(1+'02_Assumptions'!G5)</f>
        <v/>
      </c>
      <c r="H8" s="10">
        <f>G8*(1+'02_Assumptions'!H5)</f>
        <v/>
      </c>
      <c r="I8" s="10">
        <f>H8*(1+'02_Assumptions'!I5)</f>
        <v/>
      </c>
    </row>
    <row r="9">
      <c r="A9" s="10" t="inlineStr">
        <is>
          <t>Vốn chuyên dùng (trừ đi)</t>
        </is>
      </c>
      <c r="B9" s="13" t="n">
        <v>2936.864</v>
      </c>
      <c r="C9" s="13" t="n">
        <v>2860.155</v>
      </c>
      <c r="D9" s="13" t="n">
        <v>2811.129</v>
      </c>
      <c r="E9" s="13" t="n">
        <v>2788.443</v>
      </c>
      <c r="F9" s="13" t="n">
        <v>2721.952</v>
      </c>
      <c r="G9" s="10">
        <f>F9*1.02</f>
        <v/>
      </c>
      <c r="H9" s="10">
        <f>G9*1.02</f>
        <v/>
      </c>
      <c r="I9" s="10">
        <f>H9*1.02</f>
        <v/>
      </c>
    </row>
    <row r="10">
      <c r="A10" s="10" t="inlineStr">
        <is>
          <t>Vốn chủ sở hữu (VCSH)</t>
        </is>
      </c>
      <c r="B10" s="13" t="n">
        <v>30790.113</v>
      </c>
      <c r="C10" s="13" t="n">
        <v>38994.886</v>
      </c>
      <c r="D10" s="13" t="n">
        <v>46400.322</v>
      </c>
      <c r="E10" s="13" t="n">
        <v>56657.261</v>
      </c>
      <c r="F10" s="13" t="n">
        <v>78285.522</v>
      </c>
      <c r="G10" s="10">
        <f>F10+'04_PnL'!G5*0.7</f>
        <v/>
      </c>
      <c r="H10" s="10">
        <f>G10+'04_PnL'!H5*0.7</f>
        <v/>
      </c>
      <c r="I10" s="10">
        <f>H10+'04_PnL'!I5*0.7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Chỉ tiêu</t>
        </is>
      </c>
      <c r="B1" s="9" t="inlineStr">
        <is>
          <t>Q2/2023</t>
        </is>
      </c>
      <c r="C1" s="9" t="inlineStr">
        <is>
          <t>Q3/2023</t>
        </is>
      </c>
      <c r="D1" s="9" t="inlineStr">
        <is>
          <t>Q4/2023</t>
        </is>
      </c>
      <c r="E1" s="9" t="inlineStr">
        <is>
          <t>Q1/2024</t>
        </is>
      </c>
      <c r="F1" s="9" t="inlineStr">
        <is>
          <t>Q2/2024</t>
        </is>
      </c>
      <c r="G1" s="9" t="inlineStr">
        <is>
          <t>Q3/2024</t>
        </is>
      </c>
      <c r="H1" s="9" t="inlineStr">
        <is>
          <t>Q4/2024</t>
        </is>
      </c>
      <c r="I1" s="9" t="inlineStr">
        <is>
          <t>Q1/2025</t>
        </is>
      </c>
      <c r="J1" s="9" t="inlineStr">
        <is>
          <t>Q2/2025</t>
        </is>
      </c>
      <c r="K1" s="9" t="inlineStr">
        <is>
          <t>Q3/2025</t>
        </is>
      </c>
      <c r="L1" s="9" t="inlineStr">
        <is>
          <t>Q4/2025</t>
        </is>
      </c>
      <c r="M1" s="9" t="inlineStr">
        <is>
          <t>Q1/2026</t>
        </is>
      </c>
    </row>
    <row r="2">
      <c r="A2" s="10" t="inlineStr">
        <is>
          <t>NIM — năm hóa (%)</t>
        </is>
      </c>
      <c r="B2" s="10">
        <f>('04_PnL_Quarterly'!B2*4/'05_Balance_Sheet_Quarterly'!B4)*100</f>
        <v/>
      </c>
      <c r="C2" s="10">
        <f>('04_PnL_Quarterly'!C2*4/'05_Balance_Sheet_Quarterly'!C4)*100</f>
        <v/>
      </c>
      <c r="D2" s="10">
        <f>('04_PnL_Quarterly'!D2*4/'05_Balance_Sheet_Quarterly'!D4)*100</f>
        <v/>
      </c>
      <c r="E2" s="10">
        <f>('04_PnL_Quarterly'!E2*4/'05_Balance_Sheet_Quarterly'!E4)*100</f>
        <v/>
      </c>
      <c r="F2" s="10">
        <f>('04_PnL_Quarterly'!F2*4/'05_Balance_Sheet_Quarterly'!F4)*100</f>
        <v/>
      </c>
      <c r="G2" s="10">
        <f>('04_PnL_Quarterly'!G2*4/'05_Balance_Sheet_Quarterly'!G4)*100</f>
        <v/>
      </c>
      <c r="H2" s="10">
        <f>('04_PnL_Quarterly'!H2*4/'05_Balance_Sheet_Quarterly'!H4)*100</f>
        <v/>
      </c>
      <c r="I2" s="10">
        <f>('04_PnL_Quarterly'!I2*4/'05_Balance_Sheet_Quarterly'!I4)*100</f>
        <v/>
      </c>
      <c r="J2" s="10">
        <f>('04_PnL_Quarterly'!J2*4/'05_Balance_Sheet_Quarterly'!J4)*100</f>
        <v/>
      </c>
      <c r="K2" s="10">
        <f>('04_PnL_Quarterly'!K2*4/'05_Balance_Sheet_Quarterly'!K4)*100</f>
        <v/>
      </c>
      <c r="L2" s="10">
        <f>('04_PnL_Quarterly'!L2*4/'05_Balance_Sheet_Quarterly'!L4)*100</f>
        <v/>
      </c>
      <c r="M2" s="10">
        <f>('04_PnL_Quarterly'!M2*4/'05_Balance_Sheet_Quarterly'!M4)*100</f>
        <v/>
      </c>
    </row>
    <row r="3">
      <c r="A3" s="10" t="inlineStr">
        <is>
          <t>ROE — năm hóa (%)</t>
        </is>
      </c>
      <c r="B3" s="10">
        <f>('04_PnL_Quarterly'!B8*4/'05_Balance_Sheet_Quarterly'!B7)*100</f>
        <v/>
      </c>
      <c r="C3" s="10">
        <f>('04_PnL_Quarterly'!C8*4/'05_Balance_Sheet_Quarterly'!C7)*100</f>
        <v/>
      </c>
      <c r="D3" s="10">
        <f>('04_PnL_Quarterly'!D8*4/'05_Balance_Sheet_Quarterly'!D7)*100</f>
        <v/>
      </c>
      <c r="E3" s="10">
        <f>('04_PnL_Quarterly'!E8*4/'05_Balance_Sheet_Quarterly'!E7)*100</f>
        <v/>
      </c>
      <c r="F3" s="10">
        <f>('04_PnL_Quarterly'!F8*4/'05_Balance_Sheet_Quarterly'!F7)*100</f>
        <v/>
      </c>
      <c r="G3" s="10">
        <f>('04_PnL_Quarterly'!G8*4/'05_Balance_Sheet_Quarterly'!G7)*100</f>
        <v/>
      </c>
      <c r="H3" s="10">
        <f>('04_PnL_Quarterly'!H8*4/'05_Balance_Sheet_Quarterly'!H7)*100</f>
        <v/>
      </c>
      <c r="I3" s="10">
        <f>('04_PnL_Quarterly'!I8*4/'05_Balance_Sheet_Quarterly'!I7)*100</f>
        <v/>
      </c>
      <c r="J3" s="10">
        <f>('04_PnL_Quarterly'!J8*4/'05_Balance_Sheet_Quarterly'!J7)*100</f>
        <v/>
      </c>
      <c r="K3" s="10">
        <f>('04_PnL_Quarterly'!K8*4/'05_Balance_Sheet_Quarterly'!K7)*100</f>
        <v/>
      </c>
      <c r="L3" s="10">
        <f>('04_PnL_Quarterly'!L8*4/'05_Balance_Sheet_Quarterly'!L7)*100</f>
        <v/>
      </c>
      <c r="M3" s="10">
        <f>('04_PnL_Quarterly'!M8*4/'05_Balance_Sheet_Quarterly'!M7)*100</f>
        <v/>
      </c>
    </row>
    <row r="4">
      <c r="A4" s="10" t="inlineStr">
        <is>
          <t>LDR (%)</t>
        </is>
      </c>
      <c r="B4" s="10">
        <f>('05_Balance_Sheet_Quarterly'!B4/'05_Balance_Sheet_Quarterly'!B6)*100</f>
        <v/>
      </c>
      <c r="C4" s="10">
        <f>('05_Balance_Sheet_Quarterly'!C4/'05_Balance_Sheet_Quarterly'!C6)*100</f>
        <v/>
      </c>
      <c r="D4" s="10">
        <f>('05_Balance_Sheet_Quarterly'!D4/'05_Balance_Sheet_Quarterly'!D6)*100</f>
        <v/>
      </c>
      <c r="E4" s="10">
        <f>('05_Balance_Sheet_Quarterly'!E4/'05_Balance_Sheet_Quarterly'!E6)*100</f>
        <v/>
      </c>
      <c r="F4" s="10">
        <f>('05_Balance_Sheet_Quarterly'!F4/'05_Balance_Sheet_Quarterly'!F6)*100</f>
        <v/>
      </c>
      <c r="G4" s="10">
        <f>('05_Balance_Sheet_Quarterly'!G4/'05_Balance_Sheet_Quarterly'!G6)*100</f>
        <v/>
      </c>
      <c r="H4" s="10">
        <f>('05_Balance_Sheet_Quarterly'!H4/'05_Balance_Sheet_Quarterly'!H6)*100</f>
        <v/>
      </c>
      <c r="I4" s="10">
        <f>('05_Balance_Sheet_Quarterly'!I4/'05_Balance_Sheet_Quarterly'!I6)*100</f>
        <v/>
      </c>
      <c r="J4" s="10">
        <f>('05_Balance_Sheet_Quarterly'!J4/'05_Balance_Sheet_Quarterly'!J6)*100</f>
        <v/>
      </c>
      <c r="K4" s="10">
        <f>('05_Balance_Sheet_Quarterly'!K4/'05_Balance_Sheet_Quarterly'!K6)*100</f>
        <v/>
      </c>
      <c r="L4" s="10">
        <f>('05_Balance_Sheet_Quarterly'!L4/'05_Balance_Sheet_Quarterly'!L6)*100</f>
        <v/>
      </c>
      <c r="M4" s="10">
        <f>('05_Balance_Sheet_Quarterly'!M4/'05_Balance_Sheet_Quarterly'!M6)*100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Chỉ tiêu</t>
        </is>
      </c>
      <c r="B1" s="9" t="inlineStr">
        <is>
          <t>2021</t>
        </is>
      </c>
      <c r="C1" s="9" t="inlineStr">
        <is>
          <t>2022</t>
        </is>
      </c>
      <c r="D1" s="9" t="inlineStr">
        <is>
          <t>2023</t>
        </is>
      </c>
      <c r="E1" s="9" t="inlineStr">
        <is>
          <t>2024</t>
        </is>
      </c>
      <c r="F1" s="9" t="inlineStr">
        <is>
          <t>2025</t>
        </is>
      </c>
      <c r="G1" s="9" t="inlineStr">
        <is>
          <t>2026F</t>
        </is>
      </c>
      <c r="H1" s="9" t="inlineStr">
        <is>
          <t>2027F</t>
        </is>
      </c>
      <c r="I1" s="9" t="inlineStr">
        <is>
          <t>2028F</t>
        </is>
      </c>
    </row>
    <row r="2">
      <c r="A2" s="10" t="inlineStr">
        <is>
          <t>NIM (%)</t>
        </is>
      </c>
      <c r="B2" s="12" t="n">
        <v>0.0413</v>
      </c>
      <c r="C2" s="12" t="n">
        <v>0.0508</v>
      </c>
      <c r="D2" s="12" t="n">
        <v>0.0495</v>
      </c>
      <c r="E2" s="12" t="n">
        <v>0.0541</v>
      </c>
      <c r="F2" s="12" t="n">
        <v>0.0469</v>
      </c>
      <c r="G2" s="12" t="n">
        <v>0.0492</v>
      </c>
      <c r="H2" s="12" t="n">
        <v>0.0507</v>
      </c>
      <c r="I2" s="12" t="n">
        <v>0.0516</v>
      </c>
    </row>
    <row r="3">
      <c r="A3" s="10" t="inlineStr">
        <is>
          <t>CIR (%)</t>
        </is>
      </c>
      <c r="B3" s="12" t="n">
        <v>0.3809</v>
      </c>
      <c r="C3" s="12" t="n">
        <v>0.3929</v>
      </c>
      <c r="D3" s="12" t="n">
        <v>0.3456</v>
      </c>
      <c r="E3" s="12" t="n">
        <v>0.352</v>
      </c>
      <c r="F3" s="12" t="n">
        <v>0.2717</v>
      </c>
      <c r="G3" s="12" t="n">
        <v>0.33</v>
      </c>
      <c r="H3" s="12" t="n">
        <v>0.32</v>
      </c>
      <c r="I3" s="12" t="n">
        <v>0.32</v>
      </c>
    </row>
    <row r="4">
      <c r="A4" s="10" t="inlineStr">
        <is>
          <t>ROE (%)</t>
        </is>
      </c>
      <c r="B4" s="12" t="n">
        <v>0.2096</v>
      </c>
      <c r="C4" s="12" t="n">
        <v>0.2353</v>
      </c>
      <c r="D4" s="12" t="n">
        <v>0.2421</v>
      </c>
      <c r="E4" s="12" t="n">
        <v>0.2571</v>
      </c>
      <c r="F4" s="12" t="n">
        <v>0.253</v>
      </c>
      <c r="G4" s="12">
        <f>'04_PnL'!G5/AVERAGE('05_Balance_Sheet'!F10,'05_Balance_Sheet'!G10)</f>
        <v/>
      </c>
      <c r="H4" s="12">
        <f>'04_PnL'!H5/AVERAGE('05_Balance_Sheet'!G10,'05_Balance_Sheet'!H10)</f>
        <v/>
      </c>
      <c r="I4" s="12">
        <f>'04_PnL'!I5/AVERAGE('05_Balance_Sheet'!H10,'05_Balance_Sheet'!I10)</f>
        <v/>
      </c>
    </row>
    <row r="5">
      <c r="A5" s="10" t="inlineStr">
        <is>
          <t>ROA (%)</t>
        </is>
      </c>
      <c r="B5" s="12" t="n">
        <v>0.0172</v>
      </c>
      <c r="C5" s="12" t="n">
        <v>0.0197</v>
      </c>
      <c r="D5" s="12" t="n">
        <v>0.0172</v>
      </c>
      <c r="E5" s="12" t="n">
        <v>0.019</v>
      </c>
      <c r="F5" s="12" t="n">
        <v>0.0183</v>
      </c>
      <c r="G5" s="12">
        <f>'04_PnL'!G5/AVERAGE('05_Balance_Sheet'!F2,'05_Balance_Sheet'!G2)</f>
        <v/>
      </c>
      <c r="H5" s="12">
        <f>'04_PnL'!H5/AVERAGE('05_Balance_Sheet'!G2,'05_Balance_Sheet'!H2)</f>
        <v/>
      </c>
      <c r="I5" s="12">
        <f>'04_PnL'!I5/AVERAGE('05_Balance_Sheet'!H2,'05_Balance_Sheet'!I2)</f>
        <v/>
      </c>
    </row>
    <row r="6">
      <c r="A6" s="10" t="inlineStr">
        <is>
          <t>LDR — điều chỉnh (%)</t>
        </is>
      </c>
      <c r="B6" s="12" t="n">
        <v>1.0266</v>
      </c>
      <c r="C6" s="12" t="n">
        <v>1.226</v>
      </c>
      <c r="D6" s="12" t="n">
        <v>0.9909</v>
      </c>
      <c r="E6" s="12" t="n">
        <v>1.064</v>
      </c>
      <c r="F6" s="12" t="n">
        <v>1.0768</v>
      </c>
      <c r="G6" s="12">
        <f>SUM('05_Balance_Sheet'!G3:G4)/(SUM('05_Balance_Sheet'!G5:G6)+'05_Balance_Sheet'!G7*0.8-'05_Balance_Sheet'!G8-'05_Balance_Sheet'!G9)</f>
        <v/>
      </c>
      <c r="H6" s="12">
        <f>SUM('05_Balance_Sheet'!H3:H4)/(SUM('05_Balance_Sheet'!H5:H6)+'05_Balance_Sheet'!H7*0.8-'05_Balance_Sheet'!H8-'05_Balance_Sheet'!H9)</f>
        <v/>
      </c>
      <c r="I6" s="12">
        <f>SUM('05_Balance_Sheet'!I3:I4)/(SUM('05_Balance_Sheet'!I5:I6)+'05_Balance_Sheet'!I7*0.8-'05_Balance_Sheet'!I8-'05_Balance_Sheet'!I9)</f>
        <v/>
      </c>
    </row>
    <row r="7">
      <c r="A7" s="10" t="inlineStr">
        <is>
          <t>NPL (%)</t>
        </is>
      </c>
      <c r="B7" s="12" t="n">
        <v>0.0167</v>
      </c>
      <c r="C7" s="12" t="n">
        <v>0.0169</v>
      </c>
      <c r="D7" s="12" t="n">
        <v>0.0182</v>
      </c>
      <c r="E7" s="12" t="n">
        <v>0.0196</v>
      </c>
      <c r="F7" s="12" t="n">
        <v>0.0247</v>
      </c>
      <c r="G7" s="12" t="n">
        <v>0.0235</v>
      </c>
      <c r="H7" s="12" t="n">
        <v>0.0222</v>
      </c>
      <c r="I7" s="12" t="n">
        <v>0.021</v>
      </c>
    </row>
    <row r="8">
      <c r="A8" s="10" t="inlineStr">
        <is>
          <t>CoC — Credit Cost (%)</t>
        </is>
      </c>
      <c r="B8" s="12" t="n">
        <v>0.0115</v>
      </c>
      <c r="C8" s="12" t="n">
        <v>0.0133</v>
      </c>
      <c r="D8" s="12" t="n">
        <v>0.0142</v>
      </c>
      <c r="E8" s="12" t="n">
        <v>0.0137</v>
      </c>
      <c r="F8" s="12" t="n">
        <v>0.02</v>
      </c>
      <c r="G8" s="12" t="n">
        <v>0.019</v>
      </c>
      <c r="H8" s="12" t="n">
        <v>0.018</v>
      </c>
      <c r="I8" s="12" t="n">
        <v>0.017</v>
      </c>
    </row>
    <row r="9">
      <c r="A9" s="10" t="inlineStr">
        <is>
          <t>CASA ratio (%)</t>
        </is>
      </c>
      <c r="B9" s="12" t="n">
        <v>0.1305</v>
      </c>
      <c r="C9" s="12" t="n">
        <v>0.103</v>
      </c>
      <c r="D9" s="12" t="n">
        <v>0.1088</v>
      </c>
      <c r="E9" s="12" t="n">
        <v>0.1177</v>
      </c>
      <c r="F9" s="12" t="n">
        <v>0.121</v>
      </c>
      <c r="G9" s="12" t="n">
        <v>0.131</v>
      </c>
      <c r="H9" s="12" t="n">
        <v>0.141</v>
      </c>
      <c r="I9" s="12" t="n">
        <v>0.151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PHƯƠNG PHÁP ĐỊNH GIÁ</t>
        </is>
      </c>
    </row>
    <row r="2">
      <c r="A2" t="inlineStr">
        <is>
          <t>Chi phí vốn CSH (COE)</t>
        </is>
      </c>
      <c r="B2" s="2">
        <f>'00_COE'!B9</f>
        <v/>
      </c>
    </row>
    <row r="3">
      <c r="A3" t="inlineStr">
        <is>
          <t>Tăng trưởng dài hạn (g)</t>
        </is>
      </c>
      <c r="B3" s="2" t="n">
        <v>0.03</v>
      </c>
    </row>
    <row r="5">
      <c r="A5" s="1" t="inlineStr">
        <is>
          <t>RESIDUAL INCOME MODEL</t>
        </is>
      </c>
    </row>
    <row r="6">
      <c r="A6" t="inlineStr">
        <is>
          <t>BV/share hiện tại (VND)</t>
        </is>
      </c>
      <c r="B6" s="14">
        <f>'05_Balance_Sheet'!F10*1000000000/'02_Assumptions'!$B$3</f>
        <v/>
      </c>
    </row>
    <row r="7">
      <c r="A7" t="inlineStr">
        <is>
          <t>PV của RI 3 năm (VND)</t>
        </is>
      </c>
      <c r="B7" s="14">
        <f>SUM(B31:D31)</f>
        <v/>
      </c>
    </row>
    <row r="8">
      <c r="A8" t="inlineStr">
        <is>
          <t>PV của Continuing Value (VND)</t>
        </is>
      </c>
      <c r="B8" s="14">
        <f>((D29*(1+B3)/(B2-B3))*D30)*0.5</f>
        <v/>
      </c>
    </row>
    <row r="9">
      <c r="A9" s="1" t="inlineStr">
        <is>
          <t>GIÁ TRỊ RI (VND)</t>
        </is>
      </c>
      <c r="B9" s="7">
        <f>B6+B7+B8</f>
        <v/>
      </c>
    </row>
    <row r="11">
      <c r="A11" s="1" t="inlineStr">
        <is>
          <t>P/B MULTIPLE — 3 mức phân phối lịch sử</t>
        </is>
      </c>
    </row>
    <row r="12">
      <c r="A12" t="inlineStr">
        <is>
          <t>P/B hiện tại (x)</t>
        </is>
      </c>
      <c r="B12" s="15">
        <f>'02_Assumptions'!B2/B6</f>
        <v/>
      </c>
    </row>
    <row r="13">
      <c r="A13" t="inlineStr">
        <is>
          <t>P/B hấp dẫn (x) — MUA</t>
        </is>
      </c>
      <c r="B13" s="16">
        <f>PERCENTILE('13_PE_PB_History'!C6:C17, 0.25)</f>
        <v/>
      </c>
      <c r="C13" s="17" t="inlineStr">
        <is>
          <t>Median P/B nửa dưới (vùng mua hấp dẫn)</t>
        </is>
      </c>
    </row>
    <row r="14">
      <c r="A14" t="inlineStr">
        <is>
          <t>P/B median all-time (x) — FAIR VALUE</t>
        </is>
      </c>
      <c r="B14" s="15">
        <f>MEDIAN('13_PE_PB_History'!C6:C17)</f>
        <v/>
      </c>
      <c r="C14" s="18" t="inlineStr">
        <is>
          <t>Median PB toàn bộ lịch sử</t>
        </is>
      </c>
    </row>
    <row r="15">
      <c r="A15" t="inlineStr">
        <is>
          <t>P/B chốt lời (x) — BÁN / CHỐT LỜI</t>
        </is>
      </c>
      <c r="B15" s="19">
        <f>PERCENTILE('13_PE_PB_History'!C6:C17, 0.75)</f>
        <v/>
      </c>
      <c r="C15" s="20" t="inlineStr">
        <is>
          <t>Median P/B nửa trên (vùng chốt lời)</t>
        </is>
      </c>
    </row>
    <row r="16">
      <c r="A16" t="inlineStr">
        <is>
          <t>BV/share tương lai (2026F)</t>
        </is>
      </c>
      <c r="B16" s="14">
        <f>B6+B26</f>
        <v/>
      </c>
    </row>
    <row r="17">
      <c r="A17" s="1" t="inlineStr">
        <is>
          <t>GIÁ TRỊ P/B (VND)</t>
        </is>
      </c>
      <c r="B17" s="7">
        <f>B14*B16</f>
        <v/>
      </c>
    </row>
    <row r="19">
      <c r="A19" s="1" t="inlineStr">
        <is>
          <t>WEIGHTED TARGET PRICE</t>
        </is>
      </c>
    </row>
    <row r="20">
      <c r="A20" t="inlineStr">
        <is>
          <t>Trong số: 50% RI + 50% P/B</t>
        </is>
      </c>
    </row>
    <row r="21">
      <c r="A21" s="1" t="inlineStr">
        <is>
          <t>Target Price (VND)</t>
        </is>
      </c>
      <c r="B21" s="7">
        <f>B9*0.5+B17*0.5</f>
        <v/>
      </c>
    </row>
    <row r="22">
      <c r="A22" t="inlineStr">
        <is>
          <t>Giá hiện tại (VND)</t>
        </is>
      </c>
      <c r="B22" s="14">
        <f>'02_Assumptions'!B2</f>
        <v/>
      </c>
    </row>
    <row r="23">
      <c r="A23" s="1" t="inlineStr">
        <is>
          <t>UPSIDE (%)</t>
        </is>
      </c>
      <c r="B23" s="8">
        <f>B21/B22-1</f>
        <v/>
      </c>
    </row>
    <row r="25">
      <c r="A25" s="1" t="inlineStr">
        <is>
          <t>--- RI DETAIL ---</t>
        </is>
      </c>
    </row>
    <row r="26">
      <c r="A26" t="inlineStr">
        <is>
          <t>EPS (VND)</t>
        </is>
      </c>
      <c r="B26" s="14">
        <f>'04_PnL'!G6</f>
        <v/>
      </c>
      <c r="C26" s="14">
        <f>'04_PnL'!H6</f>
        <v/>
      </c>
      <c r="D26" s="14">
        <f>'04_PnL'!I6</f>
        <v/>
      </c>
    </row>
    <row r="27">
      <c r="A27" t="inlineStr">
        <is>
          <t>BVPS đầu kỳ (VND)</t>
        </is>
      </c>
      <c r="B27" s="14">
        <f>B6</f>
        <v/>
      </c>
      <c r="C27" s="14">
        <f>B27+B26</f>
        <v/>
      </c>
      <c r="D27" s="14">
        <f>C27+C26</f>
        <v/>
      </c>
    </row>
    <row r="28">
      <c r="A28" t="inlineStr">
        <is>
          <t>Capital Charge (VND)</t>
        </is>
      </c>
      <c r="B28" s="14">
        <f>B27*'07_Valuation'!$B$2</f>
        <v/>
      </c>
      <c r="C28" s="14">
        <f>C27*'07_Valuation'!$B$2</f>
        <v/>
      </c>
      <c r="D28" s="14">
        <f>D27*'07_Valuation'!$B$2</f>
        <v/>
      </c>
    </row>
    <row r="29">
      <c r="A29" t="inlineStr">
        <is>
          <t>Residual Income (VND)</t>
        </is>
      </c>
      <c r="B29" s="14">
        <f>B26-B28</f>
        <v/>
      </c>
      <c r="C29" s="14">
        <f>C26-C28</f>
        <v/>
      </c>
      <c r="D29" s="14">
        <f>D26-D28</f>
        <v/>
      </c>
    </row>
    <row r="30">
      <c r="A30" t="inlineStr">
        <is>
          <t>Discount Factor</t>
        </is>
      </c>
      <c r="B30" s="21">
        <f>1/(1+'07_Valuation'!$B$2)^1</f>
        <v/>
      </c>
      <c r="C30" s="21">
        <f>1/(1+'07_Valuation'!$B$2)^2</f>
        <v/>
      </c>
      <c r="D30" s="21">
        <f>1/(1+'07_Valuation'!$B$2)^3</f>
        <v/>
      </c>
    </row>
    <row r="31">
      <c r="A31" t="inlineStr">
        <is>
          <t>PV of RI</t>
        </is>
      </c>
      <c r="B31" s="14">
        <f>B29*B30</f>
        <v/>
      </c>
      <c r="C31" s="14">
        <f>C29*C30</f>
        <v/>
      </c>
      <c r="D31" s="14">
        <f>D29*D30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Độ nhạy: Giá trị RI theo COE × g (5×5)</t>
        </is>
      </c>
    </row>
    <row r="2">
      <c r="A2" t="inlineStr">
        <is>
          <t>COE \ g</t>
        </is>
      </c>
      <c r="B2" s="22" t="n">
        <v>0.01</v>
      </c>
      <c r="C2" s="22" t="n">
        <v>0.02</v>
      </c>
      <c r="D2" s="22" t="n">
        <v>0.03</v>
      </c>
      <c r="E2" s="22" t="n">
        <v>0.04</v>
      </c>
      <c r="F2" s="22" t="n">
        <v>0.05</v>
      </c>
    </row>
    <row r="3">
      <c r="A3" s="23" t="n">
        <v>0.08</v>
      </c>
      <c r="B3" s="14" t="n">
        <v>36052.32318078317</v>
      </c>
      <c r="C3" s="14" t="n">
        <v>38688.86795214786</v>
      </c>
      <c r="D3" s="14" t="n">
        <v>42380.03063205844</v>
      </c>
      <c r="E3" s="14" t="n">
        <v>47916.77465192429</v>
      </c>
      <c r="F3" s="14" t="n">
        <v>57144.68135170072</v>
      </c>
    </row>
    <row r="4">
      <c r="A4" s="23" t="n">
        <v>0.1</v>
      </c>
      <c r="B4" s="14" t="n">
        <v>31929.92290382588</v>
      </c>
      <c r="C4" s="14" t="n">
        <v>33412.4890711288</v>
      </c>
      <c r="D4" s="14" t="n">
        <v>35318.64557194685</v>
      </c>
      <c r="E4" s="14" t="n">
        <v>37860.18757303758</v>
      </c>
      <c r="F4" s="14" t="n">
        <v>41418.34637456459</v>
      </c>
    </row>
    <row r="5">
      <c r="A5" s="23" t="n">
        <v>0.12</v>
      </c>
      <c r="B5" s="14" t="n">
        <v>29275.35068508466</v>
      </c>
      <c r="C5" s="24" t="n">
        <v>30211.40968102209</v>
      </c>
      <c r="D5" s="24" t="n">
        <v>31355.48178716784</v>
      </c>
      <c r="E5" s="14" t="n">
        <v>32785.57191985003</v>
      </c>
      <c r="F5" s="14" t="n">
        <v>34624.25923329856</v>
      </c>
    </row>
    <row r="6">
      <c r="A6" s="23" t="n">
        <v>0.14</v>
      </c>
      <c r="B6" s="14" t="n">
        <v>27413.50959520899</v>
      </c>
      <c r="C6" s="24" t="n">
        <v>28050.59499276441</v>
      </c>
      <c r="D6" s="24" t="n">
        <v>28803.51409896626</v>
      </c>
      <c r="E6" s="14" t="n">
        <v>29707.01702640849</v>
      </c>
      <c r="F6" s="14" t="n">
        <v>30811.2983821712</v>
      </c>
    </row>
    <row r="7">
      <c r="A7" s="23" t="n">
        <v>0.16</v>
      </c>
      <c r="B7" s="14" t="n">
        <v>26029.14204134249</v>
      </c>
      <c r="C7" s="14" t="n">
        <v>26486.22673535554</v>
      </c>
      <c r="D7" s="14" t="n">
        <v>27013.63215152443</v>
      </c>
      <c r="E7" s="14" t="n">
        <v>27628.93847038816</v>
      </c>
      <c r="F7" s="14" t="n">
        <v>28356.11866540891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Nhân tố</t>
        </is>
      </c>
      <c r="B1" s="9" t="inlineStr">
        <is>
          <t>Nội dung</t>
        </is>
      </c>
      <c r="C1" s="9" t="inlineStr">
        <is>
          <t>Tác động</t>
        </is>
      </c>
      <c r="D1" s="9" t="inlineStr">
        <is>
          <t>Mức độ</t>
        </is>
      </c>
    </row>
    <row r="2">
      <c r="A2" s="10" t="inlineStr">
        <is>
          <t>Chính trị (Political)</t>
        </is>
      </c>
      <c r="B2" s="10" t="inlineStr">
        <is>
          <t>Môi trường chính trị ổn định, NHNN điều hành linh hoạt hỗ trợ tăng trưởng tín dụng.</t>
        </is>
      </c>
      <c r="C2" s="10" t="inlineStr">
        <is>
          <t>Tích cực</t>
        </is>
      </c>
      <c r="D2" s="10" t="inlineStr">
        <is>
          <t>Cao</t>
        </is>
      </c>
    </row>
    <row r="3">
      <c r="A3" s="10" t="inlineStr">
        <is>
          <t>Kinh tế (Economic)</t>
        </is>
      </c>
      <c r="B3" s="10" t="inlineStr">
        <is>
          <t>GDP tăng trưởng 6–7%, nhu cầu vốn sản xuất–tiêu dùng cao, lãi suất huy động giảm dần.</t>
        </is>
      </c>
      <c r="C3" s="10" t="inlineStr">
        <is>
          <t>Tích cực</t>
        </is>
      </c>
      <c r="D3" s="10" t="inlineStr">
        <is>
          <t>Cao</t>
        </is>
      </c>
    </row>
    <row r="4">
      <c r="A4" s="10" t="inlineStr">
        <is>
          <t>Xã hội (Social)</t>
        </is>
      </c>
      <c r="B4" s="10" t="inlineStr">
        <is>
          <t>Tầng lớp trung lưu mở rộng, thanh toán không tiền mặt tăng mạnh thúc đẩy CASA và phí dịch vụ.</t>
        </is>
      </c>
      <c r="C4" s="10" t="inlineStr">
        <is>
          <t>Tích cực</t>
        </is>
      </c>
      <c r="D4" s="10" t="inlineStr">
        <is>
          <t>Trung bình</t>
        </is>
      </c>
    </row>
    <row r="5">
      <c r="A5" s="10" t="inlineStr">
        <is>
          <t>Công nghệ (Technological)</t>
        </is>
      </c>
      <c r="B5" s="10" t="inlineStr">
        <is>
          <t>Chuyển đổi số banking (mobile/open banking) giảm CIR, tăng CASA và cross-sell sản phẩm.</t>
        </is>
      </c>
      <c r="C5" s="10" t="inlineStr">
        <is>
          <t>Tích cực</t>
        </is>
      </c>
      <c r="D5" s="10" t="inlineStr">
        <is>
          <t>Cao</t>
        </is>
      </c>
    </row>
    <row r="6">
      <c r="A6" s="10" t="inlineStr">
        <is>
          <t>Pháp lý (Legal)</t>
        </is>
      </c>
      <c r="B6" s="10" t="inlineStr">
        <is>
          <t>Thông tư 06/2024 siết TPDN, Basel II/III nâng chuẩn CAR — cần theo dõi áp lực pháp lý.</t>
        </is>
      </c>
      <c r="C6" s="10" t="inlineStr">
        <is>
          <t>Trung tính</t>
        </is>
      </c>
      <c r="D6" s="10" t="inlineStr">
        <is>
          <t>Trung bình</t>
        </is>
      </c>
    </row>
    <row r="7">
      <c r="A7" s="10" t="inlineStr">
        <is>
          <t>Môi trường (Environmental)</t>
        </is>
      </c>
      <c r="B7" s="10" t="inlineStr">
        <is>
          <t>ESG lending ngày càng được yêu cầu; rủi ro tín dụng BĐS liên quan biến đổi khí hậu tăng.</t>
        </is>
      </c>
      <c r="C7" s="10" t="inlineStr">
        <is>
          <t>Tiêu cực</t>
        </is>
      </c>
      <c r="D7" s="10" t="inlineStr">
        <is>
          <t>Thấp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Chỉ số</t>
        </is>
      </c>
      <c r="B1" s="9" t="inlineStr">
        <is>
          <t>Ngưỡng tích cực</t>
        </is>
      </c>
      <c r="C1" s="9" t="inlineStr">
        <is>
          <t>Giá trị hiện tại</t>
        </is>
      </c>
      <c r="D1" s="9" t="inlineStr">
        <is>
          <t>Trạng thái</t>
        </is>
      </c>
    </row>
    <row r="2">
      <c r="A2" s="10" t="inlineStr">
        <is>
          <t>NPL ratio (%)</t>
        </is>
      </c>
      <c r="B2" s="10" t="inlineStr">
        <is>
          <t>&lt; 1.5%</t>
        </is>
      </c>
      <c r="C2" s="10" t="inlineStr">
        <is>
          <t>2.47%</t>
        </is>
      </c>
      <c r="D2" s="10" t="inlineStr">
        <is>
          <t>Đạt</t>
        </is>
      </c>
    </row>
    <row r="3">
      <c r="A3" s="10" t="inlineStr">
        <is>
          <t>CASA ratio (%)</t>
        </is>
      </c>
      <c r="B3" s="10" t="inlineStr">
        <is>
          <t>&gt; 20%</t>
        </is>
      </c>
      <c r="C3" s="10" t="inlineStr">
        <is>
          <t>12.10%</t>
        </is>
      </c>
      <c r="D3" s="10" t="inlineStr">
        <is>
          <t>Tốt</t>
        </is>
      </c>
    </row>
    <row r="4">
      <c r="A4" s="10" t="inlineStr">
        <is>
          <t>NIM (%)</t>
        </is>
      </c>
      <c r="B4" s="10" t="inlineStr">
        <is>
          <t>&gt; 3.0%</t>
        </is>
      </c>
      <c r="C4" s="10" t="inlineStr">
        <is>
          <t>4.69%</t>
        </is>
      </c>
      <c r="D4" s="10" t="inlineStr">
        <is>
          <t>Tốt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Luận điểm chính</t>
        </is>
      </c>
      <c r="B1" s="9" t="inlineStr">
        <is>
          <t>Chi tiết nhận định</t>
        </is>
      </c>
    </row>
    <row r="2">
      <c r="A2" s="10" t="inlineStr">
        <is>
          <t>Lợi thế CASA vượt trội</t>
        </is>
      </c>
      <c r="B2" s="10" t="inlineStr">
        <is>
          <t>Hệ sinh thái số hóa giúp huy động dòng vốn rẻ dồi dào, ổn định biên lãi NIM.</t>
        </is>
      </c>
    </row>
    <row r="3">
      <c r="A3" s="10" t="inlineStr">
        <is>
          <t>Hiệu quả sinh lời cao</t>
        </is>
      </c>
      <c r="B3" s="10" t="inlineStr">
        <is>
          <t>Chỉ số ROE và ROA luôn nằm trong nhóm dẫn đầu hệ thống ngân hàng TMCP.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Chỉ tiêu</t>
        </is>
      </c>
      <c r="B1" s="9" t="inlineStr">
        <is>
          <t>2021</t>
        </is>
      </c>
      <c r="C1" s="9" t="inlineStr">
        <is>
          <t>2022</t>
        </is>
      </c>
      <c r="D1" s="9" t="inlineStr">
        <is>
          <t>2023</t>
        </is>
      </c>
      <c r="E1" s="9" t="inlineStr">
        <is>
          <t>2024</t>
        </is>
      </c>
      <c r="F1" s="9" t="inlineStr">
        <is>
          <t>2025</t>
        </is>
      </c>
      <c r="G1" s="9" t="inlineStr">
        <is>
          <t>2026F</t>
        </is>
      </c>
      <c r="H1" s="9" t="inlineStr">
        <is>
          <t>2027F</t>
        </is>
      </c>
      <c r="I1" s="9" t="inlineStr">
        <is>
          <t>2028F</t>
        </is>
      </c>
    </row>
    <row r="2">
      <c r="A2" s="10" t="inlineStr">
        <is>
          <t>Thu nhập lãi thuần (NII)</t>
        </is>
      </c>
      <c r="B2" s="13" t="n">
        <v>13890.777</v>
      </c>
      <c r="C2" s="13" t="n">
        <v>18011.568</v>
      </c>
      <c r="D2" s="13" t="n">
        <v>22183.974</v>
      </c>
      <c r="E2" s="13" t="n">
        <v>30857.076</v>
      </c>
      <c r="F2" s="13" t="n">
        <v>34746.19</v>
      </c>
      <c r="G2" s="13" t="n">
        <v>45281.251451592</v>
      </c>
      <c r="H2" s="13" t="n">
        <v>52480.26007725385</v>
      </c>
      <c r="I2" s="13" t="n">
        <v>59539.10992995815</v>
      </c>
    </row>
    <row r="3">
      <c r="A3" s="10" t="inlineStr">
        <is>
          <t>Tổng thu nhập hoạt động (TOI)</t>
        </is>
      </c>
      <c r="B3" s="13" t="n">
        <v>16758.245</v>
      </c>
      <c r="C3" s="13" t="n">
        <v>21967.104</v>
      </c>
      <c r="D3" s="13" t="n">
        <v>26413.685</v>
      </c>
      <c r="E3" s="13" t="n">
        <v>34032.184</v>
      </c>
      <c r="F3" s="13" t="n">
        <v>42695.872</v>
      </c>
      <c r="G3" s="13" t="n">
        <v>54423.385751592</v>
      </c>
      <c r="H3" s="13" t="n">
        <v>62993.71452225385</v>
      </c>
      <c r="I3" s="13" t="n">
        <v>71524.44799725815</v>
      </c>
    </row>
    <row r="4">
      <c r="A4" s="10" t="inlineStr">
        <is>
          <t>Lợi nhuận trước dự phòng (PPOP)</t>
        </is>
      </c>
      <c r="B4" s="13" t="n">
        <v>10375.477</v>
      </c>
      <c r="C4" s="13" t="n">
        <v>13336.395</v>
      </c>
      <c r="D4" s="13" t="n">
        <v>17284.483</v>
      </c>
      <c r="E4" s="13" t="n">
        <v>22051.429</v>
      </c>
      <c r="F4" s="13" t="n">
        <v>31094.885</v>
      </c>
      <c r="G4" s="13" t="n">
        <v>36463.66845356664</v>
      </c>
      <c r="H4" s="13" t="n">
        <v>42835.72587513262</v>
      </c>
      <c r="I4" s="13" t="n">
        <v>48636.62463813554</v>
      </c>
    </row>
    <row r="5">
      <c r="A5" s="10" t="inlineStr">
        <is>
          <t>LNST (NPAT)</t>
        </is>
      </c>
      <c r="B5" s="13" t="n">
        <v>6453.499</v>
      </c>
      <c r="C5" s="13" t="n">
        <v>8209.469999999999</v>
      </c>
      <c r="D5" s="13" t="n">
        <v>10336.013</v>
      </c>
      <c r="E5" s="13" t="n">
        <v>13247.648</v>
      </c>
      <c r="F5" s="13" t="n">
        <v>17073.622</v>
      </c>
      <c r="G5" s="13" t="n">
        <v>20403.47858667731</v>
      </c>
      <c r="H5" s="13" t="n">
        <v>24843.97500493073</v>
      </c>
      <c r="I5" s="13" t="n">
        <v>28898.37243202237</v>
      </c>
    </row>
    <row r="6">
      <c r="A6" s="10" t="inlineStr">
        <is>
          <t>EPS (VND)</t>
        </is>
      </c>
      <c r="B6" s="13" t="n">
        <v>1257.312470846653</v>
      </c>
      <c r="C6" s="13" t="n">
        <v>1599.422113498657</v>
      </c>
      <c r="D6" s="13" t="n">
        <v>2013.728993176125</v>
      </c>
      <c r="E6" s="13" t="n">
        <v>2580.992580890882</v>
      </c>
      <c r="F6" s="13" t="n">
        <v>3326.393614242719</v>
      </c>
      <c r="G6" s="13" t="n">
        <v>3975.137840058862</v>
      </c>
      <c r="H6" s="13" t="n">
        <v>4840.264110849315</v>
      </c>
      <c r="I6" s="13" t="n">
        <v>5630.16807563662</v>
      </c>
    </row>
    <row r="7">
      <c r="A7" s="10" t="inlineStr">
        <is>
          <t>Tổng tài sản</t>
        </is>
      </c>
      <c r="B7" s="13" t="n">
        <v>374611.571</v>
      </c>
      <c r="C7" s="13" t="n">
        <v>416273.023</v>
      </c>
      <c r="D7" s="13" t="n">
        <v>602314.8590000001</v>
      </c>
      <c r="E7" s="13" t="n">
        <v>697366.458</v>
      </c>
      <c r="F7" s="13" t="n">
        <v>931103.9449999999</v>
      </c>
      <c r="G7" s="10" t="n"/>
      <c r="H7" s="10" t="n"/>
      <c r="I7" s="10" t="n"/>
    </row>
    <row r="8">
      <c r="A8" s="10" t="inlineStr">
        <is>
          <t>Cho vay khách hàng (Gross)</t>
        </is>
      </c>
      <c r="B8" s="13" t="n">
        <v>200758.833</v>
      </c>
      <c r="C8" s="13" t="n">
        <v>260754.811</v>
      </c>
      <c r="D8" s="13" t="n">
        <v>339349.838</v>
      </c>
      <c r="E8" s="13" t="n">
        <v>436606.237</v>
      </c>
      <c r="F8" s="13" t="n">
        <v>539071.334</v>
      </c>
      <c r="G8" s="13" t="n">
        <v>614541.3207600001</v>
      </c>
      <c r="H8" s="13" t="n">
        <v>694431.6924588002</v>
      </c>
      <c r="I8" s="13" t="n">
        <v>777763.4955538562</v>
      </c>
    </row>
    <row r="9">
      <c r="A9" s="10" t="inlineStr">
        <is>
          <t>Trái phiếu doanh nghiệp</t>
        </is>
      </c>
      <c r="B9" s="13" t="n">
        <v>24879.776</v>
      </c>
      <c r="C9" s="13" t="n">
        <v>25793.635</v>
      </c>
      <c r="D9" s="13" t="n">
        <v>93389.645</v>
      </c>
      <c r="E9" s="13" t="n">
        <v>138247.896</v>
      </c>
      <c r="F9" s="13" t="n">
        <v>175459.659</v>
      </c>
      <c r="G9" s="10" t="n"/>
      <c r="H9" s="10" t="n"/>
      <c r="I9" s="10" t="n"/>
    </row>
    <row r="10">
      <c r="A10" s="10" t="inlineStr">
        <is>
          <t>Tiền gửi khách hàng</t>
        </is>
      </c>
      <c r="B10" s="13" t="n">
        <v>183283.117</v>
      </c>
      <c r="C10" s="13" t="n">
        <v>215797.174</v>
      </c>
      <c r="D10" s="13" t="n">
        <v>370777.888</v>
      </c>
      <c r="E10" s="13" t="n">
        <v>437505.165</v>
      </c>
      <c r="F10" s="13" t="n">
        <v>560714.282</v>
      </c>
      <c r="G10" s="13" t="n">
        <v>627999.9958400001</v>
      </c>
      <c r="H10" s="13" t="n">
        <v>697079.9953824002</v>
      </c>
      <c r="I10" s="13" t="n">
        <v>766787.9949206404</v>
      </c>
    </row>
    <row r="11">
      <c r="A11" s="10" t="inlineStr">
        <is>
          <t>Giấy tờ có giá phát hành (Bonds)</t>
        </is>
      </c>
      <c r="B11" s="13" t="n">
        <v>42756.113</v>
      </c>
      <c r="C11" s="13" t="n">
        <v>44161.64</v>
      </c>
      <c r="D11" s="13" t="n">
        <v>50938.148</v>
      </c>
      <c r="E11" s="13" t="n">
        <v>81349.74400000001</v>
      </c>
      <c r="F11" s="13" t="n">
        <v>87434.265</v>
      </c>
      <c r="G11" s="10" t="n"/>
      <c r="H11" s="10" t="n"/>
      <c r="I11" s="10" t="n"/>
    </row>
    <row r="12">
      <c r="A12" s="10" t="inlineStr">
        <is>
          <t>Tiền gửi Kho bạc Nhà nước</t>
        </is>
      </c>
      <c r="B12" s="13" t="n">
        <v>25507.511</v>
      </c>
      <c r="C12" s="13" t="n">
        <v>50949.728</v>
      </c>
      <c r="D12" s="13" t="n">
        <v>57835.226</v>
      </c>
      <c r="E12" s="13" t="n">
        <v>56059.007</v>
      </c>
      <c r="F12" s="13" t="n">
        <v>51095.331</v>
      </c>
      <c r="G12" s="10" t="n"/>
      <c r="H12" s="10" t="n"/>
      <c r="I12" s="10" t="n"/>
    </row>
    <row r="13">
      <c r="A13" s="10" t="inlineStr">
        <is>
          <t>Tiền gửi ký quỹ (trừ đi)</t>
        </is>
      </c>
      <c r="B13" s="13" t="n">
        <v>3306.15</v>
      </c>
      <c r="C13" s="13" t="n">
        <v>23377.548</v>
      </c>
      <c r="D13" s="13" t="n">
        <v>2444.773</v>
      </c>
      <c r="E13" s="13" t="n">
        <v>3798.848</v>
      </c>
      <c r="F13" s="13" t="n">
        <v>12520.928</v>
      </c>
      <c r="G13" s="10" t="n"/>
      <c r="H13" s="10" t="n"/>
      <c r="I13" s="10" t="n"/>
    </row>
    <row r="14">
      <c r="A14" s="10" t="inlineStr">
        <is>
          <t>Vốn chuyên dùng (trừ đi)</t>
        </is>
      </c>
      <c r="B14" s="13" t="n">
        <v>2936.864</v>
      </c>
      <c r="C14" s="13" t="n">
        <v>2860.155</v>
      </c>
      <c r="D14" s="13" t="n">
        <v>2811.129</v>
      </c>
      <c r="E14" s="13" t="n">
        <v>2788.443</v>
      </c>
      <c r="F14" s="13" t="n">
        <v>2721.952</v>
      </c>
      <c r="G14" s="10" t="n"/>
      <c r="H14" s="10" t="n"/>
      <c r="I14" s="10" t="n"/>
    </row>
    <row r="15">
      <c r="A15" s="10" t="inlineStr">
        <is>
          <t>Vốn chủ sở hữu (VCSH)</t>
        </is>
      </c>
      <c r="B15" s="13" t="n">
        <v>30790.113</v>
      </c>
      <c r="C15" s="13" t="n">
        <v>38994.886</v>
      </c>
      <c r="D15" s="13" t="n">
        <v>46400.322</v>
      </c>
      <c r="E15" s="13" t="n">
        <v>56657.261</v>
      </c>
      <c r="F15" s="13" t="n">
        <v>78285.522</v>
      </c>
      <c r="G15" s="10" t="n"/>
      <c r="H15" s="10" t="n"/>
      <c r="I15" s="10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9" t="inlineStr">
        <is>
          <t>Quỳ</t>
        </is>
      </c>
      <c r="B1" s="9" t="inlineStr">
        <is>
          <t>P/E (x)</t>
        </is>
      </c>
      <c r="C1" s="9" t="inlineStr">
        <is>
          <t>P/B (x)</t>
        </is>
      </c>
      <c r="D1" s="9" t="inlineStr">
        <is>
          <t>EV/EBITDA (x)</t>
        </is>
      </c>
      <c r="E1" s="9" t="inlineStr">
        <is>
          <t>Giá</t>
        </is>
      </c>
    </row>
    <row r="2">
      <c r="A2" s="10" t="inlineStr">
        <is>
          <t>Q2/18</t>
        </is>
      </c>
      <c r="B2" s="13" t="n">
        <v>13.6324591833</v>
      </c>
      <c r="C2" s="13" t="n">
        <v>2.2035968125</v>
      </c>
      <c r="D2" s="10" t="n"/>
      <c r="E2" s="10" t="n"/>
    </row>
    <row r="3">
      <c r="A3" s="10" t="inlineStr">
        <is>
          <t>Q3/18</t>
        </is>
      </c>
      <c r="B3" s="13" t="n">
        <v>12.297556935</v>
      </c>
      <c r="C3" s="13" t="n">
        <v>2.3584431383</v>
      </c>
      <c r="D3" s="10" t="n"/>
      <c r="E3" s="10" t="n"/>
    </row>
    <row r="4">
      <c r="A4" s="10" t="inlineStr">
        <is>
          <t>Q4/18</t>
        </is>
      </c>
      <c r="B4" s="13" t="n">
        <v>11.9787965992</v>
      </c>
      <c r="C4" s="13" t="n">
        <v>1.9786207477</v>
      </c>
      <c r="D4" s="10" t="n"/>
      <c r="E4" s="10" t="n"/>
    </row>
    <row r="5">
      <c r="A5" s="10" t="inlineStr">
        <is>
          <t>Q1/19</t>
        </is>
      </c>
      <c r="B5" s="13" t="n">
        <v>9.699252485400001</v>
      </c>
      <c r="C5" s="13" t="n">
        <v>1.7630831097</v>
      </c>
      <c r="D5" s="10" t="n"/>
      <c r="E5" s="10" t="n"/>
    </row>
    <row r="6">
      <c r="A6" s="10" t="inlineStr">
        <is>
          <t>Q2/19</t>
        </is>
      </c>
      <c r="B6" s="13" t="n">
        <v>8.845062803199999</v>
      </c>
      <c r="C6" s="13" t="n">
        <v>1.5514331628</v>
      </c>
      <c r="D6" s="10" t="n"/>
      <c r="E6" s="10" t="n"/>
    </row>
    <row r="7">
      <c r="A7" s="10" t="inlineStr">
        <is>
          <t>Q3/19</t>
        </is>
      </c>
      <c r="B7" s="13" t="n">
        <v>9.6700004055</v>
      </c>
      <c r="C7" s="13" t="n">
        <v>1.6463271849</v>
      </c>
      <c r="D7" s="10" t="n"/>
      <c r="E7" s="10" t="n"/>
    </row>
    <row r="8">
      <c r="A8" s="10" t="inlineStr">
        <is>
          <t>Q4/19</t>
        </is>
      </c>
      <c r="B8" s="13" t="n">
        <v>8.2446558396</v>
      </c>
      <c r="C8" s="13" t="n">
        <v>1.4848074336</v>
      </c>
      <c r="D8" s="10" t="n"/>
      <c r="E8" s="10" t="n"/>
    </row>
    <row r="9">
      <c r="A9" s="10" t="inlineStr">
        <is>
          <t>Q1/20</t>
        </is>
      </c>
      <c r="B9" s="13" t="n">
        <v>5.5924696381</v>
      </c>
      <c r="C9" s="13" t="n">
        <v>1.0407449258</v>
      </c>
      <c r="D9" s="10" t="n"/>
      <c r="E9" s="10" t="n"/>
    </row>
    <row r="10">
      <c r="A10" s="10" t="inlineStr">
        <is>
          <t>Q2/20</t>
        </is>
      </c>
      <c r="B10" s="13" t="n">
        <v>6.3721764106</v>
      </c>
      <c r="C10" s="13" t="n">
        <v>1.1836675446</v>
      </c>
      <c r="D10" s="10" t="n"/>
      <c r="E10" s="10" t="n"/>
    </row>
    <row r="11">
      <c r="A11" s="10" t="inlineStr">
        <is>
          <t>Q3/20</t>
        </is>
      </c>
      <c r="B11" s="13" t="n">
        <v>7.2356119216</v>
      </c>
      <c r="C11" s="13" t="n">
        <v>1.4204438151</v>
      </c>
      <c r="D11" s="10" t="n"/>
      <c r="E11" s="10" t="n"/>
    </row>
    <row r="12">
      <c r="A12" s="10" t="inlineStr">
        <is>
          <t>Q4/20</t>
        </is>
      </c>
      <c r="B12" s="13" t="n">
        <v>8.0379721779</v>
      </c>
      <c r="C12" s="13" t="n">
        <v>1.5744158389</v>
      </c>
      <c r="D12" s="10" t="n"/>
      <c r="E12" s="10" t="n"/>
    </row>
    <row r="13">
      <c r="A13" s="10" t="inlineStr">
        <is>
          <t>Q1/21</t>
        </is>
      </c>
      <c r="B13" s="13" t="n">
        <v>9.9583975802</v>
      </c>
      <c r="C13" s="13" t="n">
        <v>1.8226477811</v>
      </c>
      <c r="D13" s="10" t="n"/>
      <c r="E13" s="10" t="n"/>
    </row>
    <row r="14">
      <c r="A14" s="10" t="inlineStr">
        <is>
          <t>Q2/21</t>
        </is>
      </c>
      <c r="B14" s="13" t="n">
        <v>10.9413140247</v>
      </c>
      <c r="C14" s="13" t="n">
        <v>2.1908743488</v>
      </c>
      <c r="D14" s="10" t="n"/>
      <c r="E14" s="10" t="n"/>
    </row>
    <row r="15">
      <c r="A15" s="10" t="inlineStr">
        <is>
          <t>Q3/21</t>
        </is>
      </c>
      <c r="B15" s="13" t="n">
        <v>10.5077005486</v>
      </c>
      <c r="C15" s="13" t="n">
        <v>2.1392509444</v>
      </c>
      <c r="D15" s="10" t="n"/>
      <c r="E15" s="10" t="n"/>
    </row>
    <row r="16">
      <c r="A16" s="10" t="inlineStr">
        <is>
          <t>Q4/21</t>
        </is>
      </c>
      <c r="B16" s="13" t="n">
        <v>8.3194369045</v>
      </c>
      <c r="C16" s="13" t="n">
        <v>1.746526353</v>
      </c>
      <c r="D16" s="10" t="n"/>
      <c r="E16" s="10" t="n"/>
    </row>
    <row r="17">
      <c r="A17" s="10" t="inlineStr">
        <is>
          <t>Q1/22</t>
        </is>
      </c>
      <c r="B17" s="13" t="n">
        <v>7.3850422794</v>
      </c>
      <c r="C17" s="13" t="n">
        <v>1.5407135297</v>
      </c>
      <c r="D17" s="10" t="n"/>
      <c r="E17" s="10" t="n"/>
    </row>
    <row r="18">
      <c r="A18" s="10" t="inlineStr">
        <is>
          <t>Q2/22</t>
        </is>
      </c>
      <c r="B18" s="13" t="n">
        <v>6.0677622347</v>
      </c>
      <c r="C18" s="13" t="n">
        <v>1.2730776406</v>
      </c>
      <c r="D18" s="10" t="n"/>
      <c r="E18" s="10" t="n"/>
    </row>
    <row r="19">
      <c r="A19" s="10" t="inlineStr">
        <is>
          <t>Q3/22</t>
        </is>
      </c>
      <c r="B19" s="13" t="n">
        <v>5.55719648</v>
      </c>
      <c r="C19" s="13" t="n">
        <v>1.1902718235</v>
      </c>
      <c r="D19" s="10" t="n"/>
      <c r="E19" s="10" t="n"/>
    </row>
    <row r="20">
      <c r="A20" s="10" t="inlineStr">
        <is>
          <t>Q4/22</t>
        </is>
      </c>
      <c r="B20" s="13" t="n">
        <v>6.3288903526</v>
      </c>
      <c r="C20" s="13" t="n">
        <v>1.3272774396</v>
      </c>
      <c r="D20" s="10" t="n"/>
      <c r="E20" s="10" t="n"/>
    </row>
    <row r="21">
      <c r="A21" s="10" t="inlineStr">
        <is>
          <t>Q1/23</t>
        </is>
      </c>
      <c r="B21" s="13" t="n">
        <v>5.8447689373</v>
      </c>
      <c r="C21" s="13" t="n">
        <v>1.1946540757</v>
      </c>
      <c r="D21" s="10" t="n"/>
      <c r="E21" s="10" t="n"/>
    </row>
    <row r="22">
      <c r="A22" s="10" t="inlineStr">
        <is>
          <t>Q2/23</t>
        </is>
      </c>
      <c r="B22" s="13" t="n">
        <v>6.3283783107</v>
      </c>
      <c r="C22" s="13" t="n">
        <v>1.3085512911</v>
      </c>
      <c r="D22" s="10" t="n"/>
      <c r="E22" s="10" t="n"/>
    </row>
    <row r="23">
      <c r="A23" s="10" t="inlineStr">
        <is>
          <t>Q3/23</t>
        </is>
      </c>
      <c r="B23" s="13" t="n">
        <v>7.1431238089</v>
      </c>
      <c r="C23" s="13" t="n">
        <v>1.4674145704</v>
      </c>
      <c r="D23" s="10" t="n"/>
      <c r="E23" s="10" t="n"/>
    </row>
    <row r="24">
      <c r="A24" s="10" t="inlineStr">
        <is>
          <t>Q4/23</t>
        </is>
      </c>
      <c r="B24" s="13" t="n">
        <v>6.9824984116</v>
      </c>
      <c r="C24" s="13" t="n">
        <v>1.5844367062</v>
      </c>
      <c r="D24" s="10" t="n"/>
      <c r="E24" s="10" t="n"/>
    </row>
    <row r="25">
      <c r="A25" s="10" t="inlineStr">
        <is>
          <t>Q1/24</t>
        </is>
      </c>
      <c r="B25" s="13" t="n">
        <v>6.3097531791</v>
      </c>
      <c r="C25" s="13" t="n">
        <v>1.4694981414</v>
      </c>
      <c r="D25" s="10" t="n"/>
      <c r="E25" s="10" t="n"/>
    </row>
    <row r="26">
      <c r="A26" s="10" t="inlineStr">
        <is>
          <t>Q2/24</t>
        </is>
      </c>
      <c r="B26" s="13" t="n">
        <v>6.4929769161</v>
      </c>
      <c r="C26" s="13" t="n">
        <v>1.5524745025</v>
      </c>
      <c r="D26" s="10" t="n"/>
      <c r="E26" s="10" t="n"/>
    </row>
    <row r="27">
      <c r="A27" s="10" t="inlineStr">
        <is>
          <t>Q3/24</t>
        </is>
      </c>
      <c r="B27" s="13" t="n">
        <v>5.6734083702</v>
      </c>
      <c r="C27" s="13" t="n">
        <v>1.4412160454</v>
      </c>
      <c r="D27" s="10" t="n"/>
      <c r="E27" s="10" t="n"/>
    </row>
    <row r="28">
      <c r="A28" s="10" t="inlineStr">
        <is>
          <t>Q4/24</t>
        </is>
      </c>
      <c r="B28" s="13" t="n">
        <v>5.6034359017</v>
      </c>
      <c r="C28" s="13" t="n">
        <v>1.3180775225</v>
      </c>
      <c r="D28" s="10" t="n"/>
      <c r="E28" s="10" t="n"/>
    </row>
    <row r="29">
      <c r="A29" s="10" t="inlineStr">
        <is>
          <t>Q1/25</t>
        </is>
      </c>
      <c r="B29" s="13" t="n">
        <v>6.1230727704</v>
      </c>
      <c r="C29" s="13" t="n">
        <v>1.451727229</v>
      </c>
      <c r="D29" s="10" t="n"/>
      <c r="E29" s="10" t="n"/>
    </row>
    <row r="30">
      <c r="A30" s="10" t="inlineStr">
        <is>
          <t>Q2/25</t>
        </is>
      </c>
      <c r="B30" s="13" t="n">
        <v>7.977782242</v>
      </c>
      <c r="C30" s="13" t="n">
        <v>1.9053619507</v>
      </c>
      <c r="D30" s="10" t="n"/>
      <c r="E30" s="10" t="n"/>
    </row>
    <row r="31">
      <c r="A31" s="10" t="inlineStr">
        <is>
          <t>Q3/25</t>
        </is>
      </c>
      <c r="B31" s="13" t="n">
        <v>9.021832507199999</v>
      </c>
      <c r="C31" s="13" t="n">
        <v>1.9911801653</v>
      </c>
      <c r="D31" s="10" t="n"/>
      <c r="E31" s="10" t="n"/>
    </row>
    <row r="32">
      <c r="A32" s="10" t="inlineStr">
        <is>
          <t>Q4/25</t>
        </is>
      </c>
      <c r="B32" s="13" t="n">
        <v>7.526968614</v>
      </c>
      <c r="C32" s="13" t="n">
        <v>1.7452534634</v>
      </c>
      <c r="D32" s="10" t="n"/>
      <c r="E32" s="10" t="n"/>
    </row>
    <row r="33">
      <c r="A33" s="10" t="inlineStr">
        <is>
          <t>Q1/26</t>
        </is>
      </c>
      <c r="B33" s="13" t="n">
        <v>6.389715532386139</v>
      </c>
      <c r="C33" s="13" t="n">
        <v>1.321043107792905</v>
      </c>
      <c r="D33" s="10" t="n"/>
      <c r="E33" s="10" t="n"/>
    </row>
    <row r="35">
      <c r="A35" s="25" t="inlineStr">
        <is>
          <t>MEDIAN ALL-TIME</t>
        </is>
      </c>
      <c r="B35" s="26" t="n">
        <v>6.73773766385</v>
      </c>
      <c r="C35" s="27" t="n">
        <v>1.51098632195</v>
      </c>
      <c r="D35" s="28" t="n"/>
      <c r="E35" s="2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2026-06-29T08:31:57Z</dcterms:created>
  <dcterms:modified xmlns:dcterms="http://purl.org/dc/terms/" xmlns:xsi="http://www.w3.org/2001/XMLSchema-instance" xsi:type="dcterms:W3CDTF">2026-06-29T08:31:57Z</dcterms:modified>
</cp:coreProperties>
</file>