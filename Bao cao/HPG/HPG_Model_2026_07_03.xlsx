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  <sheet xmlns:r="http://schemas.openxmlformats.org/officeDocument/2006/relationships"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03/07/2026 18:40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 t="n">
        <v>15.7</v>
      </c>
      <c r="H6" s="12" t="n">
        <v>15.1</v>
      </c>
      <c r="I6" s="12" t="n">
        <v>12.8</v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12.2</v>
      </c>
      <c r="H7" s="10" t="n">
        <v>11.6</v>
      </c>
      <c r="I7" s="10" t="n">
        <v>9.300000000000001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1.61x (TTM 2018-2026)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8.95x (TTM 2018-2026)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11.1x (TTM)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26296</v>
      </c>
      <c r="H25" s="10" t="n">
        <v>26822</v>
      </c>
      <c r="I25" s="10" t="n">
        <v>27358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82069</v>
      </c>
      <c r="H26" s="39" t="n">
        <v>86960</v>
      </c>
      <c r="I26" s="39" t="n">
        <v>84906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152069</v>
      </c>
      <c r="H28" s="39" t="n">
        <v>164960</v>
      </c>
      <c r="I28" s="39" t="n">
        <v>171906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7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~15.7%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+12,720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168,836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15.7%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+5,396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20,849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43.1%</t>
        </is>
      </c>
      <c r="C43" s="35" t="inlineStr">
        <is>
          <t>KH 2026E NI: 20,849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470→468 USD/tấn. Spread 146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468 (2026E), Spread 182→146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709.2</v>
      </c>
      <c r="H5" s="106" t="inlineStr">
        <is>
          <t>INV — median 3 tháng (SRRc1)</t>
        </is>
      </c>
      <c r="I5" s="107">
        <f>G5-1.6*C5-0.6*D5-100</f>
        <v/>
      </c>
      <c r="J5" s="108" t="inlineStr">
        <is>
          <t>—</t>
        </is>
      </c>
      <c r="K5" s="108" t="inlineStr">
        <is>
          <t>—</t>
        </is>
      </c>
      <c r="L5" s="108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737.8</v>
      </c>
      <c r="H6" s="106" t="inlineStr">
        <is>
          <t>INV — median 3 tháng (SRRc1)</t>
        </is>
      </c>
      <c r="I6" s="107">
        <f>G6-1.6*C5-0.6*D5-100</f>
        <v/>
      </c>
      <c r="J6" s="108" t="inlineStr">
        <is>
          <t>—</t>
        </is>
      </c>
      <c r="K6" s="108" t="inlineStr">
        <is>
          <t>—</t>
        </is>
      </c>
      <c r="L6" s="108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803.2</v>
      </c>
      <c r="H7" s="106" t="inlineStr">
        <is>
          <t>INV — median 3 tháng (SRRc1)</t>
        </is>
      </c>
      <c r="I7" s="107">
        <f>G7-1.6*C6-0.6*D6-100</f>
        <v/>
      </c>
      <c r="J7" s="108" t="inlineStr">
        <is>
          <t>—</t>
        </is>
      </c>
      <c r="K7" s="108" t="inlineStr">
        <is>
          <t>—</t>
        </is>
      </c>
      <c r="L7" s="108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672.7</v>
      </c>
      <c r="H8" s="106" t="inlineStr">
        <is>
          <t>INV — median 3 tháng (SRRc1)</t>
        </is>
      </c>
      <c r="I8" s="107">
        <f>G8-1.6*C7-0.6*D7-100</f>
        <v/>
      </c>
      <c r="J8" s="108" t="inlineStr">
        <is>
          <t>—</t>
        </is>
      </c>
      <c r="K8" s="108" t="inlineStr">
        <is>
          <t>—</t>
        </is>
      </c>
      <c r="L8" s="108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664.9</v>
      </c>
      <c r="H9" s="106" t="inlineStr">
        <is>
          <t>INV — median 3 tháng (SRRc1)</t>
        </is>
      </c>
      <c r="I9" s="107">
        <f>G9-1.6*C8-0.6*D8-100</f>
        <v/>
      </c>
      <c r="J9" s="108" t="inlineStr">
        <is>
          <t>—</t>
        </is>
      </c>
      <c r="K9" s="108" t="inlineStr">
        <is>
          <t>—</t>
        </is>
      </c>
      <c r="L9" s="108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706.9</v>
      </c>
      <c r="H10" s="106" t="inlineStr">
        <is>
          <t>INV — median 3 tháng (SRRc1)</t>
        </is>
      </c>
      <c r="I10" s="107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623.2</v>
      </c>
      <c r="H11" s="106" t="inlineStr">
        <is>
          <t>INV — median 3 tháng (SRRc1)</t>
        </is>
      </c>
      <c r="I11" s="107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564.5</v>
      </c>
      <c r="H12" s="106" t="inlineStr">
        <is>
          <t>INV — median 3 tháng (SRRc1)</t>
        </is>
      </c>
      <c r="I12" s="107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594</v>
      </c>
      <c r="H13" s="106" t="inlineStr">
        <is>
          <t>INV — median 3 tháng (SRRc1)</t>
        </is>
      </c>
      <c r="I13" s="107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6" t="inlineStr">
        <is>
          <t>INV — median 3 tháng (SRRc1)</t>
        </is>
      </c>
      <c r="I14" s="107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585.5</v>
      </c>
      <c r="H15" s="106" t="inlineStr">
        <is>
          <t>INV — median 3 tháng (SRRc1)</t>
        </is>
      </c>
      <c r="I15" s="107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577.5</v>
      </c>
      <c r="H16" s="106" t="inlineStr">
        <is>
          <t>INV — median 3 tháng (SRRc1)</t>
        </is>
      </c>
      <c r="I16" s="107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570</v>
      </c>
      <c r="H17" s="106" t="inlineStr">
        <is>
          <t>INV — median 3 tháng (SRRc1)</t>
        </is>
      </c>
      <c r="I17" s="107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574.5</v>
      </c>
      <c r="H18" s="106" t="inlineStr">
        <is>
          <t>INV — median 3 tháng (SRRc1)</t>
        </is>
      </c>
      <c r="I18" s="107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539</v>
      </c>
      <c r="H19" s="106" t="inlineStr">
        <is>
          <t>INV — median 3 tháng (SRRc1)</t>
        </is>
      </c>
      <c r="I19" s="107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543.5</v>
      </c>
      <c r="H20" s="106" t="inlineStr">
        <is>
          <t>INV — median 3 tháng (SRRc1)</t>
        </is>
      </c>
      <c r="I20" s="107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564.5</v>
      </c>
      <c r="H21" s="108" t="inlineStr">
        <is>
          <t>NC — nội suy</t>
        </is>
      </c>
      <c r="I21" s="107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585.6</v>
      </c>
      <c r="H22" s="108" t="inlineStr">
        <is>
          <t>VN — neo nội địa (VSA/SteelOnline)</t>
        </is>
      </c>
      <c r="I22" s="107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461.5</v>
      </c>
      <c r="C25" s="110" t="n">
        <v>100.8</v>
      </c>
      <c r="D25" s="110" t="n">
        <v>226.8</v>
      </c>
      <c r="G25" s="110" t="n">
        <v>575</v>
      </c>
      <c r="H25" s="94" t="inlineStr">
        <is>
          <t>SteelOnline noi dia (15,120 dong/kg, quy doi ty gia 26,296)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7">
        <f>I5</f>
        <v/>
      </c>
      <c r="C36" s="107">
        <f>MEDIAN(I6:I9)</f>
        <v/>
      </c>
      <c r="D36" s="107">
        <f>MEDIAN(I10:I13)</f>
        <v/>
      </c>
      <c r="E36" s="107">
        <f>MEDIAN(I14:I17)</f>
        <v/>
      </c>
      <c r="F36" s="107">
        <f>MEDIAN(I18:I21)</f>
        <v/>
      </c>
      <c r="G36" s="107">
        <f>MEDIAN(I22,I27)</f>
        <v/>
      </c>
      <c r="H36" s="107">
        <f>H34-1.6*G32-0.6*G33-100</f>
        <v/>
      </c>
      <c r="I36" s="107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2026-07-03T11:40:36Z</dcterms:created>
  <dcterms:modified xmlns:dcterms="http://purl.org/dc/terms/" xmlns:xsi="http://www.w3.org/2001/XMLSchema-instance" xsi:type="dcterms:W3CDTF">2026-07-03T11:40:36Z</dcterms:modified>
</cp:coreProperties>
</file>