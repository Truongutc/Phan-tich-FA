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3.xml" ContentType="application/vnd.openxmlformats-officedocument.drawing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Cover" sheetId="1" state="visible" r:id="rId1"/>
    <sheet name="02_Assumptions" sheetId="2" state="visible" r:id="rId2"/>
    <sheet name="03_Revenue_Model" sheetId="3" state="visible" r:id="rId3"/>
    <sheet name="04_PnL" sheetId="4" state="visible" r:id="rId4"/>
    <sheet name="05_Balance_Sheet" sheetId="5" state="visible" r:id="rId5"/>
    <sheet name="06_Cash_Flow" sheetId="6" state="visible" r:id="rId6"/>
    <sheet name="07_Valuation" sheetId="7" state="visible" r:id="rId7"/>
    <sheet name="08_Hist_Multiples" sheetId="8" state="visible" r:id="rId8"/>
    <sheet name="09_Sensitivity" sheetId="9" state="visible" r:id="rId9"/>
    <sheet name="10_PESTLE" sheetId="10" state="visible" r:id="rId10"/>
    <sheet name="11_Leading_Indicators" sheetId="11" state="visible" r:id="rId11"/>
    <sheet name="12_Investment_Thesis" sheetId="12" state="visible" r:id="rId12"/>
    <sheet name="13_Summary_Snapshot" sheetId="13" state="visible" r:id="rId13"/>
    <sheet name="14_Steel_Analysis" sheetId="14" state="visible" r:id="rId14"/>
    <sheet name="15_Quarterly_Data" sheetId="15" state="visible" r:id="rId15"/>
    <sheet name="16_Steel_Accounting" sheetId="16" state="visible" r:id="rId16"/>
    <sheet name="17_Gia_Hang_Hoa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"/>
    <numFmt numFmtId="166" formatCode="0.0%"/>
  </numFmts>
  <fonts count="3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0"/>
    </font>
    <font>
      <name val="Calibri"/>
      <b val="1"/>
      <color rgb="001F4E79"/>
      <sz val="11"/>
    </font>
    <font>
      <name val="Calibri"/>
      <b val="1"/>
      <color rgb="00C0392B"/>
    </font>
    <font>
      <name val="Calibri"/>
      <b val="1"/>
      <color rgb="001F4E79"/>
      <sz val="9"/>
    </font>
    <font>
      <name val="Calibri"/>
      <sz val="9"/>
    </font>
    <font>
      <name val="Calibri"/>
      <b val="1"/>
      <sz val="9"/>
    </font>
    <font>
      <name val="Calibri"/>
      <b val="1"/>
      <color rgb="00006600"/>
      <sz val="9"/>
    </font>
    <font>
      <name val="Calibri"/>
      <b val="1"/>
      <color rgb="001F4E79"/>
      <sz val="10"/>
    </font>
    <font>
      <name val="Calibri"/>
      <i val="1"/>
      <color rgb="00888888"/>
      <sz val="8"/>
    </font>
    <font>
      <name val="Calibri"/>
      <color rgb="00006600"/>
      <sz val="10"/>
    </font>
    <font>
      <name val="Calibri"/>
      <i val="1"/>
      <color rgb="00888888"/>
      <sz val="9"/>
    </font>
    <font>
      <name val="Calibri"/>
      <b val="1"/>
      <color rgb="00006600"/>
      <sz val="10"/>
    </font>
    <font>
      <name val="Calibri"/>
      <b val="1"/>
      <color rgb="00006600"/>
      <sz val="11"/>
    </font>
    <font>
      <name val="Calibri"/>
      <b val="1"/>
      <color rgb="00C0392B"/>
      <sz val="11"/>
    </font>
    <font>
      <name val="Calibri"/>
      <i val="1"/>
      <color rgb="00C0392B"/>
      <sz val="9"/>
    </font>
    <font>
      <name val="Calibri"/>
      <b val="1"/>
      <color rgb="001F4E79"/>
      <sz val="13"/>
    </font>
    <font>
      <name val="Calibri"/>
      <b val="1"/>
      <color rgb="001F4E79"/>
    </font>
    <font>
      <name val="Calibri"/>
      <i val="1"/>
      <color rgb="00AAAAAA"/>
      <sz val="9"/>
    </font>
    <font>
      <name val="Calibri"/>
      <b val="1"/>
      <color rgb="00C0392B"/>
      <sz val="10"/>
    </font>
    <font>
      <name val="Calibri"/>
      <b val="1"/>
      <color rgb="00C0392B"/>
      <sz val="12"/>
    </font>
    <font>
      <name val="Calibri"/>
      <b val="1"/>
      <color rgb="001F4E79"/>
      <sz val="12"/>
    </font>
    <font>
      <name val="Calibri"/>
      <b val="1"/>
      <color rgb="00E65100"/>
      <sz val="10"/>
    </font>
    <font>
      <name val="Calibri"/>
      <b val="1"/>
      <color rgb="00FFFFFF"/>
      <sz val="8"/>
    </font>
    <font>
      <name val="Calibri"/>
      <color rgb="001155CC"/>
      <sz val="8"/>
      <u val="single"/>
    </font>
    <font>
      <name val="Calibri"/>
      <b val="1"/>
      <color rgb="00E65100"/>
      <sz val="9"/>
    </font>
    <font>
      <name val="Calibri"/>
      <i val="1"/>
      <color rgb="001F4E79"/>
      <sz val="10"/>
    </font>
    <font>
      <name val="Calibri"/>
      <i val="1"/>
      <color rgb="001E7E34"/>
      <sz val="9"/>
    </font>
    <font>
      <name val="Calibri"/>
      <b val="1"/>
      <color rgb="008E44AD"/>
    </font>
    <font>
      <name val="Calibri"/>
      <b val="1"/>
      <color rgb="0016A085"/>
    </font>
    <font>
      <name val="Calibri"/>
      <i val="1"/>
      <color rgb="00555555"/>
      <sz val="8"/>
    </font>
    <font>
      <name val="Calibri"/>
      <b val="1"/>
      <color rgb="0016A085"/>
      <sz val="9"/>
    </font>
  </fonts>
  <fills count="1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2CC"/>
        <bgColor rgb="00FFF2CC"/>
      </patternFill>
    </fill>
    <fill>
      <patternFill patternType="solid">
        <fgColor rgb="00E8F0FE"/>
        <bgColor rgb="00E8F0FE"/>
      </patternFill>
    </fill>
    <fill>
      <patternFill patternType="solid">
        <fgColor rgb="00FCE4EC"/>
        <bgColor rgb="00FCE4EC"/>
      </patternFill>
    </fill>
    <fill>
      <patternFill patternType="solid">
        <fgColor rgb="00D4EDDA"/>
        <bgColor rgb="00D4EDDA"/>
      </patternFill>
    </fill>
    <fill>
      <patternFill patternType="solid">
        <fgColor rgb="00E2EFDA"/>
        <bgColor rgb="00E2EFDA"/>
      </patternFill>
    </fill>
    <fill>
      <patternFill patternType="solid">
        <fgColor rgb="00FFF3E0"/>
        <bgColor rgb="00FFF3E0"/>
      </patternFill>
    </fill>
    <fill>
      <patternFill patternType="solid">
        <fgColor rgb="00E8F5E9"/>
        <bgColor rgb="00E8F5E9"/>
      </patternFill>
    </fill>
    <fill>
      <patternFill patternType="solid">
        <fgColor rgb="00FFF8E1"/>
        <bgColor rgb="00FFF8E1"/>
      </patternFill>
    </fill>
    <fill>
      <patternFill patternType="solid">
        <fgColor rgb="002E4057"/>
        <bgColor rgb="002E4057"/>
      </patternFill>
    </fill>
    <fill>
      <patternFill patternType="solid">
        <fgColor rgb="00F3E5F5"/>
        <bgColor rgb="00F3E5F5"/>
      </patternFill>
    </fill>
    <fill>
      <patternFill patternType="solid">
        <fgColor rgb="00E8F8F5"/>
        <bgColor rgb="00E8F8F5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1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right" vertical="center"/>
    </xf>
    <xf numFmtId="0" fontId="4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3" fontId="3" fillId="3" borderId="1" applyAlignment="1" pivotButton="0" quotePrefix="0" xfId="0">
      <alignment horizontal="center"/>
    </xf>
    <xf numFmtId="0" fontId="3" fillId="3" borderId="1" pivotButton="0" quotePrefix="0" xfId="0"/>
    <xf numFmtId="165" fontId="3" fillId="3" borderId="1" applyAlignment="1" pivotButton="0" quotePrefix="0" xfId="0">
      <alignment horizontal="center"/>
    </xf>
    <xf numFmtId="2" fontId="3" fillId="3" borderId="1" applyAlignment="1" pivotButton="0" quotePrefix="0" xfId="0">
      <alignment horizontal="center"/>
    </xf>
    <xf numFmtId="1" fontId="3" fillId="3" borderId="1" applyAlignment="1" pivotButton="0" quotePrefix="0" xfId="0">
      <alignment horizontal="center"/>
    </xf>
    <xf numFmtId="2" fontId="0" fillId="0" borderId="0" pivotButton="0" quotePrefix="0" xfId="0"/>
    <xf numFmtId="165" fontId="0" fillId="0" borderId="0" pivotButton="0" quotePrefix="0" xfId="0"/>
    <xf numFmtId="0" fontId="5" fillId="0" borderId="0" pivotButton="0" quotePrefix="0" xfId="0"/>
    <xf numFmtId="0" fontId="2" fillId="4" borderId="1" pivotButton="0" quotePrefix="0" xfId="0"/>
    <xf numFmtId="165" fontId="3" fillId="0" borderId="1" applyAlignment="1" pivotButton="0" quotePrefix="0" xfId="0">
      <alignment horizontal="center"/>
    </xf>
    <xf numFmtId="165" fontId="6" fillId="5" borderId="1" applyAlignment="1" pivotButton="0" quotePrefix="0" xfId="0">
      <alignment horizontal="center"/>
    </xf>
    <xf numFmtId="165" fontId="2" fillId="6" borderId="1" applyAlignment="1" pivotButton="0" quotePrefix="0" xfId="0">
      <alignment horizontal="center"/>
    </xf>
    <xf numFmtId="2" fontId="3" fillId="0" borderId="1" applyAlignment="1" pivotButton="0" quotePrefix="0" xfId="0">
      <alignment horizontal="center"/>
    </xf>
    <xf numFmtId="2" fontId="6" fillId="5" borderId="1" applyAlignment="1" pivotButton="0" quotePrefix="0" xfId="0">
      <alignment horizontal="center"/>
    </xf>
    <xf numFmtId="2" fontId="2" fillId="6" borderId="1" applyAlignment="1" pivotButton="0" quotePrefix="0" xfId="0">
      <alignment horizontal="center"/>
    </xf>
    <xf numFmtId="0" fontId="2" fillId="0" borderId="1" pivotButton="0" quotePrefix="0" xfId="0"/>
    <xf numFmtId="3" fontId="0" fillId="0" borderId="1" applyAlignment="1" pivotButton="0" quotePrefix="0" xfId="0">
      <alignment horizontal="center"/>
    </xf>
    <xf numFmtId="0" fontId="3" fillId="0" borderId="1" pivotButton="0" quotePrefix="0" xfId="0"/>
    <xf numFmtId="0" fontId="7" fillId="0" borderId="1" pivotButton="0" quotePrefix="0" xfId="0"/>
    <xf numFmtId="3" fontId="3" fillId="0" borderId="0" pivotButton="0" quotePrefix="0" xfId="0"/>
    <xf numFmtId="2" fontId="3" fillId="0" borderId="0" pivotButton="0" quotePrefix="0" xfId="0"/>
    <xf numFmtId="3" fontId="3" fillId="0" borderId="1" pivotButton="0" quotePrefix="0" xfId="0"/>
    <xf numFmtId="0" fontId="34" fillId="0" borderId="1" pivotButton="0" quotePrefix="0" xfId="0"/>
    <xf numFmtId="3" fontId="32" fillId="0" borderId="0" pivotButton="0" quotePrefix="0" xfId="0"/>
    <xf numFmtId="3" fontId="2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164" fontId="3" fillId="0" borderId="1" applyAlignment="1" pivotButton="0" quotePrefix="0" xfId="0">
      <alignment horizontal="center"/>
    </xf>
    <xf numFmtId="4" fontId="3" fillId="0" borderId="1" applyAlignment="1" pivotButton="0" quotePrefix="0" xfId="0">
      <alignment horizontal="center"/>
    </xf>
    <xf numFmtId="4" fontId="6" fillId="0" borderId="1" applyAlignment="1" pivotButton="0" quotePrefix="0" xfId="0">
      <alignment horizontal="center"/>
    </xf>
    <xf numFmtId="3" fontId="3" fillId="0" borderId="1" applyAlignment="1" pivotButton="0" quotePrefix="0" xfId="0">
      <alignment horizontal="center"/>
    </xf>
    <xf numFmtId="0" fontId="5" fillId="0" borderId="1" pivotButton="0" quotePrefix="0" xfId="0"/>
    <xf numFmtId="0" fontId="11" fillId="0" borderId="1" pivotButton="0" quotePrefix="0" xfId="0"/>
    <xf numFmtId="3" fontId="8" fillId="0" borderId="1" applyAlignment="1" pivotButton="0" quotePrefix="0" xfId="0">
      <alignment horizontal="center"/>
    </xf>
    <xf numFmtId="0" fontId="12" fillId="0" borderId="1" pivotButton="0" quotePrefix="0" xfId="0"/>
    <xf numFmtId="0" fontId="8" fillId="0" borderId="1" pivotButton="0" quotePrefix="0" xfId="0"/>
    <xf numFmtId="3" fontId="9" fillId="0" borderId="1" applyAlignment="1" pivotButton="0" quotePrefix="0" xfId="0">
      <alignment horizontal="center"/>
    </xf>
    <xf numFmtId="165" fontId="8" fillId="0" borderId="1" applyAlignment="1" pivotButton="0" quotePrefix="0" xfId="0">
      <alignment horizontal="center"/>
    </xf>
    <xf numFmtId="3" fontId="10" fillId="0" borderId="1" applyAlignment="1" pivotButton="0" quotePrefix="0" xfId="0">
      <alignment horizontal="center"/>
    </xf>
    <xf numFmtId="0" fontId="13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3" fontId="13" fillId="0" borderId="1" applyAlignment="1" pivotButton="0" quotePrefix="0" xfId="0">
      <alignment horizontal="center"/>
    </xf>
    <xf numFmtId="0" fontId="0" fillId="0" borderId="1" pivotButton="0" quotePrefix="0" xfId="0"/>
    <xf numFmtId="9" fontId="0" fillId="0" borderId="1" pivotButton="0" quotePrefix="0" xfId="0"/>
    <xf numFmtId="0" fontId="0" fillId="0" borderId="1" applyAlignment="1" pivotButton="0" quotePrefix="0" xfId="0">
      <alignment horizontal="center"/>
    </xf>
    <xf numFmtId="0" fontId="14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3" borderId="1" pivotButton="0" quotePrefix="0" xfId="0"/>
    <xf numFmtId="3" fontId="0" fillId="3" borderId="1" applyAlignment="1" pivotButton="0" quotePrefix="0" xfId="0">
      <alignment horizontal="center"/>
    </xf>
    <xf numFmtId="0" fontId="0" fillId="7" borderId="1" pivotButton="0" quotePrefix="0" xfId="0"/>
    <xf numFmtId="166" fontId="0" fillId="7" borderId="1" applyAlignment="1" pivotButton="0" quotePrefix="0" xfId="0">
      <alignment horizontal="center"/>
    </xf>
    <xf numFmtId="1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wrapText="1"/>
    </xf>
    <xf numFmtId="0" fontId="2" fillId="7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4" fillId="2" borderId="1" applyAlignment="1" pivotButton="0" quotePrefix="0" xfId="0">
      <alignment horizontal="center"/>
    </xf>
    <xf numFmtId="0" fontId="15" fillId="0" borderId="1" applyAlignment="1" pivotButton="0" quotePrefix="0" xfId="0">
      <alignment wrapText="1"/>
    </xf>
    <xf numFmtId="0" fontId="3" fillId="7" borderId="1" applyAlignment="1" pivotButton="0" quotePrefix="0" xfId="0">
      <alignment horizontal="center" vertical="center"/>
    </xf>
    <xf numFmtId="0" fontId="16" fillId="7" borderId="1" pivotButton="0" quotePrefix="0" xfId="0"/>
    <xf numFmtId="166" fontId="0" fillId="0" borderId="1" applyAlignment="1" pivotButton="0" quotePrefix="0" xfId="0">
      <alignment horizontal="center"/>
    </xf>
    <xf numFmtId="2" fontId="0" fillId="0" borderId="1" applyAlignment="1" pivotButton="0" quotePrefix="0" xfId="0">
      <alignment horizontal="center"/>
    </xf>
    <xf numFmtId="0" fontId="17" fillId="0" borderId="0" pivotButton="0" quotePrefix="0" xfId="0"/>
    <xf numFmtId="0" fontId="2" fillId="0" borderId="1" applyAlignment="1" pivotButton="0" quotePrefix="0" xfId="0">
      <alignment horizontal="left"/>
    </xf>
    <xf numFmtId="0" fontId="18" fillId="3" borderId="1" applyAlignment="1" pivotButton="0" quotePrefix="0" xfId="0">
      <alignment horizontal="left" wrapText="1"/>
    </xf>
    <xf numFmtId="0" fontId="3" fillId="0" borderId="1" applyAlignment="1" pivotButton="0" quotePrefix="0" xfId="0">
      <alignment horizontal="left" wrapText="1"/>
    </xf>
    <xf numFmtId="0" fontId="19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3" fontId="6" fillId="8" borderId="1" applyAlignment="1" pivotButton="0" quotePrefix="0" xfId="0">
      <alignment horizontal="center"/>
    </xf>
    <xf numFmtId="165" fontId="0" fillId="8" borderId="1" applyAlignment="1" pivotButton="0" quotePrefix="0" xfId="0">
      <alignment horizontal="center"/>
    </xf>
    <xf numFmtId="165" fontId="6" fillId="0" borderId="1" applyAlignment="1" pivotButton="0" quotePrefix="0" xfId="0">
      <alignment horizontal="center"/>
    </xf>
    <xf numFmtId="0" fontId="21" fillId="0" borderId="1" applyAlignment="1" pivotButton="0" quotePrefix="0" xfId="0">
      <alignment horizontal="center"/>
    </xf>
    <xf numFmtId="3" fontId="20" fillId="4" borderId="1" applyAlignment="1" pivotButton="0" quotePrefix="0" xfId="0">
      <alignment horizontal="center"/>
    </xf>
    <xf numFmtId="0" fontId="18" fillId="0" borderId="1" applyAlignment="1" pivotButton="0" quotePrefix="0" xfId="0">
      <alignment wrapText="1"/>
    </xf>
    <xf numFmtId="0" fontId="11" fillId="0" borderId="0" pivotButton="0" quotePrefix="0" xfId="0"/>
    <xf numFmtId="166" fontId="3" fillId="0" borderId="1" applyAlignment="1" pivotButton="0" quotePrefix="0" xfId="0">
      <alignment horizontal="center"/>
    </xf>
    <xf numFmtId="0" fontId="22" fillId="0" borderId="0" pivotButton="0" quotePrefix="0" xfId="0"/>
    <xf numFmtId="0" fontId="3" fillId="0" borderId="0" applyAlignment="1" pivotButton="0" quotePrefix="0" xfId="0">
      <alignment wrapText="1"/>
    </xf>
    <xf numFmtId="0" fontId="19" fillId="0" borderId="0" pivotButton="0" quotePrefix="0" xfId="0"/>
    <xf numFmtId="0" fontId="4" fillId="2" borderId="1" applyAlignment="1" pivotButton="0" quotePrefix="0" xfId="0">
      <alignment horizontal="center" textRotation="90"/>
    </xf>
    <xf numFmtId="0" fontId="23" fillId="0" borderId="0" pivotButton="0" quotePrefix="0" xfId="0"/>
    <xf numFmtId="0" fontId="4" fillId="5" borderId="1" applyAlignment="1" pivotButton="0" quotePrefix="0" xfId="0">
      <alignment horizontal="center"/>
    </xf>
    <xf numFmtId="0" fontId="24" fillId="0" borderId="0" pivotButton="0" quotePrefix="0" xfId="0"/>
    <xf numFmtId="0" fontId="15" fillId="9" borderId="1" applyAlignment="1" pivotButton="0" quotePrefix="0" xfId="0">
      <alignment horizontal="center"/>
    </xf>
    <xf numFmtId="0" fontId="25" fillId="10" borderId="1" applyAlignment="1" pivotButton="0" quotePrefix="0" xfId="0">
      <alignment horizontal="center"/>
    </xf>
    <xf numFmtId="0" fontId="12" fillId="0" borderId="0" pivotButton="0" quotePrefix="0" xfId="0"/>
    <xf numFmtId="0" fontId="26" fillId="11" borderId="1" applyAlignment="1" pivotButton="0" quotePrefix="0" xfId="0">
      <alignment horizontal="center"/>
    </xf>
    <xf numFmtId="0" fontId="26" fillId="11" borderId="1" applyAlignment="1" pivotButton="0" quotePrefix="0" xfId="0">
      <alignment horizontal="center" textRotation="60"/>
    </xf>
    <xf numFmtId="3" fontId="21" fillId="0" borderId="1" applyAlignment="1" pivotButton="0" quotePrefix="0" xfId="0">
      <alignment horizontal="center"/>
    </xf>
    <xf numFmtId="3" fontId="6" fillId="0" borderId="1" applyAlignment="1" pivotButton="0" quotePrefix="0" xfId="0">
      <alignment horizontal="center"/>
    </xf>
    <xf numFmtId="0" fontId="27" fillId="0" borderId="1" pivotButton="0" quotePrefix="0" xfId="0"/>
    <xf numFmtId="0" fontId="20" fillId="0" borderId="1" pivotButton="0" quotePrefix="0" xfId="0"/>
    <xf numFmtId="2" fontId="6" fillId="0" borderId="1" applyAlignment="1" pivotButton="0" quotePrefix="0" xfId="0">
      <alignment horizontal="center"/>
    </xf>
    <xf numFmtId="0" fontId="10" fillId="9" borderId="1" applyAlignment="1" pivotButton="0" quotePrefix="0" xfId="0">
      <alignment horizontal="center"/>
    </xf>
    <xf numFmtId="0" fontId="28" fillId="3" borderId="1" applyAlignment="1" pivotButton="0" quotePrefix="0" xfId="0">
      <alignment horizontal="center"/>
    </xf>
    <xf numFmtId="0" fontId="29" fillId="0" borderId="0" applyAlignment="1" pivotButton="0" quotePrefix="0" xfId="0">
      <alignment vertical="top" wrapText="1"/>
    </xf>
    <xf numFmtId="0" fontId="14" fillId="0" borderId="0" pivotButton="0" quotePrefix="0" xfId="0"/>
    <xf numFmtId="0" fontId="30" fillId="0" borderId="1" applyAlignment="1" pivotButton="0" quotePrefix="0" xfId="0">
      <alignment horizontal="center"/>
    </xf>
    <xf numFmtId="0" fontId="14" fillId="0" borderId="1" applyAlignment="1" pivotButton="0" quotePrefix="0" xfId="0">
      <alignment horizontal="center"/>
    </xf>
    <xf numFmtId="3" fontId="31" fillId="12" borderId="1" applyAlignment="1" pivotButton="0" quotePrefix="0" xfId="0">
      <alignment horizontal="center"/>
    </xf>
    <xf numFmtId="3" fontId="32" fillId="13" borderId="1" applyAlignment="1" pivotButton="0" quotePrefix="0" xfId="0">
      <alignment horizontal="center"/>
    </xf>
    <xf numFmtId="164" fontId="6" fillId="8" borderId="1" applyAlignment="1" pivotButton="0" quotePrefix="0" xfId="0">
      <alignment horizontal="center"/>
    </xf>
    <xf numFmtId="3" fontId="31" fillId="0" borderId="1" applyAlignment="1" pivotButton="0" quotePrefix="0" xfId="0">
      <alignment horizontal="center"/>
    </xf>
    <xf numFmtId="0" fontId="6" fillId="0" borderId="1" pivotButton="0" quotePrefix="0" xfId="0"/>
    <xf numFmtId="0" fontId="31" fillId="0" borderId="1" pivotButton="0" quotePrefix="0" xfId="0"/>
    <xf numFmtId="0" fontId="32" fillId="0" borderId="1" pivotButton="0" quotePrefix="0" xfId="0"/>
    <xf numFmtId="2" fontId="12" fillId="0" borderId="0" applyAlignment="1" pivotButton="0" quotePrefix="0" xfId="0">
      <alignment horizontal="center"/>
    </xf>
    <xf numFmtId="0" fontId="3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P/E theo quý (2018-2026)</a:t>
            </a:r>
          </a:p>
        </rich>
      </tx>
    </title>
    <plotArea>
      <lineChart>
        <grouping val="standard"/>
        <ser>
          <idx val="0"/>
          <order val="0"/>
          <tx>
            <strRef>
              <f>'08_Hist_Multiples'!G1</f>
            </strRef>
          </tx>
          <spPr>
            <a:ln w="18000">
              <a:solidFill>
                <a:srgbClr val="1F4E79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'08_Hist_Multiples'!$F$2:$F$37</f>
            </numRef>
          </cat>
          <val>
            <numRef>
              <f>'08_Hist_Multiples'!$G$2:$G$37</f>
            </numRef>
          </val>
        </ser>
        <ser>
          <idx val="1"/>
          <order val="1"/>
          <tx>
            <strRef>
              <f>'08_Hist_Multiples'!H1</f>
            </strRef>
          </tx>
          <spPr>
            <a:ln w="18000">
              <a:solidFill>
                <a:srgbClr val="FF8C0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'08_Hist_Multiples'!$F$2:$F$37</f>
            </numRef>
          </cat>
          <val>
            <numRef>
              <f>'08_Hist_Multiples'!$H$2:$H$37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  <max val="28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P/E (x)</a:t>
                </a:r>
              </a:p>
            </rich>
          </tx>
        </title>
        <numFmt formatCode="0" sourceLinked="0"/>
        <majorTickMark val="none"/>
        <minorTickMark val="none"/>
        <tickLblPos val="low"/>
        <crossAx val="10"/>
        <majorUnit val="4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P/B theo quý (2018-2026)</a:t>
            </a:r>
          </a:p>
        </rich>
      </tx>
    </title>
    <plotArea>
      <lineChart>
        <grouping val="standard"/>
        <ser>
          <idx val="0"/>
          <order val="0"/>
          <tx>
            <strRef>
              <f>'08_Hist_Multiples'!D1</f>
            </strRef>
          </tx>
          <spPr>
            <a:ln w="18000">
              <a:solidFill>
                <a:srgbClr val="E74C3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'08_Hist_Multiples'!$F$2:$F$37</f>
            </numRef>
          </cat>
          <val>
            <numRef>
              <f>'08_Hist_Multiples'!$D$2:$D$37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  <max val="3.5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P/B (x)</a:t>
                </a:r>
              </a:p>
            </rich>
          </tx>
        </title>
        <numFmt formatCode="0.0" sourceLinked="0"/>
        <majorTickMark val="none"/>
        <minorTickMark val="none"/>
        <tickLblPos val="low"/>
        <crossAx val="10"/>
        <majorUnit val="0.5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EV/EBITDA theo quý (2018-2026)</a:t>
            </a:r>
          </a:p>
        </rich>
      </tx>
    </title>
    <plotArea>
      <lineChart>
        <grouping val="standard"/>
        <ser>
          <idx val="0"/>
          <order val="0"/>
          <tx>
            <strRef>
              <f>'08_Hist_Multiples'!E1</f>
            </strRef>
          </tx>
          <spPr>
            <a:ln w="18000">
              <a:solidFill>
                <a:srgbClr val="27AE6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'08_Hist_Multiples'!$F$2:$F$37</f>
            </numRef>
          </cat>
          <val>
            <numRef>
              <f>'08_Hist_Multiples'!$E$2:$E$37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  <max val="25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EV/EBITDA (x)</a:t>
                </a:r>
              </a:p>
            </rich>
          </tx>
        </title>
        <numFmt formatCode="0" sourceLinked="0"/>
        <majorTickMark val="none"/>
        <minorTickMark val="none"/>
        <tickLblPos val="low"/>
        <crossAx val="10"/>
        <majorUnit val="5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Doanh thu &amp; LNST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'04_PnL'!A1</f>
            </strRef>
          </tx>
          <spPr>
            <a:solidFill>
              <a:srgbClr val="1F4E79"/>
            </a:solidFill>
            <a:ln>
              <a:prstDash val="solid"/>
            </a:ln>
          </spPr>
          <cat>
            <numRef>
              <f>'04_PnL'!$B$1:$I$1</f>
            </numRef>
          </cat>
          <val>
            <numRef>
              <f>'04_PnL'!$A$2</f>
            </numRef>
          </val>
        </ser>
        <ser>
          <idx val="1"/>
          <order val="1"/>
          <tx>
            <strRef>
              <f>'04_PnL'!B1</f>
            </strRef>
          </tx>
          <spPr>
            <a:ln>
              <a:prstDash val="solid"/>
            </a:ln>
          </spPr>
          <cat>
            <numRef>
              <f>'04_PnL'!$B$1:$I$1</f>
            </numRef>
          </cat>
          <val>
            <numRef>
              <f>'04_PnL'!$B$2</f>
            </numRef>
          </val>
        </ser>
        <ser>
          <idx val="2"/>
          <order val="2"/>
          <tx>
            <strRef>
              <f>'04_PnL'!C1</f>
            </strRef>
          </tx>
          <spPr>
            <a:ln>
              <a:prstDash val="solid"/>
            </a:ln>
          </spPr>
          <cat>
            <numRef>
              <f>'04_PnL'!$B$1:$I$1</f>
            </numRef>
          </cat>
          <val>
            <numRef>
              <f>'04_PnL'!$C$2</f>
            </numRef>
          </val>
        </ser>
        <ser>
          <idx val="3"/>
          <order val="3"/>
          <tx>
            <strRef>
              <f>'04_PnL'!D1</f>
            </strRef>
          </tx>
          <spPr>
            <a:ln>
              <a:prstDash val="solid"/>
            </a:ln>
          </spPr>
          <cat>
            <numRef>
              <f>'04_PnL'!$B$1:$I$1</f>
            </numRef>
          </cat>
          <val>
            <numRef>
              <f>'04_PnL'!$D$2</f>
            </numRef>
          </val>
        </ser>
        <ser>
          <idx val="4"/>
          <order val="4"/>
          <tx>
            <strRef>
              <f>'04_PnL'!E1</f>
            </strRef>
          </tx>
          <spPr>
            <a:ln>
              <a:prstDash val="solid"/>
            </a:ln>
          </spPr>
          <cat>
            <numRef>
              <f>'04_PnL'!$B$1:$I$1</f>
            </numRef>
          </cat>
          <val>
            <numRef>
              <f>'04_PnL'!$E$2</f>
            </numRef>
          </val>
        </ser>
        <ser>
          <idx val="5"/>
          <order val="5"/>
          <tx>
            <strRef>
              <f>'04_PnL'!F1</f>
            </strRef>
          </tx>
          <spPr>
            <a:ln>
              <a:prstDash val="solid"/>
            </a:ln>
          </spPr>
          <cat>
            <numRef>
              <f>'04_PnL'!$B$1:$I$1</f>
            </numRef>
          </cat>
          <val>
            <numRef>
              <f>'04_PnL'!$F$2</f>
            </numRef>
          </val>
        </ser>
        <ser>
          <idx val="6"/>
          <order val="6"/>
          <tx>
            <strRef>
              <f>'04_PnL'!G1</f>
            </strRef>
          </tx>
          <spPr>
            <a:ln>
              <a:prstDash val="solid"/>
            </a:ln>
          </spPr>
          <cat>
            <numRef>
              <f>'04_PnL'!$B$1:$I$1</f>
            </numRef>
          </cat>
          <val>
            <numRef>
              <f>'04_PnL'!$G$2</f>
            </numRef>
          </val>
        </ser>
        <ser>
          <idx val="7"/>
          <order val="7"/>
          <tx>
            <strRef>
              <f>'04_PnL'!H1</f>
            </strRef>
          </tx>
          <spPr>
            <a:ln>
              <a:prstDash val="solid"/>
            </a:ln>
          </spPr>
          <cat>
            <numRef>
              <f>'04_PnL'!$B$1:$I$1</f>
            </numRef>
          </cat>
          <val>
            <numRef>
              <f>'04_PnL'!$H$2</f>
            </numRef>
          </val>
        </ser>
        <ser>
          <idx val="8"/>
          <order val="8"/>
          <tx>
            <strRef>
              <f>'04_PnL'!I1</f>
            </strRef>
          </tx>
          <spPr>
            <a:ln>
              <a:prstDash val="solid"/>
            </a:ln>
          </spPr>
          <cat>
            <numRef>
              <f>'04_PnL'!$B$1:$I$1</f>
            </numRef>
          </cat>
          <val>
            <numRef>
              <f>'04_PnL'!$I$2</f>
            </numRef>
          </val>
        </ser>
        <gapWidth val="150"/>
        <axId val="10"/>
        <axId val="100"/>
      </barChart>
      <lineChart>
        <grouping val="standard"/>
        <ser>
          <idx val="9"/>
          <order val="9"/>
          <spPr>
            <a:ln>
              <a:solidFill>
                <a:srgbClr val="E74C3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'04_PnL'!$B$12:$I$12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Năm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Tỷ VND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Biên lợi nhuận (%)</a:t>
            </a:r>
          </a:p>
        </rich>
      </tx>
    </title>
    <plotArea>
      <lineChart>
        <grouping val="standard"/>
        <ser>
          <idx val="0"/>
          <order val="0"/>
          <spPr>
            <a:ln>
              <a:solidFill>
                <a:srgbClr val="1F4E79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'04_PnL'!$B$1:$I$1</f>
            </numRef>
          </cat>
          <val>
            <numRef>
              <f>'04_PnL'!$B$4:$I$4</f>
            </numRef>
          </val>
        </ser>
        <ser>
          <idx val="1"/>
          <order val="1"/>
          <spPr>
            <a:ln>
              <a:solidFill>
                <a:srgbClr val="E74C3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'04_PnL'!$B$1:$I$1</f>
            </numRef>
          </cat>
          <val>
            <numRef>
              <f>'04_PnL'!$B$7:$I$7</f>
            </numRef>
          </val>
        </ser>
        <ser>
          <idx val="2"/>
          <order val="2"/>
          <spPr>
            <a:ln>
              <a:solidFill>
                <a:srgbClr val="27AE6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'04_PnL'!$B$1:$I$1</f>
            </numRef>
          </cat>
          <val>
            <numRef>
              <f>'04_PnL'!$B$13:$I$13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Sản lượng HRC &amp; Thép XD theo Quý (nghìn tấn)</a:t>
            </a:r>
          </a:p>
        </rich>
      </tx>
    </title>
    <plotArea>
      <lineChart>
        <grouping val="standard"/>
        <ser>
          <idx val="0"/>
          <order val="0"/>
          <tx>
            <strRef>
              <f>'15_Quarterly_Data'!B59</f>
            </strRef>
          </tx>
          <spPr>
            <a:ln w="22000">
              <a:solidFill>
                <a:srgbClr val="1F4E79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'15_Quarterly_Data'!$B$59:$O$59</f>
            </numRef>
          </cat>
          <val>
            <numRef>
              <f>'15_Quarterly_Data'!$B$60</f>
            </numRef>
          </val>
        </ser>
        <ser>
          <idx val="1"/>
          <order val="1"/>
          <tx>
            <strRef>
              <f>'15_Quarterly_Data'!C59</f>
            </strRef>
          </tx>
          <spPr>
            <a:ln w="22000">
              <a:solidFill>
                <a:srgbClr val="E74C3C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'15_Quarterly_Data'!$B$59:$O$59</f>
            </numRef>
          </cat>
          <val>
            <numRef>
              <f>'15_Quarterly_Data'!$C$60</f>
            </numRef>
          </val>
        </ser>
        <ser>
          <idx val="2"/>
          <order val="2"/>
          <tx>
            <strRef>
              <f>'15_Quarterly_Data'!D59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'15_Quarterly_Data'!$B$59:$O$59</f>
            </numRef>
          </cat>
          <val>
            <numRef>
              <f>'15_Quarterly_Data'!$D$60</f>
            </numRef>
          </val>
        </ser>
        <ser>
          <idx val="3"/>
          <order val="3"/>
          <tx>
            <strRef>
              <f>'15_Quarterly_Data'!E59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'15_Quarterly_Data'!$B$59:$O$59</f>
            </numRef>
          </cat>
          <val>
            <numRef>
              <f>'15_Quarterly_Data'!$E$60</f>
            </numRef>
          </val>
        </ser>
        <ser>
          <idx val="4"/>
          <order val="4"/>
          <tx>
            <strRef>
              <f>'15_Quarterly_Data'!F59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'15_Quarterly_Data'!$B$59:$O$59</f>
            </numRef>
          </cat>
          <val>
            <numRef>
              <f>'15_Quarterly_Data'!$F$60</f>
            </numRef>
          </val>
        </ser>
        <ser>
          <idx val="5"/>
          <order val="5"/>
          <tx>
            <strRef>
              <f>'15_Quarterly_Data'!G59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'15_Quarterly_Data'!$B$59:$O$59</f>
            </numRef>
          </cat>
          <val>
            <numRef>
              <f>'15_Quarterly_Data'!$G$60</f>
            </numRef>
          </val>
        </ser>
        <ser>
          <idx val="6"/>
          <order val="6"/>
          <tx>
            <strRef>
              <f>'15_Quarterly_Data'!H59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'15_Quarterly_Data'!$B$59:$O$59</f>
            </numRef>
          </cat>
          <val>
            <numRef>
              <f>'15_Quarterly_Data'!$H$60</f>
            </numRef>
          </val>
        </ser>
        <ser>
          <idx val="7"/>
          <order val="7"/>
          <tx>
            <strRef>
              <f>'15_Quarterly_Data'!I59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'15_Quarterly_Data'!$B$59:$O$59</f>
            </numRef>
          </cat>
          <val>
            <numRef>
              <f>'15_Quarterly_Data'!$I$60</f>
            </numRef>
          </val>
        </ser>
        <ser>
          <idx val="8"/>
          <order val="8"/>
          <tx>
            <strRef>
              <f>'15_Quarterly_Data'!J59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'15_Quarterly_Data'!$B$59:$O$59</f>
            </numRef>
          </cat>
          <val>
            <numRef>
              <f>'15_Quarterly_Data'!$J$60</f>
            </numRef>
          </val>
        </ser>
        <ser>
          <idx val="9"/>
          <order val="9"/>
          <tx>
            <strRef>
              <f>'15_Quarterly_Data'!K59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'15_Quarterly_Data'!$B$59:$O$59</f>
            </numRef>
          </cat>
          <val>
            <numRef>
              <f>'15_Quarterly_Data'!$K$60</f>
            </numRef>
          </val>
        </ser>
        <ser>
          <idx val="10"/>
          <order val="10"/>
          <tx>
            <strRef>
              <f>'15_Quarterly_Data'!L59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'15_Quarterly_Data'!$B$59:$O$59</f>
            </numRef>
          </cat>
          <val>
            <numRef>
              <f>'15_Quarterly_Data'!$L$60</f>
            </numRef>
          </val>
        </ser>
        <ser>
          <idx val="11"/>
          <order val="11"/>
          <tx>
            <strRef>
              <f>'15_Quarterly_Data'!M59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'15_Quarterly_Data'!$B$59:$O$59</f>
            </numRef>
          </cat>
          <val>
            <numRef>
              <f>'15_Quarterly_Data'!$M$60</f>
            </numRef>
          </val>
        </ser>
        <ser>
          <idx val="12"/>
          <order val="12"/>
          <tx>
            <strRef>
              <f>'15_Quarterly_Data'!N59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'15_Quarterly_Data'!$B$59:$O$59</f>
            </numRef>
          </cat>
          <val>
            <numRef>
              <f>'15_Quarterly_Data'!$N$60</f>
            </numRef>
          </val>
        </ser>
        <ser>
          <idx val="13"/>
          <order val="13"/>
          <tx>
            <strRef>
              <f>'15_Quarterly_Data'!O59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'15_Quarterly_Data'!$B$59:$O$59</f>
            </numRef>
          </cat>
          <val>
            <numRef>
              <f>'15_Quarterly_Data'!$O$60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@" sourceLinked="0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  <max val="2200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nghìn tấn</a:t>
                </a:r>
              </a:p>
            </rich>
          </tx>
        </title>
        <numFmt formatCode="#,##0" sourceLinked="0"/>
        <majorTickMark val="none"/>
        <minorTickMark val="none"/>
        <crossAx val="10"/>
        <majorUnit val="50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 /><Relationship Type="http://schemas.openxmlformats.org/officeDocument/2006/relationships/chart" Target="/xl/charts/chart5.xml" Id="rId2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36</row>
      <rowOff>0</rowOff>
    </from>
    <ext cx="792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54</row>
      <rowOff>0</rowOff>
    </from>
    <ext cx="7920000" cy="46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72</row>
      <rowOff>0</rowOff>
    </from>
    <ext cx="7920000" cy="46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16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32</row>
      <rowOff>0</rowOff>
    </from>
    <ext cx="720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61</row>
      <rowOff>0</rowOff>
    </from>
    <ext cx="936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nguoiquansat.vn/hoa-phat-hpg-san-luong-ban-thep-xay-dung-thang-5-2026-giam-hrc-van-lap-ky-luc-moi-300295.html" TargetMode="External" Id="rId1" /><Relationship Type="http://schemas.openxmlformats.org/officeDocument/2006/relationships/drawing" Target="/xl/drawings/drawing3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24" customWidth="1" min="1" max="1"/>
    <col width="44" customWidth="1" min="2" max="2"/>
  </cols>
  <sheetData>
    <row r="1" ht="35" customHeight="1">
      <c r="A1" s="1" t="inlineStr">
        <is>
          <t>PHÂN TÍCH CỔ PHIẾU HPG — CTCP Tập đoàn Hòa Phát</t>
        </is>
      </c>
    </row>
    <row r="2">
      <c r="A2" s="2" t="inlineStr">
        <is>
          <t>Ticker</t>
        </is>
      </c>
      <c r="B2" s="3" t="inlineStr">
        <is>
          <t>HPG</t>
        </is>
      </c>
    </row>
    <row r="3">
      <c r="A3" s="2" t="inlineStr">
        <is>
          <t>Sàn</t>
        </is>
      </c>
      <c r="B3" s="3" t="inlineStr">
        <is>
          <t>HOSE</t>
        </is>
      </c>
    </row>
    <row r="4">
      <c r="A4" s="2" t="inlineStr">
        <is>
          <t>Ngành</t>
        </is>
      </c>
      <c r="B4" s="3" t="inlineStr">
        <is>
          <t>Thép (Sản xuất Commodity)</t>
        </is>
      </c>
    </row>
    <row r="5">
      <c r="A5" s="2" t="inlineStr">
        <is>
          <t>Giá hiện tại (VND)</t>
        </is>
      </c>
      <c r="B5" s="4" t="n">
        <v>23600</v>
      </c>
    </row>
    <row r="6">
      <c r="A6" s="2" t="inlineStr">
        <is>
          <t>Số CP lưu hành</t>
        </is>
      </c>
      <c r="B6" s="4" t="n">
        <v>8444740856</v>
      </c>
    </row>
    <row r="7">
      <c r="A7" s="2" t="inlineStr">
        <is>
          <t>Vốn hóa (tỷ)</t>
        </is>
      </c>
      <c r="B7" s="4" t="n">
        <v>199295.8842016</v>
      </c>
    </row>
    <row r="8">
      <c r="A8" s="2" t="inlineStr">
        <is>
          <t>P/E TTM</t>
        </is>
      </c>
      <c r="B8" s="5">
        <f>'02_Assumptions'!J22</f>
        <v/>
      </c>
    </row>
    <row r="9">
      <c r="A9" s="2" t="inlineStr">
        <is>
          <t>P/B</t>
        </is>
      </c>
      <c r="B9" s="5">
        <f>'02_Assumptions'!J23</f>
        <v/>
      </c>
    </row>
    <row r="10">
      <c r="A10" s="2" t="inlineStr">
        <is>
          <t>EV/EBITDA</t>
        </is>
      </c>
      <c r="B10" s="5">
        <f>'02_Assumptions'!J24</f>
        <v/>
      </c>
    </row>
    <row r="11">
      <c r="A11" s="2" t="inlineStr">
        <is>
          <t>52W Cao/Thấp</t>
        </is>
      </c>
      <c r="B11" s="5" t="inlineStr">
        <is>
          <t>28,045 / 19,789</t>
        </is>
      </c>
    </row>
    <row r="12">
      <c r="A12" s="2" t="inlineStr">
        <is>
          <t>Room ngoại</t>
        </is>
      </c>
      <c r="B12" s="5" t="inlineStr">
        <is>
          <t>20.6%</t>
        </is>
      </c>
    </row>
    <row r="13">
      <c r="A13" s="2" t="inlineStr">
        <is>
          <t>Khuyến nghị</t>
        </is>
      </c>
      <c r="B13" s="6" t="inlineStr">
        <is>
          <t>MUA</t>
        </is>
      </c>
    </row>
    <row r="14">
      <c r="A14" s="2" t="inlineStr">
        <is>
          <t>Giá mục tiêu Base</t>
        </is>
      </c>
      <c r="B14" s="5">
        <f>'07_Valuation'!C10</f>
        <v/>
      </c>
    </row>
    <row r="15">
      <c r="A15" s="2" t="inlineStr">
        <is>
          <t>Upside</t>
        </is>
      </c>
      <c r="B15" s="5">
        <f>'07_Valuation'!C13</f>
        <v/>
      </c>
    </row>
    <row r="16">
      <c r="A16" s="2" t="inlineStr">
        <is>
          <t>Ngày phân tích</t>
        </is>
      </c>
      <c r="B16" s="3" t="inlineStr">
        <is>
          <t>03/07/2026 21:58</t>
        </is>
      </c>
    </row>
    <row r="17">
      <c r="A17" s="2" t="inlineStr">
        <is>
          <t>EPS TTM (VND)</t>
        </is>
      </c>
      <c r="B17" s="4" t="n">
        <v>1862</v>
      </c>
    </row>
    <row r="18">
      <c r="A18" s="2" t="inlineStr">
        <is>
          <t>BVPS (VND)</t>
        </is>
      </c>
      <c r="B18" s="4" t="n">
        <v>15539</v>
      </c>
    </row>
    <row r="19">
      <c r="A19" s="2" t="inlineStr">
        <is>
          <t>KLGD BQ 20 phiên (cp)</t>
        </is>
      </c>
      <c r="B19" s="4" t="n">
        <v>33200000</v>
      </c>
    </row>
    <row r="20">
      <c r="A20" s="2" t="inlineStr">
        <is>
          <t>KLGD BQ 20 phiên (tỷ)</t>
        </is>
      </c>
      <c r="B20" s="7" t="n">
        <v>890.7</v>
      </c>
    </row>
    <row r="21">
      <c r="A21" s="2" t="inlineStr">
        <is>
          <t>Cổ đông sáng lập</t>
        </is>
      </c>
      <c r="B21" s="3" t="inlineStr">
        <is>
          <t>35.7% (Ông Trần Đình Long &amp; gia đình)</t>
        </is>
      </c>
    </row>
    <row r="22">
      <c r="A22" s="2" t="inlineStr">
        <is>
          <t>Biến động 1 tháng</t>
        </is>
      </c>
      <c r="B22" s="5" t="inlineStr">
        <is>
          <t>+3.3%</t>
        </is>
      </c>
    </row>
    <row r="23">
      <c r="A23" s="2" t="inlineStr">
        <is>
          <t>Biến động 3 tháng</t>
        </is>
      </c>
      <c r="B23" s="5" t="inlineStr">
        <is>
          <t>+6.9%</t>
        </is>
      </c>
    </row>
    <row r="24">
      <c r="A24" s="2" t="inlineStr">
        <is>
          <t>Biến động YTD</t>
        </is>
      </c>
      <c r="B24" s="5" t="inlineStr">
        <is>
          <t>+6.1%</t>
        </is>
      </c>
    </row>
    <row r="25">
      <c r="A25" s="2" t="inlineStr">
        <is>
          <t>VNINDEX 1 tháng</t>
        </is>
      </c>
      <c r="B25" s="5" t="inlineStr">
        <is>
          <t>+4.4%</t>
        </is>
      </c>
    </row>
    <row r="26">
      <c r="A26" s="2" t="inlineStr">
        <is>
          <t>VNINDEX 3 tháng</t>
        </is>
      </c>
      <c r="B26" s="5" t="inlineStr">
        <is>
          <t>-6.3%</t>
        </is>
      </c>
    </row>
    <row r="27">
      <c r="A27" s="2" t="inlineStr">
        <is>
          <t>VNINDEX YTD</t>
        </is>
      </c>
      <c r="B27" s="5" t="inlineStr">
        <is>
          <t>-1.9%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4" customWidth="1" min="9" max="9"/>
    <col width="40" customWidth="1" min="10" max="10"/>
    <col width="14" customWidth="1" min="11" max="11"/>
  </cols>
  <sheetData>
    <row r="1">
      <c r="A1" s="8" t="inlineStr">
        <is>
          <t>Giả định</t>
        </is>
      </c>
      <c r="B1" s="8" t="inlineStr">
        <is>
          <t>2021A</t>
        </is>
      </c>
      <c r="C1" s="8" t="inlineStr">
        <is>
          <t>2022A</t>
        </is>
      </c>
      <c r="D1" s="8" t="inlineStr">
        <is>
          <t>2023A</t>
        </is>
      </c>
      <c r="E1" s="8" t="inlineStr">
        <is>
          <t>2024A</t>
        </is>
      </c>
      <c r="F1" s="8" t="inlineStr">
        <is>
          <t>2025A</t>
        </is>
      </c>
      <c r="G1" s="8" t="inlineStr">
        <is>
          <t>2026E</t>
        </is>
      </c>
      <c r="H1" s="8" t="inlineStr">
        <is>
          <t>2027E</t>
        </is>
      </c>
      <c r="I1" s="8" t="inlineStr">
        <is>
          <t>2028E</t>
        </is>
      </c>
      <c r="J1" s="8" t="inlineStr">
        <is>
          <t>Ghi chú</t>
        </is>
      </c>
    </row>
    <row r="2">
      <c r="A2" s="9" t="inlineStr">
        <is>
          <t>Giá HPG (VND)</t>
        </is>
      </c>
      <c r="B2" s="10" t="n">
        <v>23600</v>
      </c>
      <c r="C2" s="10" t="n">
        <v>23600</v>
      </c>
      <c r="D2" s="10" t="n">
        <v>23600</v>
      </c>
      <c r="E2" s="10" t="n">
        <v>23600</v>
      </c>
      <c r="F2" s="10" t="n">
        <v>23600</v>
      </c>
      <c r="G2" s="10" t="n">
        <v>23600</v>
      </c>
      <c r="H2" s="10" t="n">
        <v>23600</v>
      </c>
      <c r="I2" s="10" t="n">
        <v>23600</v>
      </c>
      <c r="J2" s="11" t="inlineStr">
        <is>
          <t>Giá 24/06/2026. Broker targets: SSI 36k, VND 37k, SHS 38k, VCBS 38k, BVSC 38.65k</t>
        </is>
      </c>
    </row>
    <row r="3">
      <c r="A3" s="9" t="inlineStr">
        <is>
          <t>Số CP lưu hành (triệu)</t>
        </is>
      </c>
      <c r="B3" s="10" t="n">
        <v>4473</v>
      </c>
      <c r="C3" s="10" t="n">
        <v>5815</v>
      </c>
      <c r="D3" s="10" t="n">
        <v>5815</v>
      </c>
      <c r="E3" s="10" t="n">
        <v>6396</v>
      </c>
      <c r="F3" s="10" t="n">
        <v>7675</v>
      </c>
      <c r="G3" s="10" t="n">
        <v>8445</v>
      </c>
      <c r="H3" s="10" t="n">
        <v>8445</v>
      </c>
      <c r="I3" s="10" t="n">
        <v>8445</v>
      </c>
      <c r="J3" s="11" t="inlineStr">
        <is>
          <t>Vốn điều lệ từng năm / 10,000. Post-split 1.1:1 T05/2026</t>
        </is>
      </c>
    </row>
    <row r="4">
      <c r="A4" s="9" t="inlineStr">
        <is>
          <t>Doanh thu (tỷ)</t>
        </is>
      </c>
      <c r="B4" s="10" t="n">
        <v>149680</v>
      </c>
      <c r="C4" s="10" t="n">
        <v>141410</v>
      </c>
      <c r="D4" s="10" t="n">
        <v>118950</v>
      </c>
      <c r="E4" s="10" t="n">
        <v>138860</v>
      </c>
      <c r="F4" s="10" t="n">
        <v>156120</v>
      </c>
      <c r="G4" s="10">
        <f>'03_Revenue_Model'!G2</f>
        <v/>
      </c>
      <c r="H4" s="10">
        <f>'03_Revenue_Model'!H2</f>
        <v/>
      </c>
      <c r="I4" s="10">
        <f>'03_Revenue_Model'!I2</f>
        <v/>
      </c>
      <c r="J4" s="11" t="inlineStr">
        <is>
          <t>Bottom-up = SL HRC/XD x Giá x FX + Doanh thu khác (Sheet 03_Revenue_Model)</t>
        </is>
      </c>
    </row>
    <row r="5">
      <c r="A5" s="9" t="inlineStr">
        <is>
          <t>Tăng trưởng DT (%)</t>
        </is>
      </c>
      <c r="B5" s="10" t="n">
        <v>48</v>
      </c>
      <c r="C5" s="10" t="n">
        <v>-5.5</v>
      </c>
      <c r="D5" s="10" t="n">
        <v>-15.9</v>
      </c>
      <c r="E5" s="10" t="n">
        <v>16.7</v>
      </c>
      <c r="F5" s="10" t="n">
        <v>12.4</v>
      </c>
      <c r="G5" s="12">
        <f>(G4/F4-1)*100</f>
        <v/>
      </c>
      <c r="H5" s="12">
        <f>(H4/G4-1)*100</f>
        <v/>
      </c>
      <c r="I5" s="12">
        <f>(I4/H4-1)*100</f>
        <v/>
      </c>
      <c r="J5" s="11">
        <f> Doanh thu(t) / Doanh thu(t-1) - 1, tính từ Doanh thu bottom-up</f>
        <v/>
      </c>
    </row>
    <row r="6">
      <c r="A6" s="9" t="inlineStr">
        <is>
          <t>Biên LNG (%)</t>
        </is>
      </c>
      <c r="B6" s="10" t="n">
        <v>27.46</v>
      </c>
      <c r="C6" s="10" t="n">
        <v>11.85</v>
      </c>
      <c r="D6" s="10" t="n">
        <v>10.88</v>
      </c>
      <c r="E6" s="10" t="n">
        <v>13.32</v>
      </c>
      <c r="F6" s="10" t="n">
        <v>15.69</v>
      </c>
      <c r="G6" s="12" t="n">
        <v>15.9</v>
      </c>
      <c r="H6" s="12" t="n">
        <v>15.5</v>
      </c>
      <c r="I6" s="12" t="n">
        <v>13.1</v>
      </c>
      <c r="J6" s="11" t="inlineStr">
        <is>
          <t>Bottom-up từ Spread (Giá - Quặng*1.6 - Than*0.5 - CP khác) x Sản lượng — khớp Profit Bridge 03_Revenue_Model</t>
        </is>
      </c>
    </row>
    <row r="7">
      <c r="A7" s="9" t="inlineStr">
        <is>
          <t>EBIT Margin (%)</t>
        </is>
      </c>
      <c r="B7" s="10" t="n">
        <v>24.1</v>
      </c>
      <c r="C7" s="10" t="n">
        <v>7.8</v>
      </c>
      <c r="D7" s="10" t="n">
        <v>6.5</v>
      </c>
      <c r="E7" s="10" t="n">
        <v>9.300000000000001</v>
      </c>
      <c r="F7" s="10" t="n">
        <v>11.84</v>
      </c>
      <c r="G7" s="10" t="n">
        <v>12.4</v>
      </c>
      <c r="H7" s="10" t="n">
        <v>12</v>
      </c>
      <c r="I7" s="10" t="n">
        <v>9.6</v>
      </c>
      <c r="J7" s="11">
        <f> EBIT / Doanh thu, EBIT = LN gộp - CP BH&amp;QLDN (khớp 04_PnL)</f>
        <v/>
      </c>
    </row>
    <row r="8">
      <c r="A8" s="9" t="inlineStr">
        <is>
          <t>Thuế TNDN (%)</t>
        </is>
      </c>
      <c r="B8" s="13" t="n">
        <v>4</v>
      </c>
      <c r="C8" s="10" t="n">
        <v>13.5</v>
      </c>
      <c r="D8" s="10" t="n">
        <v>10.5</v>
      </c>
      <c r="E8" s="13" t="n">
        <v>4</v>
      </c>
      <c r="F8" s="10" t="n">
        <v>12.5</v>
      </c>
      <c r="G8" s="10" t="n">
        <v>12</v>
      </c>
      <c r="H8" s="10" t="n">
        <v>12</v>
      </c>
      <c r="I8" s="10" t="n">
        <v>12</v>
      </c>
      <c r="J8" s="11" t="inlineStr">
        <is>
          <t>HPG ưu đãi Dung Quất</t>
        </is>
      </c>
    </row>
    <row r="9">
      <c r="A9" s="9" t="inlineStr">
        <is>
          <t>D&amp;A (tỷ)</t>
        </is>
      </c>
      <c r="B9" s="10" t="n">
        <v>6077</v>
      </c>
      <c r="C9" s="10" t="n">
        <v>6759</v>
      </c>
      <c r="D9" s="10" t="n">
        <v>6762</v>
      </c>
      <c r="E9" s="10" t="n">
        <v>6916</v>
      </c>
      <c r="F9" s="10" t="n">
        <v>8471</v>
      </c>
      <c r="G9" s="10">
        <f>F9*(1+G5/100)</f>
        <v/>
      </c>
      <c r="H9" s="10">
        <f>G9*(1+H5/100)</f>
        <v/>
      </c>
      <c r="I9" s="10">
        <f>H9*(1+I5/100)</f>
        <v/>
      </c>
      <c r="J9" s="11" t="inlineStr">
        <is>
          <t>Khấu hao TSCĐ &amp; BĐSĐT (cfa2) — số THẬT từ Vietcap. Dự phóng = công thức sống tăng theo DT</t>
        </is>
      </c>
    </row>
    <row r="10">
      <c r="A10" s="9" t="inlineStr">
        <is>
          <t>CAPEX (tỷ)</t>
        </is>
      </c>
      <c r="B10" s="10" t="n">
        <v>11621</v>
      </c>
      <c r="C10" s="10" t="n">
        <v>17888</v>
      </c>
      <c r="D10" s="10" t="n">
        <v>17374</v>
      </c>
      <c r="E10" s="10" t="n">
        <v>35495</v>
      </c>
      <c r="F10" s="10" t="n">
        <v>25748</v>
      </c>
      <c r="G10" s="10" t="n">
        <v>15000</v>
      </c>
      <c r="H10" s="10" t="n">
        <v>18000</v>
      </c>
      <c r="I10" s="10" t="n">
        <v>20000</v>
      </c>
      <c r="J10" s="11" t="inlineStr">
        <is>
          <t>Số THẬT từ Vietcap (cfa19). 2024 đỉnh CAPEX DQ2 (~35.5k tỷ). Dự phóng giảm hậu-DQ2</t>
        </is>
      </c>
    </row>
    <row r="11">
      <c r="A11" s="9" t="inlineStr">
        <is>
          <t>Nợ vay (tỷ)</t>
        </is>
      </c>
      <c r="B11" s="10" t="n">
        <v>57213</v>
      </c>
      <c r="C11" s="10" t="n">
        <v>57900</v>
      </c>
      <c r="D11" s="10" t="n">
        <v>65381</v>
      </c>
      <c r="E11" s="10" t="n">
        <v>82963</v>
      </c>
      <c r="F11" s="10" t="n">
        <v>92174</v>
      </c>
      <c r="G11" s="10" t="n">
        <v>89870</v>
      </c>
      <c r="H11" s="10" t="n">
        <v>86413</v>
      </c>
      <c r="I11" s="10" t="n">
        <v>82956</v>
      </c>
      <c r="J11" s="11" t="inlineStr">
        <is>
          <t>Vay NH+DH (bsa56+71) — số THẬT. Q1/2026: 90,6k giảm 2k so với 2025A; dự phóng giữ %YoY giảm dần cũ, neo gốc thật</t>
        </is>
      </c>
    </row>
    <row r="12">
      <c r="A12" s="9" t="inlineStr">
        <is>
          <t>Tiền mặt (tỷ)</t>
        </is>
      </c>
      <c r="B12" s="10" t="n">
        <v>40708</v>
      </c>
      <c r="C12" s="10" t="n">
        <v>34593</v>
      </c>
      <c r="D12" s="10" t="n">
        <v>34429</v>
      </c>
      <c r="E12" s="10" t="n">
        <v>25862</v>
      </c>
      <c r="F12" s="10" t="n">
        <v>27785</v>
      </c>
      <c r="G12" s="10" t="n">
        <v>34731</v>
      </c>
      <c r="H12" s="10" t="n">
        <v>41677</v>
      </c>
      <c r="I12" s="10" t="n">
        <v>48623</v>
      </c>
      <c r="J12" s="11" t="inlineStr">
        <is>
          <t>Tiền&amp;TĐT (bsa2) + Đầu tư ngắn hạn (bsa5, chủ yếu tiền gửi kỳ hạn) — số THẬT, dùng cho Net Debt</t>
        </is>
      </c>
    </row>
    <row r="13">
      <c r="A13" s="9" t="inlineStr">
        <is>
          <t>VCSH (tỷ)</t>
        </is>
      </c>
      <c r="B13" s="10" t="n">
        <v>75000</v>
      </c>
      <c r="C13" s="10" t="n">
        <v>90000</v>
      </c>
      <c r="D13" s="10" t="n">
        <v>105000</v>
      </c>
      <c r="E13" s="10" t="n">
        <v>115000</v>
      </c>
      <c r="F13" s="10" t="n">
        <v>130000</v>
      </c>
      <c r="G13" s="10">
        <f>F13+'04_PnL'!G13-G14*G3/1000</f>
        <v/>
      </c>
      <c r="H13" s="10">
        <f>G13+'04_PnL'!H13-H14*H3/1000</f>
        <v/>
      </c>
      <c r="I13" s="10">
        <f>H13+'04_PnL'!I13-I14*I3/1000</f>
        <v/>
      </c>
      <c r="J13" s="11" t="inlineStr">
        <is>
          <t>Roll-forward: VCSH(t-1) + NI(t) - Cổ tức tiền mặt(t)</t>
        </is>
      </c>
    </row>
    <row r="14">
      <c r="A14" s="9" t="inlineStr">
        <is>
          <t>Cổ tức (VND/CP)</t>
        </is>
      </c>
      <c r="B14" s="14" t="n">
        <v>0</v>
      </c>
      <c r="C14" s="14" t="n">
        <v>0</v>
      </c>
      <c r="D14" s="14" t="n">
        <v>0</v>
      </c>
      <c r="E14" s="14" t="n">
        <v>0</v>
      </c>
      <c r="F14" s="14" t="n">
        <v>0</v>
      </c>
      <c r="G14" s="14" t="n">
        <v>0</v>
      </c>
      <c r="H14" s="14" t="n">
        <v>800</v>
      </c>
      <c r="I14" s="10" t="n">
        <v>1200</v>
      </c>
      <c r="J14" s="11" t="inlineStr">
        <is>
          <t>2026: 15% (10% CP + 5% TM)</t>
        </is>
      </c>
    </row>
    <row r="15">
      <c r="A15" s="9" t="inlineStr">
        <is>
          <t>Tỷ lệ CP BH&amp;QLDN/DT (%)</t>
        </is>
      </c>
      <c r="B15" s="13" t="n">
        <v>3.4</v>
      </c>
      <c r="C15" s="13" t="n">
        <v>4</v>
      </c>
      <c r="D15" s="13" t="n">
        <v>4.3</v>
      </c>
      <c r="E15" s="13" t="n">
        <v>4</v>
      </c>
      <c r="F15" s="13" t="n">
        <v>3.8</v>
      </c>
      <c r="G15" s="13" t="n">
        <v>3.5</v>
      </c>
      <c r="H15" s="13" t="n">
        <v>3.5</v>
      </c>
      <c r="I15" s="13" t="n">
        <v>3.5</v>
      </c>
      <c r="J15" s="11" t="inlineStr">
        <is>
          <t>Giảm nhờ DQ2 biên lớn</t>
        </is>
      </c>
    </row>
    <row r="16">
      <c r="A16" s="9" t="inlineStr">
        <is>
          <t>P/B mục tiêu (x)</t>
        </is>
      </c>
      <c r="B16" s="13">
        <f>B23</f>
        <v/>
      </c>
      <c r="C16" s="13">
        <f>C23</f>
        <v/>
      </c>
      <c r="D16" s="13">
        <f>D23</f>
        <v/>
      </c>
      <c r="E16" s="13">
        <f>E23</f>
        <v/>
      </c>
      <c r="F16" s="13">
        <f>F23</f>
        <v/>
      </c>
      <c r="G16" s="13">
        <f>K30</f>
        <v/>
      </c>
      <c r="H16" s="13">
        <f>K30</f>
        <v/>
      </c>
      <c r="I16" s="13">
        <f>K30</f>
        <v/>
      </c>
      <c r="J16" s="11" t="inlineStr">
        <is>
          <t>HPG lịch sử median 1.64x (TTM 2018-2025)</t>
        </is>
      </c>
      <c r="K16" s="15" t="inlineStr">
        <is>
          <t>K30</t>
        </is>
      </c>
    </row>
    <row r="17">
      <c r="A17" s="9" t="inlineStr">
        <is>
          <t>EV/EBITDA mục tiêu (x)</t>
        </is>
      </c>
      <c r="B17" s="12">
        <f>B24</f>
        <v/>
      </c>
      <c r="C17" s="12">
        <f>C24</f>
        <v/>
      </c>
      <c r="D17" s="12">
        <f>D24</f>
        <v/>
      </c>
      <c r="E17" s="12">
        <f>E24</f>
        <v/>
      </c>
      <c r="F17" s="12">
        <f>F24</f>
        <v/>
      </c>
      <c r="G17" s="12">
        <f>K31</f>
        <v/>
      </c>
      <c r="H17" s="12">
        <f>K31</f>
        <v/>
      </c>
      <c r="I17" s="12">
        <f>K31</f>
        <v/>
      </c>
      <c r="J17" s="11" t="inlineStr">
        <is>
          <t>HPG lịch sử median 8.43x (TTM 2018-2025)</t>
        </is>
      </c>
      <c r="K17" s="16" t="inlineStr">
        <is>
          <t>K31</t>
        </is>
      </c>
    </row>
    <row r="18">
      <c r="A18" s="9" t="inlineStr">
        <is>
          <t>P/E mục tiêu (x)</t>
        </is>
      </c>
      <c r="B18" s="12">
        <f>B22</f>
        <v/>
      </c>
      <c r="C18" s="12">
        <f>C22</f>
        <v/>
      </c>
      <c r="D18" s="12">
        <f>D22</f>
        <v/>
      </c>
      <c r="E18" s="12">
        <f>E22</f>
        <v/>
      </c>
      <c r="F18" s="12">
        <f>F22</f>
        <v/>
      </c>
      <c r="G18" s="12">
        <f>K29</f>
        <v/>
      </c>
      <c r="H18" s="12">
        <f>K29</f>
        <v/>
      </c>
      <c r="I18" s="12">
        <f>K29</f>
        <v/>
      </c>
      <c r="J18" s="11" t="inlineStr">
        <is>
          <t>Tham khảo - HPG median 10.3x (TTM 2018-2025)</t>
        </is>
      </c>
      <c r="K18" s="16" t="inlineStr">
        <is>
          <t>K29</t>
        </is>
      </c>
    </row>
    <row r="19">
      <c r="A19" s="9" t="inlineStr">
        <is>
          <t>Quặng sắt 62% Fe (USD/t)</t>
        </is>
      </c>
      <c r="B19" s="10">
        <f>'17_Gia_Hang_Hoa'!B32</f>
        <v/>
      </c>
      <c r="C19" s="10">
        <f>'17_Gia_Hang_Hoa'!C32</f>
        <v/>
      </c>
      <c r="D19" s="10">
        <f>'17_Gia_Hang_Hoa'!D32</f>
        <v/>
      </c>
      <c r="E19" s="10">
        <f>'17_Gia_Hang_Hoa'!E32</f>
        <v/>
      </c>
      <c r="F19" s="10">
        <f>'17_Gia_Hang_Hoa'!F32</f>
        <v/>
      </c>
      <c r="G19" s="10">
        <f>'17_Gia_Hang_Hoa'!G32</f>
        <v/>
      </c>
      <c r="H19" s="10">
        <f>'17_Gia_Hang_Hoa'!H32</f>
        <v/>
      </c>
      <c r="I19" s="10">
        <f>'17_Gia_Hang_Hoa'!I32</f>
        <v/>
      </c>
      <c r="J19" s="11" t="inlineStr">
        <is>
          <t>Giá CFR Trung Quốc — link '17_Gia_Hang_Hoa' (median quý/năm)</t>
        </is>
      </c>
    </row>
    <row r="20">
      <c r="A20" s="9" t="inlineStr">
        <is>
          <t>Than cốc luyện kim (USD/t)</t>
        </is>
      </c>
      <c r="B20" s="10">
        <f>'17_Gia_Hang_Hoa'!B33</f>
        <v/>
      </c>
      <c r="C20" s="10">
        <f>'17_Gia_Hang_Hoa'!C33</f>
        <v/>
      </c>
      <c r="D20" s="10">
        <f>'17_Gia_Hang_Hoa'!D33</f>
        <v/>
      </c>
      <c r="E20" s="10">
        <f>'17_Gia_Hang_Hoa'!E33</f>
        <v/>
      </c>
      <c r="F20" s="10">
        <f>'17_Gia_Hang_Hoa'!F33</f>
        <v/>
      </c>
      <c r="G20" s="10">
        <f>'17_Gia_Hang_Hoa'!G33</f>
        <v/>
      </c>
      <c r="H20" s="10">
        <f>'17_Gia_Hang_Hoa'!H33</f>
        <v/>
      </c>
      <c r="I20" s="10">
        <f>'17_Gia_Hang_Hoa'!I33</f>
        <v/>
      </c>
      <c r="J20" s="11" t="inlineStr">
        <is>
          <t>FOB Úc — link '17_Gia_Hang_Hoa' (median quý/năm)</t>
        </is>
      </c>
    </row>
    <row r="21">
      <c r="A21" s="9" t="inlineStr">
        <is>
          <t>Chi phí SX khác (USD/t)</t>
        </is>
      </c>
      <c r="B21" s="14" t="n">
        <v>100</v>
      </c>
      <c r="C21" s="14" t="n">
        <v>100</v>
      </c>
      <c r="D21" s="14" t="n">
        <v>100</v>
      </c>
      <c r="E21" s="14" t="n">
        <v>100</v>
      </c>
      <c r="F21" s="14" t="n">
        <v>100</v>
      </c>
      <c r="G21" s="14" t="n">
        <v>100</v>
      </c>
      <c r="H21" s="14" t="n">
        <v>100</v>
      </c>
      <c r="I21" s="14" t="n">
        <v>100</v>
      </c>
      <c r="J21" s="11" t="inlineStr">
        <is>
          <t>Cố định — gồm nhân công, nhiên liệu, điện, khấu hao, CPQL</t>
        </is>
      </c>
    </row>
    <row r="22">
      <c r="A22" s="9" t="inlineStr">
        <is>
          <t>Doanh thu TC (tỷ)</t>
        </is>
      </c>
      <c r="B22" s="10" t="n">
        <v>1500</v>
      </c>
      <c r="C22" s="10" t="n">
        <v>2100</v>
      </c>
      <c r="D22" s="10" t="n">
        <v>1800</v>
      </c>
      <c r="E22" s="10" t="n">
        <v>1950</v>
      </c>
      <c r="F22" s="10" t="n">
        <v>2200</v>
      </c>
      <c r="G22" s="10" t="n">
        <v>7813</v>
      </c>
      <c r="H22" s="10" t="n">
        <v>2800</v>
      </c>
      <c r="I22" s="10" t="n">
        <v>3000</v>
      </c>
      <c r="J22" s="11" t="inlineStr"/>
    </row>
    <row r="23">
      <c r="A23" s="9" t="inlineStr">
        <is>
          <t>Chi phí TC (tỷ)</t>
        </is>
      </c>
      <c r="B23" s="10" t="n">
        <v>1800</v>
      </c>
      <c r="C23" s="10" t="n">
        <v>3500</v>
      </c>
      <c r="D23" s="10" t="n">
        <v>2100</v>
      </c>
      <c r="E23" s="10" t="n">
        <v>2500</v>
      </c>
      <c r="F23" s="10" t="n">
        <v>3200</v>
      </c>
      <c r="G23" s="10" t="n">
        <v>4719</v>
      </c>
      <c r="H23" s="10" t="n">
        <v>4000</v>
      </c>
      <c r="I23" s="10" t="n">
        <v>4200</v>
      </c>
      <c r="J23" s="11" t="inlineStr"/>
    </row>
    <row r="24">
      <c r="A24" s="9" t="inlineStr">
        <is>
          <t>Thu nhập khác (tỷ)</t>
        </is>
      </c>
      <c r="B24" s="14" t="n">
        <v>0</v>
      </c>
      <c r="C24" s="14" t="n">
        <v>0</v>
      </c>
      <c r="D24" s="14" t="n">
        <v>0</v>
      </c>
      <c r="E24" s="14" t="n">
        <v>0</v>
      </c>
      <c r="F24" s="14" t="n">
        <v>0</v>
      </c>
      <c r="G24" s="14" t="n">
        <v>0</v>
      </c>
      <c r="H24" s="14" t="n">
        <v>0</v>
      </c>
      <c r="I24" s="14" t="n">
        <v>0</v>
      </c>
      <c r="J24" s="11" t="inlineStr">
        <is>
          <t>Q1/2026: ~4,915 tỷ từ Phố Nối</t>
        </is>
      </c>
    </row>
    <row r="25">
      <c r="A25" s="9" t="inlineStr">
        <is>
          <t>Tỷ giá USD/VND (VND)</t>
        </is>
      </c>
      <c r="B25" s="10" t="n">
        <v>23100</v>
      </c>
      <c r="C25" s="10" t="n">
        <v>23600</v>
      </c>
      <c r="D25" s="10" t="n">
        <v>24000</v>
      </c>
      <c r="E25" s="10" t="n">
        <v>24900</v>
      </c>
      <c r="F25" s="10" t="n">
        <v>26000</v>
      </c>
      <c r="G25" s="10" t="n">
        <v>26200</v>
      </c>
      <c r="H25" s="10" t="n">
        <v>26724</v>
      </c>
      <c r="I25" s="10" t="n">
        <v>27258</v>
      </c>
      <c r="J25" s="11" t="inlineStr">
        <is>
          <t>2021-25: bình quân năm tham khảo Vietcombank/SBV; 2026E: fetch investing.com; 2027-28E: +2%/năm</t>
        </is>
      </c>
    </row>
    <row r="27">
      <c r="A27" s="17" t="inlineStr">
        <is>
          <t>Bước 2: P/E, P/B, EV/EBITDA — Median từng năm (tham chiếu quý ở Sheet 08_Hist_Multiples)</t>
        </is>
      </c>
    </row>
    <row r="28">
      <c r="A28" s="8" t="inlineStr">
        <is>
          <t>Chỉ tiêu</t>
        </is>
      </c>
      <c r="B28" s="8" t="inlineStr">
        <is>
          <t>2018</t>
        </is>
      </c>
      <c r="C28" s="8" t="inlineStr">
        <is>
          <t>2019</t>
        </is>
      </c>
      <c r="D28" s="8" t="inlineStr">
        <is>
          <t>2020</t>
        </is>
      </c>
      <c r="E28" s="8" t="inlineStr">
        <is>
          <t>2021</t>
        </is>
      </c>
      <c r="F28" s="8" t="inlineStr">
        <is>
          <t>2022</t>
        </is>
      </c>
      <c r="G28" s="8" t="inlineStr">
        <is>
          <t>2023</t>
        </is>
      </c>
      <c r="H28" s="8" t="inlineStr">
        <is>
          <t>2024</t>
        </is>
      </c>
      <c r="I28" s="8" t="inlineStr">
        <is>
          <t>2025</t>
        </is>
      </c>
      <c r="J28" s="8" t="inlineStr">
        <is>
          <t>Hiện tại (công thức)</t>
        </is>
      </c>
      <c r="K28" s="8" t="inlineStr">
        <is>
          <t>Trung vị LS</t>
        </is>
      </c>
    </row>
    <row r="29">
      <c r="A29" s="18" t="inlineStr">
        <is>
          <t>P/E (x)</t>
        </is>
      </c>
      <c r="B29" s="19">
        <f>MEDIAN('08_Hist_Multiples'!C2:C5)</f>
        <v/>
      </c>
      <c r="C29" s="19">
        <f>MEDIAN('08_Hist_Multiples'!C6:C9)</f>
        <v/>
      </c>
      <c r="D29" s="19">
        <f>MEDIAN('08_Hist_Multiples'!C10:C13)</f>
        <v/>
      </c>
      <c r="E29" s="19">
        <f>MEDIAN('08_Hist_Multiples'!C14:C17)</f>
        <v/>
      </c>
      <c r="F29" s="19">
        <f>MEDIAN('08_Hist_Multiples'!C18:C21)</f>
        <v/>
      </c>
      <c r="G29" s="19">
        <f>MEDIAN('08_Hist_Multiples'!C22:C25)</f>
        <v/>
      </c>
      <c r="H29" s="19">
        <f>MEDIAN('08_Hist_Multiples'!C26:C29)</f>
        <v/>
      </c>
      <c r="I29" s="19">
        <f>MEDIAN('08_Hist_Multiples'!C30:C33)</f>
        <v/>
      </c>
      <c r="J29" s="20">
        <f>('02_Assumptions'!$B$2*'02_Assumptions'!$B$3*1000000)/('04_PnL'!F13*1000000000)</f>
        <v/>
      </c>
      <c r="K29" s="21">
        <f>MEDIAN(B29:I29)</f>
        <v/>
      </c>
    </row>
    <row r="30">
      <c r="A30" s="18" t="inlineStr">
        <is>
          <t>P/B (x)</t>
        </is>
      </c>
      <c r="B30" s="22">
        <f>MEDIAN('08_Hist_Multiples'!D2:D5)</f>
        <v/>
      </c>
      <c r="C30" s="22">
        <f>MEDIAN('08_Hist_Multiples'!D6:D9)</f>
        <v/>
      </c>
      <c r="D30" s="22">
        <f>MEDIAN('08_Hist_Multiples'!D10:D13)</f>
        <v/>
      </c>
      <c r="E30" s="22">
        <f>MEDIAN('08_Hist_Multiples'!D14:D17)</f>
        <v/>
      </c>
      <c r="F30" s="22">
        <f>MEDIAN('08_Hist_Multiples'!D18:D21)</f>
        <v/>
      </c>
      <c r="G30" s="22">
        <f>MEDIAN('08_Hist_Multiples'!D22:D25)</f>
        <v/>
      </c>
      <c r="H30" s="22">
        <f>MEDIAN('08_Hist_Multiples'!D26:D29)</f>
        <v/>
      </c>
      <c r="I30" s="22">
        <f>MEDIAN('08_Hist_Multiples'!D30:D33)</f>
        <v/>
      </c>
      <c r="J30" s="23">
        <f>('02_Assumptions'!$B$2*'02_Assumptions'!$B$3*1000000)/('02_Assumptions'!F13*1000000000)</f>
        <v/>
      </c>
      <c r="K30" s="24">
        <f>MEDIAN(B30:I30)</f>
        <v/>
      </c>
    </row>
    <row r="31">
      <c r="A31" s="18" t="inlineStr">
        <is>
          <t>EV/EBITDA (x)</t>
        </is>
      </c>
      <c r="B31" s="19">
        <f>MEDIAN('08_Hist_Multiples'!E2:E5)</f>
        <v/>
      </c>
      <c r="C31" s="19">
        <f>MEDIAN('08_Hist_Multiples'!E6:E9)</f>
        <v/>
      </c>
      <c r="D31" s="19">
        <f>MEDIAN('08_Hist_Multiples'!E10:E13)</f>
        <v/>
      </c>
      <c r="E31" s="19">
        <f>MEDIAN('08_Hist_Multiples'!E14:E17)</f>
        <v/>
      </c>
      <c r="F31" s="19">
        <f>MEDIAN('08_Hist_Multiples'!E18:E21)</f>
        <v/>
      </c>
      <c r="G31" s="19">
        <f>MEDIAN('08_Hist_Multiples'!E22:E25)</f>
        <v/>
      </c>
      <c r="H31" s="19">
        <f>MEDIAN('08_Hist_Multiples'!E26:E29)</f>
        <v/>
      </c>
      <c r="I31" s="19">
        <f>MEDIAN('08_Hist_Multiples'!E30:E33)</f>
        <v/>
      </c>
      <c r="J31" s="20">
        <f>('02_Assumptions'!$B$2*'02_Assumptions'!$B$3*1000000+('02_Assumptions'!F11-'02_Assumptions'!F12)*1000000000)/('04_PnL'!F16*1000000000)</f>
        <v/>
      </c>
      <c r="K31" s="21">
        <f>MEDIAN(B31:I31)</f>
        <v/>
      </c>
    </row>
    <row r="33">
      <c r="A33" s="17" t="inlineStr">
        <is>
          <t>GIÁ TRỊ ĐỊNH GIÁ THEO TỪNG PHƯƠNG PHÁP</t>
        </is>
      </c>
    </row>
    <row r="34">
      <c r="A34" s="8" t="inlineStr">
        <is>
          <t>Phương pháp</t>
        </is>
      </c>
      <c r="B34" s="8" t="inlineStr"/>
      <c r="C34" s="8" t="inlineStr"/>
      <c r="D34" s="8" t="inlineStr"/>
      <c r="E34" s="8" t="inlineStr"/>
      <c r="F34" s="8" t="inlineStr"/>
      <c r="G34" s="8" t="inlineStr">
        <is>
          <t>2026E</t>
        </is>
      </c>
      <c r="H34" s="8" t="inlineStr"/>
      <c r="I34" s="8" t="inlineStr"/>
      <c r="J34" s="8" t="inlineStr">
        <is>
          <t>Giá trị CP</t>
        </is>
      </c>
      <c r="K34" s="8" t="inlineStr">
        <is>
          <t>Ghi chú</t>
        </is>
      </c>
    </row>
    <row r="35">
      <c r="A35" s="25" t="inlineStr">
        <is>
          <t>EV/EBITDA (2026E)</t>
        </is>
      </c>
      <c r="J35" s="26">
        <f>(('04_PnL'!G16*K31-('02_Assumptions'!G11-'02_Assumptions'!G12))*1000000000)/('02_Assumptions'!G3*1000000)</f>
        <v/>
      </c>
      <c r="K35" s="27" t="inlineStr">
        <is>
          <t>EV/EBITDA target = K31</t>
        </is>
      </c>
    </row>
    <row r="36">
      <c r="A36" s="25" t="inlineStr">
        <is>
          <t>P/B (2026E)</t>
        </is>
      </c>
      <c r="J36" s="26">
        <f>K30*('02_Assumptions'!G13*1000000000)/('02_Assumptions'!G3*1000000)</f>
        <v/>
      </c>
      <c r="K36" s="27" t="inlineStr">
        <is>
          <t>P/B target = K30</t>
        </is>
      </c>
    </row>
    <row r="37">
      <c r="A37" s="25" t="inlineStr">
        <is>
          <t>P/E (2026E)</t>
        </is>
      </c>
      <c r="J37" s="26">
        <f>K29*'04_PnL'!G15</f>
        <v/>
      </c>
      <c r="K37" s="27" t="inlineStr">
        <is>
          <t>P/E target = K29</t>
        </is>
      </c>
    </row>
    <row r="40">
      <c r="A40" s="28" t="inlineStr">
        <is>
          <t>Q1/2026 Doanh thu (tỷ)</t>
        </is>
      </c>
      <c r="G40" s="29" t="n">
        <v>52900.847302653</v>
      </c>
    </row>
    <row r="41">
      <c r="A41" s="28" t="inlineStr">
        <is>
          <t>Q1/2026 LN gộp (tỷ)</t>
        </is>
      </c>
      <c r="G41" s="29" t="n">
        <v>8365.068607994999</v>
      </c>
    </row>
    <row r="42">
      <c r="A42" s="28" t="inlineStr">
        <is>
          <t>Q1/2026 Biên LNG (%)</t>
        </is>
      </c>
      <c r="G42" s="30">
        <f>G41/G40*100</f>
        <v/>
      </c>
    </row>
    <row r="43">
      <c r="A43" s="28" t="inlineStr">
        <is>
          <t>Spread All quý gần nhất đã biết (1 quý 2026, USD/t)</t>
        </is>
      </c>
      <c r="G43" s="29">
        <f>'17_Gia_Hang_Hoa'!L22</f>
        <v/>
      </c>
    </row>
    <row r="45">
      <c r="A45" s="28" t="inlineStr">
        <is>
          <t>Spread hàng năm (USD/t)</t>
        </is>
      </c>
      <c r="B45" s="31">
        <f>'17_Gia_Hang_Hoa'!B35</f>
        <v/>
      </c>
      <c r="C45" s="31">
        <f>'17_Gia_Hang_Hoa'!C35</f>
        <v/>
      </c>
      <c r="D45" s="31">
        <f>'17_Gia_Hang_Hoa'!D37</f>
        <v/>
      </c>
      <c r="E45" s="31">
        <f>'17_Gia_Hang_Hoa'!E37</f>
        <v/>
      </c>
      <c r="F45" s="31">
        <f>'17_Gia_Hang_Hoa'!F37</f>
        <v/>
      </c>
      <c r="G45" s="31">
        <f>'17_Gia_Hang_Hoa'!G37</f>
        <v/>
      </c>
      <c r="H45" s="31">
        <f>'17_Gia_Hang_Hoa'!H37</f>
        <v/>
      </c>
      <c r="I45" s="31">
        <f>'17_Gia_Hang_Hoa'!I37</f>
        <v/>
      </c>
      <c r="J45" t="inlineStr">
        <is>
          <t>≤2022: Spread HRC (chưa có SL tách quý để tính All); ≥2023: Spread All — link '17_Gia_Hang_Hoa'</t>
        </is>
      </c>
    </row>
    <row r="46">
      <c r="A46" s="28" t="inlineStr">
        <is>
          <t>Spread HRC hiện tại (đầu quý+hiện tại, USD/t)</t>
        </is>
      </c>
      <c r="G46" s="29">
        <f>'17_Gia_Hang_Hoa'!B27</f>
        <v/>
      </c>
    </row>
    <row r="47">
      <c r="A47" s="32" t="inlineStr">
        <is>
          <t>Spread All hiện tại (đầu quý+hiện tại, USD/t)</t>
        </is>
      </c>
      <c r="G47" s="33">
        <f>'17_Gia_Hang_Hoa'!L27</f>
        <v/>
      </c>
    </row>
  </sheetData>
  <mergeCells count="2">
    <mergeCell ref="A33:K33"/>
    <mergeCell ref="A27:L27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8" t="inlineStr">
        <is>
          <t>Chỉ tiêu</t>
        </is>
      </c>
      <c r="B1" s="8" t="inlineStr">
        <is>
          <t>2021A</t>
        </is>
      </c>
      <c r="C1" s="8" t="inlineStr">
        <is>
          <t>2022A</t>
        </is>
      </c>
      <c r="D1" s="8" t="inlineStr">
        <is>
          <t>2023A</t>
        </is>
      </c>
      <c r="E1" s="8" t="inlineStr">
        <is>
          <t>2024A</t>
        </is>
      </c>
      <c r="F1" s="8" t="inlineStr">
        <is>
          <t>2025A</t>
        </is>
      </c>
      <c r="G1" s="8" t="inlineStr">
        <is>
          <t>2026E</t>
        </is>
      </c>
      <c r="H1" s="8" t="inlineStr">
        <is>
          <t>2027E</t>
        </is>
      </c>
      <c r="I1" s="8" t="inlineStr">
        <is>
          <t>2028E</t>
        </is>
      </c>
    </row>
    <row r="2">
      <c r="A2" s="25" t="inlineStr">
        <is>
          <t>Doanh thu (tỷ)</t>
        </is>
      </c>
      <c r="B2" s="34" t="n">
        <v>149679.789979345</v>
      </c>
      <c r="C2" s="34" t="n">
        <v>141409.274460632</v>
      </c>
      <c r="D2" s="34" t="n">
        <v>118953.027893654</v>
      </c>
      <c r="E2" s="34" t="n">
        <v>138855.112131387</v>
      </c>
      <c r="F2" s="34" t="n">
        <v>156116.094618482</v>
      </c>
      <c r="G2" s="34">
        <f>G8+G9+G10</f>
        <v/>
      </c>
      <c r="H2" s="34">
        <f>H8+H9+H10</f>
        <v/>
      </c>
      <c r="I2" s="34">
        <f>I8+I9+I10</f>
        <v/>
      </c>
    </row>
    <row r="3">
      <c r="A3" s="25" t="inlineStr">
        <is>
          <t>YoY Growth (%)</t>
        </is>
      </c>
      <c r="B3" s="35" t="inlineStr">
        <is>
          <t>-</t>
        </is>
      </c>
      <c r="C3" s="19">
        <f>(C2/B2-1)*100</f>
        <v/>
      </c>
      <c r="D3" s="19">
        <f>(D2/C2-1)*100</f>
        <v/>
      </c>
      <c r="E3" s="19">
        <f>(E2/D2-1)*100</f>
        <v/>
      </c>
      <c r="F3" s="19">
        <f>(F2/E2-1)*100</f>
        <v/>
      </c>
      <c r="G3" s="19">
        <f>(G2/F2-1)*100</f>
        <v/>
      </c>
      <c r="H3" s="19">
        <f>(H2/G2-1)*100</f>
        <v/>
      </c>
      <c r="I3" s="19">
        <f>(I2/H2-1)*100</f>
        <v/>
      </c>
    </row>
    <row r="4">
      <c r="A4" s="25" t="inlineStr">
        <is>
          <t>Sản lượng HRC (triệu tấn)</t>
        </is>
      </c>
      <c r="B4" s="36" t="n">
        <v>2</v>
      </c>
      <c r="C4" s="36" t="n">
        <v>2.2</v>
      </c>
      <c r="D4" s="37">
        <f>SUM('15_Quarterly_Data'!B59:E59)/1000</f>
        <v/>
      </c>
      <c r="E4" s="37">
        <f>SUM('15_Quarterly_Data'!F59:I59)/1000</f>
        <v/>
      </c>
      <c r="F4" s="37">
        <f>SUM('15_Quarterly_Data'!J59:M59)/1000</f>
        <v/>
      </c>
      <c r="G4" s="38">
        <f>'15_Quarterly_Data'!B87</f>
        <v/>
      </c>
      <c r="H4" s="36" t="n">
        <v>6.3</v>
      </c>
      <c r="I4" s="36" t="n">
        <v>6.62</v>
      </c>
    </row>
    <row r="5">
      <c r="A5" s="25" t="inlineStr">
        <is>
          <t>Sản lượng thép XD (triệu tấn)</t>
        </is>
      </c>
      <c r="B5" s="36" t="n">
        <v>2.8</v>
      </c>
      <c r="C5" s="36" t="n">
        <v>2.6</v>
      </c>
      <c r="D5" s="37">
        <f>SUM('15_Quarterly_Data'!B60:E60)/1000</f>
        <v/>
      </c>
      <c r="E5" s="37">
        <f>SUM('15_Quarterly_Data'!F60:I60)/1000</f>
        <v/>
      </c>
      <c r="F5" s="37">
        <f>SUM('15_Quarterly_Data'!J60:M60)/1000</f>
        <v/>
      </c>
      <c r="G5" s="38">
        <f>'15_Quarterly_Data'!B88</f>
        <v/>
      </c>
      <c r="H5" s="36" t="n">
        <v>5.73</v>
      </c>
      <c r="I5" s="36" t="n">
        <v>6.02</v>
      </c>
    </row>
    <row r="6">
      <c r="A6" s="25" t="inlineStr">
        <is>
          <t>Giá HRC bq (USD/tấn)</t>
        </is>
      </c>
      <c r="B6" s="39">
        <f>'17_Gia_Hang_Hoa'!B31</f>
        <v/>
      </c>
      <c r="C6" s="39">
        <f>'17_Gia_Hang_Hoa'!C31</f>
        <v/>
      </c>
      <c r="D6" s="39">
        <f>'17_Gia_Hang_Hoa'!D31</f>
        <v/>
      </c>
      <c r="E6" s="39">
        <f>'17_Gia_Hang_Hoa'!E31</f>
        <v/>
      </c>
      <c r="F6" s="39">
        <f>'17_Gia_Hang_Hoa'!F31</f>
        <v/>
      </c>
      <c r="G6" s="39">
        <f>'17_Gia_Hang_Hoa'!G31</f>
        <v/>
      </c>
      <c r="H6" s="39">
        <f>'17_Gia_Hang_Hoa'!H31</f>
        <v/>
      </c>
      <c r="I6" s="39">
        <f>'17_Gia_Hang_Hoa'!I31</f>
        <v/>
      </c>
    </row>
    <row r="7">
      <c r="A7" s="25" t="inlineStr">
        <is>
          <t>Giá thép XD bq (USD/tấn)</t>
        </is>
      </c>
      <c r="B7" s="39" t="n">
        <v>720</v>
      </c>
      <c r="C7" s="39" t="n">
        <v>580</v>
      </c>
      <c r="D7" s="39" t="n">
        <v>520</v>
      </c>
      <c r="E7" s="39" t="n">
        <v>550</v>
      </c>
      <c r="F7" s="39" t="n">
        <v>590</v>
      </c>
      <c r="G7" s="39" t="n">
        <v>610</v>
      </c>
      <c r="H7" s="39" t="n">
        <v>620</v>
      </c>
      <c r="I7" s="39" t="n">
        <v>630</v>
      </c>
    </row>
    <row r="8">
      <c r="A8" s="25" t="inlineStr">
        <is>
          <t>Doanh thu HRC (tỷ)</t>
        </is>
      </c>
      <c r="B8" s="39">
        <f>B4*B6*'02_Assumptions'!B25/1000</f>
        <v/>
      </c>
      <c r="C8" s="39">
        <f>C4*C6*'02_Assumptions'!C25/1000</f>
        <v/>
      </c>
      <c r="D8" s="39">
        <f>D4*D6*'02_Assumptions'!D25/1000</f>
        <v/>
      </c>
      <c r="E8" s="39">
        <f>E4*E6*'02_Assumptions'!E25/1000</f>
        <v/>
      </c>
      <c r="F8" s="39">
        <f>F4*F6*'02_Assumptions'!F25/1000</f>
        <v/>
      </c>
      <c r="G8" s="39">
        <f>G4*G6*'02_Assumptions'!G25/1000</f>
        <v/>
      </c>
      <c r="H8" s="39">
        <f>H4*H6*'02_Assumptions'!H25/1000</f>
        <v/>
      </c>
      <c r="I8" s="39">
        <f>I4*I6*'02_Assumptions'!I25/1000</f>
        <v/>
      </c>
    </row>
    <row r="9">
      <c r="A9" s="25" t="inlineStr">
        <is>
          <t>Doanh thu thép XD (tỷ)</t>
        </is>
      </c>
      <c r="B9" s="39">
        <f>B5*B7*'02_Assumptions'!B25/1000</f>
        <v/>
      </c>
      <c r="C9" s="39">
        <f>C5*C7*'02_Assumptions'!C25/1000</f>
        <v/>
      </c>
      <c r="D9" s="39">
        <f>D5*D7*'02_Assumptions'!D25/1000</f>
        <v/>
      </c>
      <c r="E9" s="39">
        <f>E5*E7*'02_Assumptions'!E25/1000</f>
        <v/>
      </c>
      <c r="F9" s="39">
        <f>F5*F7*'02_Assumptions'!F25/1000</f>
        <v/>
      </c>
      <c r="G9" s="39">
        <f>G5*G7*'02_Assumptions'!G25/1000</f>
        <v/>
      </c>
      <c r="H9" s="39">
        <f>H5*H7*'02_Assumptions'!H25/1000</f>
        <v/>
      </c>
      <c r="I9" s="39">
        <f>I5*I7*'02_Assumptions'!I25/1000</f>
        <v/>
      </c>
    </row>
    <row r="10">
      <c r="A10" s="25" t="inlineStr">
        <is>
          <t>Doanh thu khác (tỷ)</t>
        </is>
      </c>
      <c r="B10" s="39">
        <f>B2-B8-B9</f>
        <v/>
      </c>
      <c r="C10" s="39">
        <f>C2-C8-C9</f>
        <v/>
      </c>
      <c r="D10" s="39">
        <f>D2-D8-D9</f>
        <v/>
      </c>
      <c r="E10" s="39">
        <f>E2-E8-E9</f>
        <v/>
      </c>
      <c r="F10" s="39">
        <f>F2-F8-F9</f>
        <v/>
      </c>
      <c r="G10" s="39">
        <f>F10*(1+0.12)</f>
        <v/>
      </c>
      <c r="H10" s="39">
        <f>G10*(1+0.12)</f>
        <v/>
      </c>
      <c r="I10" s="39">
        <f>H10*(1+0.12)</f>
        <v/>
      </c>
    </row>
    <row r="12">
      <c r="B12" s="34">
        <f>'04_PnL'!B13</f>
        <v/>
      </c>
      <c r="C12" s="34">
        <f>'04_PnL'!C13</f>
        <v/>
      </c>
      <c r="D12" s="34">
        <f>'04_PnL'!D13</f>
        <v/>
      </c>
      <c r="E12" s="34">
        <f>'04_PnL'!E13</f>
        <v/>
      </c>
      <c r="F12" s="34">
        <f>'04_PnL'!F13</f>
        <v/>
      </c>
      <c r="G12" s="34">
        <f>'04_PnL'!G13</f>
        <v/>
      </c>
      <c r="H12" s="34">
        <f>'04_PnL'!H13</f>
        <v/>
      </c>
      <c r="I12" s="34">
        <f>'04_PnL'!I13</f>
        <v/>
      </c>
    </row>
    <row r="13">
      <c r="B13" s="19">
        <f>'04_PnL'!B5</f>
        <v/>
      </c>
      <c r="C13" s="19">
        <f>'04_PnL'!C5</f>
        <v/>
      </c>
      <c r="D13" s="19">
        <f>'04_PnL'!D5</f>
        <v/>
      </c>
      <c r="E13" s="19">
        <f>'04_PnL'!E5</f>
        <v/>
      </c>
      <c r="F13" s="19">
        <f>'04_PnL'!F5</f>
        <v/>
      </c>
      <c r="G13" s="19">
        <f>'04_PnL'!G5</f>
        <v/>
      </c>
      <c r="H13" s="19">
        <f>'04_PnL'!H5</f>
        <v/>
      </c>
      <c r="I13" s="19">
        <f>'04_PnL'!I5</f>
        <v/>
      </c>
    </row>
    <row r="15">
      <c r="B15" s="39">
        <f>'04_PnL'!B15</f>
        <v/>
      </c>
      <c r="C15" s="39">
        <f>'04_PnL'!C15</f>
        <v/>
      </c>
      <c r="D15" s="39">
        <f>'04_PnL'!D15</f>
        <v/>
      </c>
      <c r="E15" s="39">
        <f>'04_PnL'!E15</f>
        <v/>
      </c>
      <c r="F15" s="39">
        <f>'04_PnL'!F15</f>
        <v/>
      </c>
      <c r="G15" s="39">
        <f>'04_PnL'!G15</f>
        <v/>
      </c>
      <c r="H15" s="39">
        <f>'04_PnL'!H15</f>
        <v/>
      </c>
      <c r="I15" s="39">
        <f>'04_PnL'!I15</f>
        <v/>
      </c>
    </row>
    <row r="20">
      <c r="A20" s="40" t="inlineStr">
        <is>
          <t>B. PHÂN TÍCH LỢI NHUẬN TỪ SPREAD (công thức nội bộ)</t>
        </is>
      </c>
    </row>
    <row r="21">
      <c r="A21" s="41" t="inlineStr">
        <is>
          <t>Tổng CF SX/tấn (USD)</t>
        </is>
      </c>
      <c r="B21" s="42">
        <f>'02_Assumptions'!B19*1.6+'02_Assumptions'!B20*0.6+'02_Assumptions'!B21</f>
        <v/>
      </c>
      <c r="C21" s="42">
        <f>'02_Assumptions'!C19*1.6+'02_Assumptions'!C20*0.6+'02_Assumptions'!C21</f>
        <v/>
      </c>
      <c r="D21" s="42">
        <f>'02_Assumptions'!D19*1.6+'02_Assumptions'!D20*0.6+'02_Assumptions'!D21</f>
        <v/>
      </c>
      <c r="E21" s="42">
        <f>'02_Assumptions'!E19*1.6+'02_Assumptions'!E20*0.6+'02_Assumptions'!E21</f>
        <v/>
      </c>
      <c r="F21" s="42">
        <f>'02_Assumptions'!F19*1.6+'02_Assumptions'!F20*0.6+'02_Assumptions'!F21</f>
        <v/>
      </c>
      <c r="G21" s="42">
        <f>'02_Assumptions'!G19*1.6+'02_Assumptions'!G20*0.6+'02_Assumptions'!G21</f>
        <v/>
      </c>
      <c r="H21" s="42">
        <f>'02_Assumptions'!H19*1.6+'02_Assumptions'!H20*0.6+'02_Assumptions'!H21</f>
        <v/>
      </c>
      <c r="I21" s="42">
        <f>'02_Assumptions'!I19*1.6+'02_Assumptions'!I20*0.6+'02_Assumptions'!I21</f>
        <v/>
      </c>
      <c r="J21" s="43" t="inlineStr">
        <is>
          <t>Quặng*1.6 + Than*0.6 + CP SX khác (200, cố định)</t>
        </is>
      </c>
    </row>
    <row r="22">
      <c r="A22" s="44" t="inlineStr">
        <is>
          <t xml:space="preserve">  Spread HRC (USD/t)</t>
        </is>
      </c>
      <c r="B22" s="42">
        <f>B6-B21</f>
        <v/>
      </c>
      <c r="C22" s="42">
        <f>C6-C21</f>
        <v/>
      </c>
      <c r="D22" s="42">
        <f>D6-D21</f>
        <v/>
      </c>
      <c r="E22" s="42">
        <f>E6-E21</f>
        <v/>
      </c>
      <c r="F22" s="42">
        <f>F6-F21</f>
        <v/>
      </c>
      <c r="G22" s="42">
        <f>G6-G21</f>
        <v/>
      </c>
      <c r="H22" s="42">
        <f>H6-H21</f>
        <v/>
      </c>
      <c r="I22" s="42">
        <f>I6-I21</f>
        <v/>
      </c>
      <c r="J22" s="43" t="inlineStr">
        <is>
          <t>Giá HRC bq - CF/tấn</t>
        </is>
      </c>
    </row>
    <row r="23">
      <c r="A23" s="44" t="inlineStr">
        <is>
          <t xml:space="preserve">  Spread XD (USD/t)</t>
        </is>
      </c>
      <c r="B23" s="42">
        <f>B7-B21</f>
        <v/>
      </c>
      <c r="C23" s="42">
        <f>C7-C21</f>
        <v/>
      </c>
      <c r="D23" s="42">
        <f>D7-D21</f>
        <v/>
      </c>
      <c r="E23" s="42">
        <f>E7-E21</f>
        <v/>
      </c>
      <c r="F23" s="42">
        <f>F7-F21</f>
        <v/>
      </c>
      <c r="G23" s="42">
        <f>G7-G21</f>
        <v/>
      </c>
      <c r="H23" s="42">
        <f>H7-H21</f>
        <v/>
      </c>
      <c r="I23" s="42">
        <f>I7-I21</f>
        <v/>
      </c>
      <c r="J23" s="43" t="inlineStr">
        <is>
          <t>Giá XD bq - CF/tấn</t>
        </is>
      </c>
    </row>
    <row r="24">
      <c r="A24" s="44" t="inlineStr">
        <is>
          <t xml:space="preserve">  LN gộp thép (tỷ)</t>
        </is>
      </c>
      <c r="B24" s="42">
        <f>(B4*B22+B5*B23)*'02_Assumptions'!B25/1000</f>
        <v/>
      </c>
      <c r="C24" s="42">
        <f>(C4*C22+C5*C23)*'02_Assumptions'!C25/1000</f>
        <v/>
      </c>
      <c r="D24" s="42">
        <f>(D4*D22+D5*D23)*'02_Assumptions'!D25/1000</f>
        <v/>
      </c>
      <c r="E24" s="42">
        <f>(E4*E22+E5*E23)*'02_Assumptions'!E25/1000</f>
        <v/>
      </c>
      <c r="F24" s="42">
        <f>(F4*F22+F5*F23)*'02_Assumptions'!F25/1000</f>
        <v/>
      </c>
      <c r="G24" s="42">
        <f>(G4*G22+G5*G23)*'02_Assumptions'!G25/1000</f>
        <v/>
      </c>
      <c r="H24" s="42">
        <f>(H4*H22+H5*H23)*'02_Assumptions'!H25/1000</f>
        <v/>
      </c>
      <c r="I24" s="42">
        <f>(I4*I22+I5*I23)*'02_Assumptions'!I25/1000</f>
        <v/>
      </c>
      <c r="J24" s="43" t="inlineStr">
        <is>
          <t>(SL_HRC*Spr_HRC + SL_XD*Spr_XD)*25400/1000</t>
        </is>
      </c>
    </row>
    <row r="25">
      <c r="A25" s="44" t="inlineStr">
        <is>
          <t xml:space="preserve">  LN gộp KD khác (tỷ)</t>
        </is>
      </c>
      <c r="B25" s="42">
        <f>B10*0.15</f>
        <v/>
      </c>
      <c r="C25" s="42">
        <f>C10*0.15</f>
        <v/>
      </c>
      <c r="D25" s="42">
        <f>D10*0.15</f>
        <v/>
      </c>
      <c r="E25" s="42">
        <f>E10*0.15</f>
        <v/>
      </c>
      <c r="F25" s="42">
        <f>F10*0.15</f>
        <v/>
      </c>
      <c r="G25" s="42">
        <f>G10*0.15</f>
        <v/>
      </c>
      <c r="H25" s="42">
        <f>H10*0.15</f>
        <v/>
      </c>
      <c r="I25" s="42">
        <f>I10*0.15</f>
        <v/>
      </c>
      <c r="J25" s="43" t="inlineStr">
        <is>
          <t>Giả định biên 15% cho ống/tôn/KCN</t>
        </is>
      </c>
    </row>
    <row r="26">
      <c r="A26" s="41" t="inlineStr">
        <is>
          <t>Tổng LN gộp ước tính (tỷ)</t>
        </is>
      </c>
      <c r="B26" s="45">
        <f>B24+B25</f>
        <v/>
      </c>
      <c r="C26" s="45">
        <f>C24+C25</f>
        <v/>
      </c>
      <c r="D26" s="45">
        <f>D24+D25</f>
        <v/>
      </c>
      <c r="E26" s="45">
        <f>E24+E25</f>
        <v/>
      </c>
      <c r="F26" s="45">
        <f>F24+F25</f>
        <v/>
      </c>
      <c r="G26" s="45">
        <f>G24+G25</f>
        <v/>
      </c>
      <c r="H26" s="45">
        <f>H24+H25</f>
        <v/>
      </c>
      <c r="I26" s="45">
        <f>I24+I25</f>
        <v/>
      </c>
      <c r="J26" s="43" t="inlineStr">
        <is>
          <t>Đối chiếu PnL!GP</t>
        </is>
      </c>
    </row>
    <row r="27">
      <c r="A27" s="41" t="inlineStr">
        <is>
          <t>Biên LNG ước tính (%)</t>
        </is>
      </c>
      <c r="B27" s="46">
        <f>B26/B2*100</f>
        <v/>
      </c>
      <c r="C27" s="46">
        <f>C26/C2*100</f>
        <v/>
      </c>
      <c r="D27" s="46">
        <f>D26/D2*100</f>
        <v/>
      </c>
      <c r="E27" s="46">
        <f>E26/E2*100</f>
        <v/>
      </c>
      <c r="F27" s="46">
        <f>F26/F2*100</f>
        <v/>
      </c>
      <c r="G27" s="46">
        <f>G26/G2*100</f>
        <v/>
      </c>
      <c r="H27" s="46">
        <f>H26/H2*100</f>
        <v/>
      </c>
      <c r="I27" s="46">
        <f>I26/I2*100</f>
        <v/>
      </c>
      <c r="J27" s="43" t="inlineStr"/>
    </row>
    <row r="28">
      <c r="A28" s="41" t="inlineStr">
        <is>
          <t>CP QLDN (tỷ)</t>
        </is>
      </c>
      <c r="B28" s="42">
        <f>B2*'02_Assumptions'!B15/100</f>
        <v/>
      </c>
      <c r="C28" s="42">
        <f>C2*'02_Assumptions'!C15/100</f>
        <v/>
      </c>
      <c r="D28" s="42">
        <f>D2*'02_Assumptions'!D15/100</f>
        <v/>
      </c>
      <c r="E28" s="42">
        <f>E2*'02_Assumptions'!E15/100</f>
        <v/>
      </c>
      <c r="F28" s="42">
        <f>F2*'02_Assumptions'!F15/100</f>
        <v/>
      </c>
      <c r="G28" s="42">
        <f>G2*'02_Assumptions'!G15/100</f>
        <v/>
      </c>
      <c r="H28" s="42">
        <f>H2*'02_Assumptions'!H15/100</f>
        <v/>
      </c>
      <c r="I28" s="42">
        <f>I2*'02_Assumptions'!I15/100</f>
        <v/>
      </c>
      <c r="J28" s="43">
        <f> DT * SGKA%</f>
        <v/>
      </c>
    </row>
    <row r="29">
      <c r="A29" s="41" t="inlineStr">
        <is>
          <t>EBIT ước tính (tỷ)</t>
        </is>
      </c>
      <c r="B29" s="47">
        <f>'04_PnL'!B7</f>
        <v/>
      </c>
      <c r="C29" s="47">
        <f>'04_PnL'!C7</f>
        <v/>
      </c>
      <c r="D29" s="47">
        <f>'04_PnL'!D7</f>
        <v/>
      </c>
      <c r="E29" s="47">
        <f>'04_PnL'!E7</f>
        <v/>
      </c>
      <c r="F29" s="47">
        <f>'04_PnL'!F7</f>
        <v/>
      </c>
      <c r="G29" s="47">
        <f>G26-G28</f>
        <v/>
      </c>
      <c r="H29" s="47">
        <f>H26-H28</f>
        <v/>
      </c>
      <c r="I29" s="47">
        <f>I26-I28</f>
        <v/>
      </c>
      <c r="J29" s="43" t="inlineStr">
        <is>
          <t>Forecast: LN gộp - CP QL</t>
        </is>
      </c>
    </row>
  </sheetData>
  <mergeCells count="1">
    <mergeCell ref="A20:I2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8" t="inlineStr">
        <is>
          <t>Chỉ tiêu</t>
        </is>
      </c>
      <c r="B1" s="8" t="inlineStr">
        <is>
          <t>2021A</t>
        </is>
      </c>
      <c r="C1" s="8" t="inlineStr">
        <is>
          <t>2022A</t>
        </is>
      </c>
      <c r="D1" s="8" t="inlineStr">
        <is>
          <t>2023A</t>
        </is>
      </c>
      <c r="E1" s="8" t="inlineStr">
        <is>
          <t>2024A</t>
        </is>
      </c>
      <c r="F1" s="8" t="inlineStr">
        <is>
          <t>2025A</t>
        </is>
      </c>
      <c r="G1" s="8" t="inlineStr">
        <is>
          <t>2026E</t>
        </is>
      </c>
      <c r="H1" s="8" t="inlineStr">
        <is>
          <t>2027E</t>
        </is>
      </c>
      <c r="I1" s="8" t="inlineStr">
        <is>
          <t>2028E</t>
        </is>
      </c>
    </row>
    <row r="2">
      <c r="A2" s="25" t="inlineStr">
        <is>
          <t>Doanh thu thuần</t>
        </is>
      </c>
      <c r="B2" s="39" t="n">
        <v>149679.789979345</v>
      </c>
      <c r="C2" s="39" t="n">
        <v>141409.274460632</v>
      </c>
      <c r="D2" s="39" t="n">
        <v>118953.027893654</v>
      </c>
      <c r="E2" s="39" t="n">
        <v>138855.112131387</v>
      </c>
      <c r="F2" s="39" t="n">
        <v>156116.094618482</v>
      </c>
      <c r="G2" s="48">
        <f>'03_Revenue_Model'!G2</f>
        <v/>
      </c>
      <c r="H2" s="48">
        <f>'03_Revenue_Model'!H2</f>
        <v/>
      </c>
      <c r="I2" s="48">
        <f>'03_Revenue_Model'!I2</f>
        <v/>
      </c>
    </row>
    <row r="3">
      <c r="A3" s="25" t="inlineStr">
        <is>
          <t>Giá vốn hàng bán</t>
        </is>
      </c>
      <c r="B3" s="26" t="n">
        <v>108578</v>
      </c>
      <c r="C3" s="26" t="n">
        <v>124652</v>
      </c>
      <c r="D3" s="26" t="n">
        <v>106011</v>
      </c>
      <c r="E3" s="26" t="n">
        <v>120360</v>
      </c>
      <c r="F3" s="26" t="n">
        <v>131621</v>
      </c>
      <c r="G3" s="26">
        <f>G2*(1-'02_Assumptions'!G6/100)</f>
        <v/>
      </c>
      <c r="H3" s="26">
        <f>H2*(1-'02_Assumptions'!H6/100)</f>
        <v/>
      </c>
      <c r="I3" s="26">
        <f>I2*(1-'02_Assumptions'!I6/100)</f>
        <v/>
      </c>
    </row>
    <row r="4">
      <c r="A4" s="25" t="inlineStr">
        <is>
          <t>Lợi nhuận gộp</t>
        </is>
      </c>
      <c r="B4" s="26" t="n">
        <v>41101.78997934499</v>
      </c>
      <c r="C4" s="26" t="n">
        <v>16757.274460632</v>
      </c>
      <c r="D4" s="26" t="n">
        <v>12942.027893654</v>
      </c>
      <c r="E4" s="26" t="n">
        <v>18495.112131387</v>
      </c>
      <c r="F4" s="26" t="n">
        <v>24495.09461848199</v>
      </c>
      <c r="G4" s="26">
        <f>G2-G3</f>
        <v/>
      </c>
      <c r="H4" s="26">
        <f>H2-H3</f>
        <v/>
      </c>
      <c r="I4" s="26">
        <f>I2-I3</f>
        <v/>
      </c>
    </row>
    <row r="5">
      <c r="A5" s="25" t="inlineStr">
        <is>
          <t>Biên LNG (%)</t>
        </is>
      </c>
      <c r="B5" s="49" t="n">
        <v>27.46</v>
      </c>
      <c r="C5" s="49" t="n">
        <v>11.85</v>
      </c>
      <c r="D5" s="49" t="n">
        <v>10.88</v>
      </c>
      <c r="E5" s="49" t="n">
        <v>13.32</v>
      </c>
      <c r="F5" s="49" t="n">
        <v>15.69</v>
      </c>
      <c r="G5" s="49">
        <f>G4/G2*100</f>
        <v/>
      </c>
      <c r="H5" s="49">
        <f>H4/H2*100</f>
        <v/>
      </c>
      <c r="I5" s="49">
        <f>I4/I2*100</f>
        <v/>
      </c>
    </row>
    <row r="6">
      <c r="A6" s="25" t="inlineStr">
        <is>
          <t>Chi phí BH &amp; QLDN</t>
        </is>
      </c>
      <c r="B6" s="26" t="n">
        <v>5688</v>
      </c>
      <c r="C6" s="26" t="n">
        <v>5374</v>
      </c>
      <c r="D6" s="26" t="n">
        <v>4520</v>
      </c>
      <c r="E6" s="26" t="n">
        <v>5276</v>
      </c>
      <c r="F6" s="26" t="n">
        <v>5932</v>
      </c>
      <c r="G6" s="26">
        <f>G2*'02_Assumptions'!G15/100</f>
        <v/>
      </c>
      <c r="H6" s="26">
        <f>H2*'02_Assumptions'!H15/100</f>
        <v/>
      </c>
      <c r="I6" s="26">
        <f>I2*'02_Assumptions'!I15/100</f>
        <v/>
      </c>
    </row>
    <row r="7">
      <c r="A7" s="25" t="inlineStr">
        <is>
          <t>EBIT</t>
        </is>
      </c>
      <c r="B7" s="26" t="n">
        <v>35413.78997934499</v>
      </c>
      <c r="C7" s="26" t="n">
        <v>11383.274460632</v>
      </c>
      <c r="D7" s="26" t="n">
        <v>8422.027893653998</v>
      </c>
      <c r="E7" s="26" t="n">
        <v>13219.112131387</v>
      </c>
      <c r="F7" s="26" t="n">
        <v>18563.09461848199</v>
      </c>
      <c r="G7" s="26">
        <f>G4-G6</f>
        <v/>
      </c>
      <c r="H7" s="26">
        <f>H4-H6</f>
        <v/>
      </c>
      <c r="I7" s="26">
        <f>I4-I6</f>
        <v/>
      </c>
    </row>
    <row r="8">
      <c r="A8" s="25" t="inlineStr">
        <is>
          <t>Biên EBIT (%)</t>
        </is>
      </c>
      <c r="B8" s="49" t="n">
        <v>23.7</v>
      </c>
      <c r="C8" s="49" t="n">
        <v>8</v>
      </c>
      <c r="D8" s="49" t="n">
        <v>7.1</v>
      </c>
      <c r="E8" s="49" t="n">
        <v>9.5</v>
      </c>
      <c r="F8" s="49" t="n">
        <v>11.9</v>
      </c>
      <c r="G8" s="49">
        <f>G7/G2*100</f>
        <v/>
      </c>
      <c r="H8" s="49">
        <f>H7/H2*100</f>
        <v/>
      </c>
      <c r="I8" s="49">
        <f>I7/I2*100</f>
        <v/>
      </c>
    </row>
    <row r="9">
      <c r="A9" s="25" t="inlineStr">
        <is>
          <t>Doanh thu tài chính</t>
        </is>
      </c>
      <c r="B9" s="26" t="n">
        <v>1500</v>
      </c>
      <c r="C9" s="26" t="n">
        <v>2100</v>
      </c>
      <c r="D9" s="26" t="n">
        <v>1800</v>
      </c>
      <c r="E9" s="26" t="n">
        <v>1950</v>
      </c>
      <c r="F9" s="26" t="n">
        <v>2200</v>
      </c>
      <c r="G9" s="26" t="n">
        <v>7813</v>
      </c>
      <c r="H9" s="26" t="n">
        <v>2800</v>
      </c>
      <c r="I9" s="26" t="n">
        <v>3000</v>
      </c>
    </row>
    <row r="10">
      <c r="A10" s="25" t="inlineStr">
        <is>
          <t>Chi phí tài chính</t>
        </is>
      </c>
      <c r="B10" s="26" t="n">
        <v>1800</v>
      </c>
      <c r="C10" s="26" t="n">
        <v>3500</v>
      </c>
      <c r="D10" s="26" t="n">
        <v>2100</v>
      </c>
      <c r="E10" s="26" t="n">
        <v>2500</v>
      </c>
      <c r="F10" s="26" t="n">
        <v>3200</v>
      </c>
      <c r="G10" s="26" t="n">
        <v>4719</v>
      </c>
      <c r="H10" s="26" t="n">
        <v>4000</v>
      </c>
      <c r="I10" s="26" t="n">
        <v>4200</v>
      </c>
    </row>
    <row r="11">
      <c r="A11" s="25" t="inlineStr">
        <is>
          <t>EBT</t>
        </is>
      </c>
      <c r="B11" s="50">
        <f>B7+B9-B10</f>
        <v/>
      </c>
      <c r="C11" s="50">
        <f>C7+C9-C10</f>
        <v/>
      </c>
      <c r="D11" s="50">
        <f>D7+D9-D10</f>
        <v/>
      </c>
      <c r="E11" s="50">
        <f>E7+E9-E10</f>
        <v/>
      </c>
      <c r="F11" s="50">
        <f>F7+F9-F10</f>
        <v/>
      </c>
      <c r="G11" s="50">
        <f>G7+G9-G10</f>
        <v/>
      </c>
      <c r="H11" s="50">
        <f>H7+H9-H10</f>
        <v/>
      </c>
      <c r="I11" s="50">
        <f>I7+I9-I10</f>
        <v/>
      </c>
    </row>
    <row r="12">
      <c r="A12" s="25" t="inlineStr">
        <is>
          <t>Thuế TNDN</t>
        </is>
      </c>
      <c r="B12" s="26" t="n">
        <v>4389</v>
      </c>
      <c r="C12" s="26" t="n">
        <v>1248</v>
      </c>
      <c r="D12" s="26" t="n">
        <v>1015</v>
      </c>
      <c r="E12" s="26" t="n">
        <v>1584</v>
      </c>
      <c r="F12" s="26" t="n">
        <v>2195</v>
      </c>
      <c r="G12" s="26">
        <f>G11*'02_Assumptions'!G8/100</f>
        <v/>
      </c>
      <c r="H12" s="26">
        <f>H11*'02_Assumptions'!H8/100</f>
        <v/>
      </c>
      <c r="I12" s="26">
        <f>I11*'02_Assumptions'!I8/100</f>
        <v/>
      </c>
    </row>
    <row r="13">
      <c r="A13" s="25" t="inlineStr">
        <is>
          <t>LNST</t>
        </is>
      </c>
      <c r="B13" s="26">
        <f>B11-B12</f>
        <v/>
      </c>
      <c r="C13" s="26">
        <f>C11-C12</f>
        <v/>
      </c>
      <c r="D13" s="26">
        <f>D11-D12</f>
        <v/>
      </c>
      <c r="E13" s="26">
        <f>E11-E12</f>
        <v/>
      </c>
      <c r="F13" s="26">
        <f>F11-F12</f>
        <v/>
      </c>
      <c r="G13" s="26">
        <f>G11-G12</f>
        <v/>
      </c>
      <c r="H13" s="26">
        <f>H11-H12</f>
        <v/>
      </c>
      <c r="I13" s="26">
        <f>I11-I12</f>
        <v/>
      </c>
    </row>
    <row r="14">
      <c r="A14" s="25" t="inlineStr">
        <is>
          <t>Biên LNST (%)</t>
        </is>
      </c>
      <c r="B14" s="49">
        <f>B13/B2*100</f>
        <v/>
      </c>
      <c r="C14" s="49">
        <f>C13/C2*100</f>
        <v/>
      </c>
      <c r="D14" s="49">
        <f>D13/D2*100</f>
        <v/>
      </c>
      <c r="E14" s="49">
        <f>E13/E2*100</f>
        <v/>
      </c>
      <c r="F14" s="49">
        <f>F13/F2*100</f>
        <v/>
      </c>
      <c r="G14" s="49">
        <f>G13/G2*100</f>
        <v/>
      </c>
      <c r="H14" s="49">
        <f>H13/H2*100</f>
        <v/>
      </c>
      <c r="I14" s="49">
        <f>I13/I2*100</f>
        <v/>
      </c>
    </row>
    <row r="15">
      <c r="A15" s="25" t="inlineStr">
        <is>
          <t>EPS (VND)</t>
        </is>
      </c>
      <c r="B15" s="26">
        <f>B13*1000000000/('02_Assumptions'!B3*1000000)</f>
        <v/>
      </c>
      <c r="C15" s="26">
        <f>C13*1000000000/('02_Assumptions'!C3*1000000)</f>
        <v/>
      </c>
      <c r="D15" s="26">
        <f>D13*1000000000/('02_Assumptions'!D3*1000000)</f>
        <v/>
      </c>
      <c r="E15" s="26">
        <f>E13*1000000000/('02_Assumptions'!E3*1000000)</f>
        <v/>
      </c>
      <c r="F15" s="26">
        <f>F13*1000000000/('02_Assumptions'!F3*1000000)</f>
        <v/>
      </c>
      <c r="G15" s="26">
        <f>G13*1000000000/('02_Assumptions'!G3*1000000)</f>
        <v/>
      </c>
      <c r="H15" s="26">
        <f>H13*1000000000/('02_Assumptions'!H3*1000000)</f>
        <v/>
      </c>
      <c r="I15" s="26">
        <f>I13*1000000000/('02_Assumptions'!I3*1000000)</f>
        <v/>
      </c>
    </row>
    <row r="16">
      <c r="A16" s="25" t="inlineStr">
        <is>
          <t>EBITDA</t>
        </is>
      </c>
      <c r="B16" s="26">
        <f>B7+'02_Assumptions'!B9</f>
        <v/>
      </c>
      <c r="C16" s="26">
        <f>C7+'02_Assumptions'!C9</f>
        <v/>
      </c>
      <c r="D16" s="26">
        <f>D7+'02_Assumptions'!D9</f>
        <v/>
      </c>
      <c r="E16" s="26">
        <f>E7+'02_Assumptions'!E9</f>
        <v/>
      </c>
      <c r="F16" s="26">
        <f>F7+'02_Assumptions'!F9</f>
        <v/>
      </c>
      <c r="G16" s="26">
        <f>G7+'02_Assumptions'!G9</f>
        <v/>
      </c>
      <c r="H16" s="26">
        <f>H7+'02_Assumptions'!H9</f>
        <v/>
      </c>
      <c r="I16" s="26">
        <f>I7+'02_Assumptions'!I9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8" t="inlineStr">
        <is>
          <t>Chỉ tiêu</t>
        </is>
      </c>
      <c r="B1" s="8" t="inlineStr">
        <is>
          <t>2021A</t>
        </is>
      </c>
      <c r="C1" s="8" t="inlineStr">
        <is>
          <t>2022A</t>
        </is>
      </c>
      <c r="D1" s="8" t="inlineStr">
        <is>
          <t>2023A</t>
        </is>
      </c>
      <c r="E1" s="8" t="inlineStr">
        <is>
          <t>2024A</t>
        </is>
      </c>
      <c r="F1" s="8" t="inlineStr">
        <is>
          <t>2025A</t>
        </is>
      </c>
      <c r="G1" s="8" t="inlineStr">
        <is>
          <t>2026E</t>
        </is>
      </c>
      <c r="H1" s="8" t="inlineStr">
        <is>
          <t>2027E</t>
        </is>
      </c>
      <c r="I1" s="8" t="inlineStr">
        <is>
          <t>2028E</t>
        </is>
      </c>
    </row>
    <row r="2">
      <c r="A2" s="25" t="inlineStr">
        <is>
          <t>Tài sản ngắn hạn</t>
        </is>
      </c>
    </row>
    <row r="3">
      <c r="A3" s="27" t="inlineStr">
        <is>
          <t xml:space="preserve">  Tiền &amp; tương đương</t>
        </is>
      </c>
      <c r="B3" s="39" t="n">
        <v>22471.37556213</v>
      </c>
      <c r="C3" s="39" t="n">
        <v>8324.588920226999</v>
      </c>
      <c r="D3" s="39" t="n">
        <v>12252.001160884</v>
      </c>
      <c r="E3" s="39" t="n">
        <v>6887.646139852</v>
      </c>
      <c r="F3" s="39" t="n">
        <v>8300.890304205001</v>
      </c>
      <c r="G3" s="39" t="n">
        <v>25000</v>
      </c>
      <c r="H3" s="39" t="n">
        <v>30000</v>
      </c>
      <c r="I3" s="39" t="n">
        <v>35000</v>
      </c>
    </row>
    <row r="4">
      <c r="A4" s="27" t="inlineStr">
        <is>
          <t xml:space="preserve">  Đầu tư tài chính NH</t>
        </is>
      </c>
      <c r="B4" s="39" t="n">
        <v>3000</v>
      </c>
      <c r="C4" s="39" t="n">
        <v>4000</v>
      </c>
      <c r="D4" s="39" t="n">
        <v>5000</v>
      </c>
      <c r="E4" s="39" t="n">
        <v>6000</v>
      </c>
      <c r="F4" s="39" t="n">
        <v>7000</v>
      </c>
      <c r="G4" s="39" t="n">
        <v>8000</v>
      </c>
      <c r="H4" s="39" t="n">
        <v>9000</v>
      </c>
      <c r="I4" s="39" t="n">
        <v>10000</v>
      </c>
    </row>
    <row r="5">
      <c r="A5" s="27" t="inlineStr">
        <is>
          <t xml:space="preserve">  Phải thu NH</t>
        </is>
      </c>
      <c r="B5" s="39" t="n">
        <v>7662.680796645</v>
      </c>
      <c r="C5" s="39" t="n">
        <v>9892.867373309</v>
      </c>
      <c r="D5" s="39" t="n">
        <v>10702.136439996</v>
      </c>
      <c r="E5" s="39" t="n">
        <v>7647.800286988</v>
      </c>
      <c r="F5" s="39" t="n">
        <v>15042.32311769</v>
      </c>
      <c r="G5" s="39" t="n">
        <v>18000</v>
      </c>
      <c r="H5" s="39" t="n">
        <v>20000</v>
      </c>
      <c r="I5" s="39" t="n">
        <v>22000</v>
      </c>
    </row>
    <row r="6">
      <c r="A6" s="27" t="inlineStr">
        <is>
          <t xml:space="preserve">  Hàng tồn kho</t>
        </is>
      </c>
      <c r="B6" s="39" t="n">
        <v>42134.49393221</v>
      </c>
      <c r="C6" s="39" t="n">
        <v>34491.111096123</v>
      </c>
      <c r="D6" s="39" t="n">
        <v>34504.487406261</v>
      </c>
      <c r="E6" s="39" t="n">
        <v>46091.222189472</v>
      </c>
      <c r="F6" s="39" t="n">
        <v>52828.227344442</v>
      </c>
      <c r="G6" s="39" t="n">
        <v>45000</v>
      </c>
      <c r="H6" s="39" t="n">
        <v>48000</v>
      </c>
      <c r="I6" s="39" t="n">
        <v>50000</v>
      </c>
    </row>
    <row r="7">
      <c r="A7" s="27" t="inlineStr">
        <is>
          <t xml:space="preserve">  TSNH khác</t>
        </is>
      </c>
      <c r="B7" s="39" t="n">
        <v>2000</v>
      </c>
      <c r="C7" s="39" t="n">
        <v>2500</v>
      </c>
      <c r="D7" s="39" t="n">
        <v>3000</v>
      </c>
      <c r="E7" s="39" t="n">
        <v>3500</v>
      </c>
      <c r="F7" s="39" t="n">
        <v>4000</v>
      </c>
      <c r="G7" s="39" t="n">
        <v>4500</v>
      </c>
      <c r="H7" s="39" t="n">
        <v>5000</v>
      </c>
      <c r="I7" s="39" t="n">
        <v>5500</v>
      </c>
    </row>
    <row r="8">
      <c r="A8" s="25" t="inlineStr">
        <is>
          <t>Tài sản dài hạn</t>
        </is>
      </c>
    </row>
    <row r="9">
      <c r="A9" s="27" t="inlineStr">
        <is>
          <t xml:space="preserve">  TSCĐ hữu hình</t>
        </is>
      </c>
      <c r="B9" s="39" t="n">
        <v>68744</v>
      </c>
      <c r="C9" s="39" t="n">
        <v>70199</v>
      </c>
      <c r="D9" s="39" t="n">
        <v>71787</v>
      </c>
      <c r="E9" s="39" t="n">
        <v>67244</v>
      </c>
      <c r="F9" s="39" t="n">
        <v>133421</v>
      </c>
      <c r="G9" s="39" t="n">
        <v>150000</v>
      </c>
      <c r="H9" s="39" t="n">
        <v>160000</v>
      </c>
      <c r="I9" s="39" t="n">
        <v>170000</v>
      </c>
    </row>
    <row r="10">
      <c r="A10" s="27" t="inlineStr">
        <is>
          <t xml:space="preserve">  XDCB DD (CIP)</t>
        </is>
      </c>
      <c r="B10" s="39" t="n">
        <v>8289</v>
      </c>
      <c r="C10" s="39" t="n">
        <v>13334</v>
      </c>
      <c r="D10" s="39" t="n">
        <v>26053</v>
      </c>
      <c r="E10" s="39" t="n">
        <v>63656</v>
      </c>
      <c r="F10" s="39" t="n">
        <v>10721</v>
      </c>
      <c r="G10" s="39" t="n">
        <v>15000</v>
      </c>
      <c r="H10" s="39" t="n">
        <v>10000</v>
      </c>
      <c r="I10" s="39" t="n">
        <v>8000</v>
      </c>
    </row>
    <row r="11">
      <c r="A11" s="27" t="inlineStr">
        <is>
          <t xml:space="preserve">  TSCĐ vô hình</t>
        </is>
      </c>
      <c r="B11" s="39" t="n">
        <v>5000</v>
      </c>
      <c r="C11" s="39" t="n">
        <v>6000</v>
      </c>
      <c r="D11" s="39" t="n">
        <v>7000</v>
      </c>
      <c r="E11" s="39" t="n">
        <v>8000</v>
      </c>
      <c r="F11" s="39" t="n">
        <v>9000</v>
      </c>
      <c r="G11" s="39" t="n">
        <v>10000</v>
      </c>
      <c r="H11" s="39" t="n">
        <v>11000</v>
      </c>
      <c r="I11" s="39" t="n">
        <v>12000</v>
      </c>
    </row>
    <row r="12">
      <c r="A12" s="27" t="inlineStr">
        <is>
          <t xml:space="preserve">  Đầu tư TC dài hạn</t>
        </is>
      </c>
      <c r="B12" s="39" t="n">
        <v>10000</v>
      </c>
      <c r="C12" s="39" t="n">
        <v>12000</v>
      </c>
      <c r="D12" s="39" t="n">
        <v>13000</v>
      </c>
      <c r="E12" s="39" t="n">
        <v>14000</v>
      </c>
      <c r="F12" s="39" t="n">
        <v>15000</v>
      </c>
      <c r="G12" s="39" t="n">
        <v>16000</v>
      </c>
      <c r="H12" s="39" t="n">
        <v>17000</v>
      </c>
      <c r="I12" s="39" t="n">
        <v>18000</v>
      </c>
    </row>
    <row r="13">
      <c r="A13" s="27" t="inlineStr">
        <is>
          <t xml:space="preserve">  TSDH khác</t>
        </is>
      </c>
      <c r="B13" s="39" t="n">
        <v>2000</v>
      </c>
      <c r="C13" s="39" t="n">
        <v>2500</v>
      </c>
      <c r="D13" s="39" t="n">
        <v>3000</v>
      </c>
      <c r="E13" s="39" t="n">
        <v>3500</v>
      </c>
      <c r="F13" s="39" t="n">
        <v>4000</v>
      </c>
      <c r="G13" s="39" t="n">
        <v>4500</v>
      </c>
      <c r="H13" s="39" t="n">
        <v>5000</v>
      </c>
      <c r="I13" s="39" t="n">
        <v>5500</v>
      </c>
    </row>
    <row r="14">
      <c r="A14" s="25" t="inlineStr">
        <is>
          <t>Tổng tài sản</t>
        </is>
      </c>
      <c r="B14" s="34">
        <f>B3+B4+B5+B6+B7+B9+B10+B11+B12+B13</f>
        <v/>
      </c>
      <c r="C14" s="34">
        <f>C3+C4+C5+C6+C7+C9+C10+C11+C12+C13</f>
        <v/>
      </c>
      <c r="D14" s="34">
        <f>D3+D4+D5+D6+D7+D9+D10+D11+D12+D13</f>
        <v/>
      </c>
      <c r="E14" s="34">
        <f>E3+E4+E5+E6+E7+E9+E10+E11+E12+E13</f>
        <v/>
      </c>
      <c r="F14" s="34">
        <f>F3+F4+F5+F6+F7+F9+F10+F11+F12+F13</f>
        <v/>
      </c>
      <c r="G14" s="34">
        <f>G3+G4+G5+G6+G7+G9+G10+G11+G12+G13</f>
        <v/>
      </c>
      <c r="H14" s="34">
        <f>H3+H4+H5+H6+H7+H9+H10+H11+H12+H13</f>
        <v/>
      </c>
      <c r="I14" s="34">
        <f>I3+I4+I5+I6+I7+I9+I10+I11+I12+I13</f>
        <v/>
      </c>
    </row>
    <row r="15">
      <c r="A15" s="25" t="inlineStr">
        <is>
          <t>Nợ ngắn hạn</t>
        </is>
      </c>
    </row>
    <row r="16">
      <c r="A16" s="27" t="inlineStr">
        <is>
          <t xml:space="preserve">  Phải trả NH</t>
        </is>
      </c>
      <c r="B16" s="39" t="n">
        <v>23729</v>
      </c>
      <c r="C16" s="39" t="n">
        <v>11107</v>
      </c>
      <c r="D16" s="39" t="n">
        <v>12387</v>
      </c>
      <c r="E16" s="39" t="n">
        <v>14047</v>
      </c>
      <c r="F16" s="39" t="n">
        <v>21183</v>
      </c>
      <c r="G16" s="39" t="n">
        <v>20000</v>
      </c>
      <c r="H16" s="39" t="n">
        <v>22000</v>
      </c>
      <c r="I16" s="39" t="n">
        <v>24000</v>
      </c>
    </row>
    <row r="17">
      <c r="A17" s="27" t="inlineStr">
        <is>
          <t xml:space="preserve">  Vay ngắn hạn</t>
        </is>
      </c>
      <c r="B17" s="39" t="n">
        <v>43748</v>
      </c>
      <c r="C17" s="39" t="n">
        <v>46749</v>
      </c>
      <c r="D17" s="39" t="n">
        <v>54982</v>
      </c>
      <c r="E17" s="39" t="n">
        <v>55883</v>
      </c>
      <c r="F17" s="39" t="n">
        <v>64695</v>
      </c>
      <c r="G17" s="39" t="n">
        <v>60000</v>
      </c>
      <c r="H17" s="39" t="n">
        <v>55000</v>
      </c>
      <c r="I17" s="39" t="n">
        <v>50000</v>
      </c>
    </row>
    <row r="18">
      <c r="A18" s="27" t="inlineStr">
        <is>
          <t xml:space="preserve">  Nợ NH khác</t>
        </is>
      </c>
      <c r="B18" s="39" t="n">
        <v>5000</v>
      </c>
      <c r="C18" s="39" t="n">
        <v>6000</v>
      </c>
      <c r="D18" s="39" t="n">
        <v>7000</v>
      </c>
      <c r="E18" s="39" t="n">
        <v>8000</v>
      </c>
      <c r="F18" s="39" t="n">
        <v>9000</v>
      </c>
      <c r="G18" s="39" t="n">
        <v>10000</v>
      </c>
      <c r="H18" s="39" t="n">
        <v>11000</v>
      </c>
      <c r="I18" s="39" t="n">
        <v>12000</v>
      </c>
    </row>
    <row r="19">
      <c r="A19" s="25" t="inlineStr">
        <is>
          <t>Nợ dài hạn</t>
        </is>
      </c>
    </row>
    <row r="20">
      <c r="A20" s="27" t="inlineStr">
        <is>
          <t xml:space="preserve">  Vay dài hạn</t>
        </is>
      </c>
      <c r="B20" s="39" t="n">
        <v>13465</v>
      </c>
      <c r="C20" s="39" t="n">
        <v>11152</v>
      </c>
      <c r="D20" s="39" t="n">
        <v>10399</v>
      </c>
      <c r="E20" s="39" t="n">
        <v>27080</v>
      </c>
      <c r="F20" s="39" t="n">
        <v>27479</v>
      </c>
      <c r="G20" s="39" t="n">
        <v>30000</v>
      </c>
      <c r="H20" s="39" t="n">
        <v>28000</v>
      </c>
      <c r="I20" s="39" t="n">
        <v>26000</v>
      </c>
    </row>
    <row r="21">
      <c r="A21" s="27" t="inlineStr">
        <is>
          <t xml:space="preserve">  Nợ DH khác</t>
        </is>
      </c>
      <c r="B21" s="39" t="n">
        <v>3000</v>
      </c>
      <c r="C21" s="39" t="n">
        <v>4000</v>
      </c>
      <c r="D21" s="39" t="n">
        <v>5000</v>
      </c>
      <c r="E21" s="39" t="n">
        <v>6000</v>
      </c>
      <c r="F21" s="39" t="n">
        <v>7000</v>
      </c>
      <c r="G21" s="39" t="n">
        <v>8000</v>
      </c>
      <c r="H21" s="39" t="n">
        <v>9000</v>
      </c>
      <c r="I21" s="39" t="n">
        <v>10000</v>
      </c>
    </row>
    <row r="22">
      <c r="A22" s="25" t="inlineStr">
        <is>
          <t>Tổng nợ</t>
        </is>
      </c>
      <c r="B22" s="34">
        <f>B16+B17+B18+B20+B21</f>
        <v/>
      </c>
      <c r="C22" s="34">
        <f>C16+C17+C18+C20+C21</f>
        <v/>
      </c>
      <c r="D22" s="34">
        <f>D16+D17+D18+D20+D21</f>
        <v/>
      </c>
      <c r="E22" s="34">
        <f>E16+E17+E18+E20+E21</f>
        <v/>
      </c>
      <c r="F22" s="34">
        <f>F16+F17+F18+F20+F21</f>
        <v/>
      </c>
      <c r="G22" s="34">
        <f>G16+G17+G18+G20+G21</f>
        <v/>
      </c>
      <c r="H22" s="34">
        <f>H16+H17+H18+H20+H21</f>
        <v/>
      </c>
      <c r="I22" s="34">
        <f>I16+I17+I18+I20+I21</f>
        <v/>
      </c>
    </row>
    <row r="23">
      <c r="A23" s="25" t="inlineStr">
        <is>
          <t>VCSH</t>
        </is>
      </c>
    </row>
    <row r="24">
      <c r="A24" s="27" t="inlineStr">
        <is>
          <t xml:space="preserve">  Vốn điều lệ</t>
        </is>
      </c>
      <c r="B24" s="39" t="n">
        <v>12000</v>
      </c>
      <c r="C24" s="39" t="n">
        <v>15000</v>
      </c>
      <c r="D24" s="39" t="n">
        <v>18000</v>
      </c>
      <c r="E24" s="39" t="n">
        <v>20000</v>
      </c>
      <c r="F24" s="39" t="n">
        <v>22000</v>
      </c>
      <c r="G24" s="39" t="n">
        <v>25000</v>
      </c>
      <c r="H24" s="39" t="n">
        <v>28000</v>
      </c>
      <c r="I24" s="39" t="n">
        <v>31000</v>
      </c>
    </row>
    <row r="25">
      <c r="A25" s="27" t="inlineStr">
        <is>
          <t xml:space="preserve">  Thặng dư</t>
        </is>
      </c>
      <c r="B25" s="39" t="n">
        <v>8000</v>
      </c>
      <c r="C25" s="39" t="n">
        <v>10000</v>
      </c>
      <c r="D25" s="39" t="n">
        <v>12000</v>
      </c>
      <c r="E25" s="39" t="n">
        <v>15000</v>
      </c>
      <c r="F25" s="39" t="n">
        <v>18000</v>
      </c>
      <c r="G25" s="39" t="n">
        <v>20000</v>
      </c>
      <c r="H25" s="39" t="n">
        <v>22000</v>
      </c>
      <c r="I25" s="39" t="n">
        <v>24000</v>
      </c>
    </row>
    <row r="26">
      <c r="A26" s="27" t="inlineStr">
        <is>
          <t xml:space="preserve">  LN chưa PP</t>
        </is>
      </c>
      <c r="B26" s="39" t="n">
        <v>40000</v>
      </c>
      <c r="C26" s="39" t="n">
        <v>48000</v>
      </c>
      <c r="D26" s="39" t="n">
        <v>55000</v>
      </c>
      <c r="E26" s="39" t="n">
        <v>60000</v>
      </c>
      <c r="F26" s="39" t="n">
        <v>68000</v>
      </c>
      <c r="G26" s="39" t="n">
        <v>82430</v>
      </c>
      <c r="H26" s="39" t="n">
        <v>88090</v>
      </c>
      <c r="I26" s="39" t="n">
        <v>86669</v>
      </c>
    </row>
    <row r="27">
      <c r="A27" s="27" t="inlineStr">
        <is>
          <t xml:space="preserve">  Quỹ &amp; khác</t>
        </is>
      </c>
      <c r="B27" s="39" t="n">
        <v>15000</v>
      </c>
      <c r="C27" s="39" t="n">
        <v>17000</v>
      </c>
      <c r="D27" s="39" t="n">
        <v>20000</v>
      </c>
      <c r="E27" s="39" t="n">
        <v>20000</v>
      </c>
      <c r="F27" s="39" t="n">
        <v>22000</v>
      </c>
      <c r="G27" s="39" t="n">
        <v>25000</v>
      </c>
      <c r="H27" s="39" t="n">
        <v>28000</v>
      </c>
      <c r="I27" s="39" t="n">
        <v>32000</v>
      </c>
    </row>
    <row r="28">
      <c r="A28" s="25" t="inlineStr">
        <is>
          <t>Tổng VCSH</t>
        </is>
      </c>
      <c r="B28" s="39" t="n">
        <v>90780.62551143899</v>
      </c>
      <c r="C28" s="39" t="n">
        <v>96112.93961578301</v>
      </c>
      <c r="D28" s="39" t="n">
        <v>102836.419239379</v>
      </c>
      <c r="E28" s="39" t="n">
        <v>114647.457983699</v>
      </c>
      <c r="F28" s="39" t="n">
        <v>131220.010876575</v>
      </c>
      <c r="G28" s="39" t="n">
        <v>152430</v>
      </c>
      <c r="H28" s="39" t="n">
        <v>166090</v>
      </c>
      <c r="I28" s="39" t="n">
        <v>173669</v>
      </c>
    </row>
    <row r="29">
      <c r="A29" s="25" t="inlineStr">
        <is>
          <t>Tổng nợ + VCSH</t>
        </is>
      </c>
      <c r="B29" s="34">
        <f>B22+B28</f>
        <v/>
      </c>
      <c r="C29" s="34">
        <f>C22+C28</f>
        <v/>
      </c>
      <c r="D29" s="34">
        <f>D22+D28</f>
        <v/>
      </c>
      <c r="E29" s="34">
        <f>E22+E28</f>
        <v/>
      </c>
      <c r="F29" s="34">
        <f>F22+F28</f>
        <v/>
      </c>
      <c r="G29" s="34">
        <f>G22+G28</f>
        <v/>
      </c>
      <c r="H29" s="34">
        <f>H22+H28</f>
        <v/>
      </c>
      <c r="I29" s="34">
        <f>I22+I28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8" t="inlineStr">
        <is>
          <t>Chỉ tiêu</t>
        </is>
      </c>
      <c r="B1" s="8" t="inlineStr">
        <is>
          <t>2021A</t>
        </is>
      </c>
      <c r="C1" s="8" t="inlineStr">
        <is>
          <t>2022A</t>
        </is>
      </c>
      <c r="D1" s="8" t="inlineStr">
        <is>
          <t>2023A</t>
        </is>
      </c>
      <c r="E1" s="8" t="inlineStr">
        <is>
          <t>2024A</t>
        </is>
      </c>
      <c r="F1" s="8" t="inlineStr">
        <is>
          <t>2025A</t>
        </is>
      </c>
      <c r="G1" s="8" t="inlineStr">
        <is>
          <t>2026E</t>
        </is>
      </c>
      <c r="H1" s="8" t="inlineStr">
        <is>
          <t>2027E</t>
        </is>
      </c>
      <c r="I1" s="8" t="inlineStr">
        <is>
          <t>2028E</t>
        </is>
      </c>
    </row>
    <row r="2">
      <c r="A2" s="25" t="inlineStr">
        <is>
          <t>Dòng tiền từ HĐKD (CFO)</t>
        </is>
      </c>
      <c r="B2" s="26" t="n">
        <v>26720.913303108</v>
      </c>
      <c r="C2" s="26" t="n">
        <v>12277.636676507</v>
      </c>
      <c r="D2" s="26" t="n">
        <v>8643.030777026001</v>
      </c>
      <c r="E2" s="26" t="n">
        <v>6608.320655215</v>
      </c>
      <c r="F2" s="26" t="n">
        <v>17365.859056591</v>
      </c>
      <c r="G2" s="26">
        <f>G3+G4+G5</f>
        <v/>
      </c>
      <c r="H2" s="26">
        <f>H3+H4+H5</f>
        <v/>
      </c>
      <c r="I2" s="26">
        <f>I3+I4+I5</f>
        <v/>
      </c>
    </row>
    <row r="3">
      <c r="A3" s="27" t="inlineStr">
        <is>
          <t xml:space="preserve">  LNST</t>
        </is>
      </c>
      <c r="B3" s="26" t="n">
        <v>34478.14319746</v>
      </c>
      <c r="C3" s="26" t="n">
        <v>8483.510554031</v>
      </c>
      <c r="D3" s="26" t="n">
        <v>6835.064334356</v>
      </c>
      <c r="E3" s="26" t="n">
        <v>12021.443836074</v>
      </c>
      <c r="F3" s="26" t="n">
        <v>15453.174006223</v>
      </c>
      <c r="G3" s="26">
        <f>'04_PnL'!G13</f>
        <v/>
      </c>
      <c r="H3" s="26">
        <f>'04_PnL'!H13</f>
        <v/>
      </c>
      <c r="I3" s="26">
        <f>'04_PnL'!I13</f>
        <v/>
      </c>
    </row>
    <row r="4">
      <c r="A4" s="27" t="inlineStr">
        <is>
          <t xml:space="preserve">  Khấu hao</t>
        </is>
      </c>
      <c r="B4" s="26" t="n">
        <v>6076.516295417</v>
      </c>
      <c r="C4" s="26" t="n">
        <v>6759.462100582</v>
      </c>
      <c r="D4" s="26" t="n">
        <v>6761.933539397</v>
      </c>
      <c r="E4" s="26" t="n">
        <v>6915.671331197</v>
      </c>
      <c r="F4" s="26" t="n">
        <v>8470.683260156</v>
      </c>
      <c r="G4" s="26">
        <f>'02_Assumptions'!G9</f>
        <v/>
      </c>
      <c r="H4" s="26">
        <f>'02_Assumptions'!H9</f>
        <v/>
      </c>
      <c r="I4" s="26">
        <f>'02_Assumptions'!I9</f>
        <v/>
      </c>
    </row>
    <row r="5">
      <c r="A5" s="27" t="inlineStr">
        <is>
          <t xml:space="preserve">  Thay đổi VLĐ (ước)</t>
        </is>
      </c>
      <c r="B5" s="26" t="n">
        <v>-13833.746189769</v>
      </c>
      <c r="C5" s="26" t="n">
        <v>-2965.335978106</v>
      </c>
      <c r="D5" s="26" t="n">
        <v>-4953.967096726999</v>
      </c>
      <c r="E5" s="26" t="n">
        <v>-12328.794512056</v>
      </c>
      <c r="F5" s="26" t="n">
        <v>-6557.998209787998</v>
      </c>
      <c r="G5" s="26" t="n">
        <v>0</v>
      </c>
      <c r="H5" s="26" t="n">
        <v>0</v>
      </c>
      <c r="I5" s="26" t="n">
        <v>0</v>
      </c>
    </row>
    <row r="6">
      <c r="A6" s="25" t="inlineStr">
        <is>
          <t>Dòng tiền đầu tư (CFI)</t>
        </is>
      </c>
      <c r="B6" s="26" t="n">
        <v>-19669.452763006</v>
      </c>
      <c r="C6" s="26" t="n">
        <v>-24626.212744553</v>
      </c>
      <c r="D6" s="26" t="n">
        <v>-11995.089522267</v>
      </c>
      <c r="E6" s="26" t="n">
        <v>-29788.138252448</v>
      </c>
      <c r="F6" s="26" t="n">
        <v>-25814.392868698</v>
      </c>
      <c r="G6" s="26">
        <f>-G7</f>
        <v/>
      </c>
      <c r="H6" s="26">
        <f>-H7</f>
        <v/>
      </c>
      <c r="I6" s="26">
        <f>-I7</f>
        <v/>
      </c>
    </row>
    <row r="7">
      <c r="A7" s="27" t="inlineStr">
        <is>
          <t xml:space="preserve">  CAPEX</t>
        </is>
      </c>
      <c r="B7" s="26" t="n">
        <v>11621.470092371</v>
      </c>
      <c r="C7" s="26" t="n">
        <v>17887.504647036</v>
      </c>
      <c r="D7" s="26" t="n">
        <v>17373.946475964</v>
      </c>
      <c r="E7" s="26" t="n">
        <v>35495.026797327</v>
      </c>
      <c r="F7" s="26" t="n">
        <v>25748.320476719</v>
      </c>
      <c r="G7" s="26">
        <f>'02_Assumptions'!G10</f>
        <v/>
      </c>
      <c r="H7" s="26">
        <f>'02_Assumptions'!H10</f>
        <v/>
      </c>
      <c r="I7" s="26">
        <f>'02_Assumptions'!I10</f>
        <v/>
      </c>
    </row>
    <row r="8">
      <c r="A8" s="25" t="inlineStr">
        <is>
          <t>Dòng tiền tài trợ (CFF)</t>
        </is>
      </c>
      <c r="B8" s="26" t="n">
        <v>-5000</v>
      </c>
      <c r="C8" s="26" t="n">
        <v>-2000</v>
      </c>
      <c r="D8" s="26" t="n">
        <v>-3000</v>
      </c>
      <c r="E8" s="26" t="n">
        <v>-4000</v>
      </c>
      <c r="F8" s="26" t="n">
        <v>-5000</v>
      </c>
      <c r="G8" s="26" t="n">
        <v>-5000</v>
      </c>
      <c r="H8" s="26" t="n">
        <v>-6000</v>
      </c>
      <c r="I8" s="26" t="n">
        <v>-7000</v>
      </c>
    </row>
    <row r="9">
      <c r="A9" s="25" t="inlineStr">
        <is>
          <t>FCFF (CFO + CFI)</t>
        </is>
      </c>
      <c r="B9" s="26" t="n">
        <v>7051.460540101998</v>
      </c>
      <c r="C9" s="26" t="n">
        <v>-12348.576068046</v>
      </c>
      <c r="D9" s="26" t="n">
        <v>-3352.058745241</v>
      </c>
      <c r="E9" s="26" t="n">
        <v>-23179.817597233</v>
      </c>
      <c r="F9" s="26" t="n">
        <v>-8448.533812106998</v>
      </c>
      <c r="G9" s="26">
        <f>G2+G6</f>
        <v/>
      </c>
      <c r="H9" s="26">
        <f>H2+H6</f>
        <v/>
      </c>
      <c r="I9" s="26">
        <f>I2+I6</f>
        <v/>
      </c>
    </row>
    <row r="10">
      <c r="A10" s="25" t="inlineStr">
        <is>
          <t>Tiền đầu kỳ</t>
        </is>
      </c>
      <c r="B10" s="26" t="n">
        <v>13696</v>
      </c>
      <c r="C10" s="26">
        <f>B11</f>
        <v/>
      </c>
      <c r="D10" s="26">
        <f>C11</f>
        <v/>
      </c>
      <c r="E10" s="26">
        <f>D11</f>
        <v/>
      </c>
      <c r="F10" s="26">
        <f>E11</f>
        <v/>
      </c>
      <c r="G10" s="26">
        <f>F11</f>
        <v/>
      </c>
      <c r="H10" s="26">
        <f>G11</f>
        <v/>
      </c>
      <c r="I10" s="26">
        <f>H11</f>
        <v/>
      </c>
    </row>
    <row r="11">
      <c r="A11" s="25" t="inlineStr">
        <is>
          <t>Tiền cuối kỳ</t>
        </is>
      </c>
      <c r="B11" s="26">
        <f>B10+B2+B6+B8</f>
        <v/>
      </c>
      <c r="C11" s="26">
        <f>C10+C2+C6+C8</f>
        <v/>
      </c>
      <c r="D11" s="26">
        <f>D10+D2+D6+D8</f>
        <v/>
      </c>
      <c r="E11" s="26">
        <f>E10+E2+E6+E8</f>
        <v/>
      </c>
      <c r="F11" s="26">
        <f>F10+F2+F6+F8</f>
        <v/>
      </c>
      <c r="G11" s="26">
        <f>G10+G2+G6+G8</f>
        <v/>
      </c>
      <c r="H11" s="26">
        <f>H10+H2+H6+H8</f>
        <v/>
      </c>
      <c r="I11" s="26">
        <f>I10+I2+I6+I8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8" customWidth="1" min="3" max="3"/>
    <col width="45" customWidth="1" min="4" max="4"/>
  </cols>
  <sheetData>
    <row r="1">
      <c r="A1" s="8" t="inlineStr">
        <is>
          <t>Phương pháp</t>
        </is>
      </c>
      <c r="B1" s="8" t="inlineStr">
        <is>
          <t>Trọng số</t>
        </is>
      </c>
      <c r="C1" s="8" t="inlineStr">
        <is>
          <t>Giá trị CP (VND)</t>
        </is>
      </c>
      <c r="D1" s="8" t="inlineStr">
        <is>
          <t>Ghi chú</t>
        </is>
      </c>
    </row>
    <row r="2">
      <c r="A2" s="51" t="inlineStr">
        <is>
          <t>EV/EBITDA (2026E, HPG median)</t>
        </is>
      </c>
      <c r="B2" s="52" t="n">
        <v>0.4</v>
      </c>
      <c r="C2" s="53">
        <f>'02_Assumptions'!J35</f>
        <v/>
      </c>
      <c r="D2" s="51" t="inlineStr">
        <is>
          <t>40% — EV/EBITDA dùng median lịch sử HPG</t>
        </is>
      </c>
    </row>
    <row r="3">
      <c r="A3" s="51" t="inlineStr">
        <is>
          <t>P/B (2026E, HPG median)</t>
        </is>
      </c>
      <c r="B3" s="52" t="n">
        <v>0.4</v>
      </c>
      <c r="C3" s="53">
        <f>'02_Assumptions'!J36</f>
        <v/>
      </c>
      <c r="D3" s="51" t="inlineStr">
        <is>
          <t>40% — P/B là thước đo chu kỳ tin cậy</t>
        </is>
      </c>
    </row>
    <row r="4">
      <c r="A4" s="51" t="inlineStr">
        <is>
          <t>P/E (2026E, HPG median)</t>
        </is>
      </c>
      <c r="B4" s="52" t="n">
        <v>0.2</v>
      </c>
      <c r="C4" s="53">
        <f>'02_Assumptions'!J37</f>
        <v/>
      </c>
      <c r="D4" s="51" t="inlineStr">
        <is>
          <t>20% — P/E tham khảo bổ sung</t>
        </is>
      </c>
    </row>
    <row r="7">
      <c r="A7" s="41" t="inlineStr">
        <is>
          <t>DCF Model:</t>
        </is>
      </c>
      <c r="B7" s="54" t="inlineStr">
        <is>
          <t>Đang phát triển — sẽ thay thế tỷ trọng 70% khi hoàn thiện</t>
        </is>
      </c>
      <c r="C7" s="55" t="n"/>
      <c r="D7" s="56" t="n"/>
    </row>
    <row r="10">
      <c r="A10" s="57" t="inlineStr">
        <is>
          <t>Giá mục tiêu (có trọng số)</t>
        </is>
      </c>
      <c r="B10" s="52" t="n">
        <v>1</v>
      </c>
      <c r="C10" s="58">
        <f>C2*B2+C3*B3+C4*B4</f>
        <v/>
      </c>
    </row>
    <row r="12">
      <c r="A12" s="51" t="inlineStr">
        <is>
          <t>Giá hiện tại</t>
        </is>
      </c>
      <c r="C12" s="26" t="n">
        <v>23600</v>
      </c>
    </row>
    <row r="13">
      <c r="A13" s="59" t="inlineStr">
        <is>
          <t>Upside (%)</t>
        </is>
      </c>
      <c r="C13" s="60">
        <f>C10/C12-1</f>
        <v/>
      </c>
    </row>
  </sheetData>
  <mergeCells count="1">
    <mergeCell ref="B7:D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2" customWidth="1" min="3" max="3"/>
    <col width="12" customWidth="1" min="4" max="4"/>
    <col width="14" customWidth="1" min="5" max="5"/>
    <col width="12" customWidth="1" min="6" max="6"/>
    <col width="12" customWidth="1" min="7" max="7"/>
    <col width="14" customWidth="1" min="8" max="8"/>
  </cols>
  <sheetData>
    <row r="1">
      <c r="A1" s="8" t="inlineStr">
        <is>
          <t>Năm</t>
        </is>
      </c>
      <c r="B1" s="8" t="inlineStr">
        <is>
          <t>Quý</t>
        </is>
      </c>
      <c r="C1" s="8" t="inlineStr">
        <is>
          <t>P/E (x)</t>
        </is>
      </c>
      <c r="D1" s="8" t="inlineStr">
        <is>
          <t>P/B (x)</t>
        </is>
      </c>
      <c r="E1" s="8" t="inlineStr">
        <is>
          <t>EV/EBITDA (x)</t>
        </is>
      </c>
      <c r="F1" s="8" t="inlineStr">
        <is>
          <t>Nhãn</t>
        </is>
      </c>
      <c r="G1" s="8" t="inlineStr">
        <is>
          <t>P/E gốc</t>
        </is>
      </c>
      <c r="H1" s="8" t="inlineStr">
        <is>
          <t>P/E hiệu chỉnh</t>
        </is>
      </c>
    </row>
    <row r="2">
      <c r="A2" s="61" t="n">
        <v>2018</v>
      </c>
      <c r="B2" s="35" t="n">
        <v>1</v>
      </c>
      <c r="C2" s="19" t="n">
        <v>9.1</v>
      </c>
      <c r="D2" s="22" t="n">
        <v>1.64</v>
      </c>
      <c r="E2" s="19" t="n">
        <v>6.9</v>
      </c>
      <c r="F2" s="35" t="inlineStr">
        <is>
          <t>Q1-2018</t>
        </is>
      </c>
      <c r="G2" s="19" t="n">
        <v>9.1</v>
      </c>
      <c r="H2" s="19" t="n"/>
    </row>
    <row r="3">
      <c r="A3" s="61" t="n">
        <v>2018</v>
      </c>
      <c r="B3" s="35" t="n">
        <v>2</v>
      </c>
      <c r="C3" s="19" t="n">
        <v>9.1</v>
      </c>
      <c r="D3" s="22" t="n">
        <v>2.25</v>
      </c>
      <c r="E3" s="19" t="n">
        <v>7.2</v>
      </c>
      <c r="F3" s="35" t="inlineStr">
        <is>
          <t>Q2-2018</t>
        </is>
      </c>
      <c r="G3" s="19" t="n">
        <v>9.1</v>
      </c>
      <c r="H3" s="19" t="n"/>
    </row>
    <row r="4">
      <c r="A4" s="61" t="n">
        <v>2018</v>
      </c>
      <c r="B4" s="35" t="n">
        <v>3</v>
      </c>
      <c r="C4" s="19" t="n">
        <v>6.7</v>
      </c>
      <c r="D4" s="22" t="n">
        <v>1.58</v>
      </c>
      <c r="E4" s="19" t="n">
        <v>5.9</v>
      </c>
      <c r="F4" s="35" t="inlineStr">
        <is>
          <t>Q3-2018</t>
        </is>
      </c>
      <c r="G4" s="19" t="n">
        <v>6.7</v>
      </c>
      <c r="H4" s="19" t="n"/>
    </row>
    <row r="5">
      <c r="A5" s="61" t="n">
        <v>2018</v>
      </c>
      <c r="B5" s="35" t="n">
        <v>4</v>
      </c>
      <c r="C5" s="19" t="n">
        <v>8.199999999999999</v>
      </c>
      <c r="D5" s="22" t="n">
        <v>1.74</v>
      </c>
      <c r="E5" s="19" t="n">
        <v>6.9</v>
      </c>
      <c r="F5" s="35" t="inlineStr">
        <is>
          <t>Q4-2018</t>
        </is>
      </c>
      <c r="G5" s="19" t="n">
        <v>8.199999999999999</v>
      </c>
      <c r="H5" s="19" t="n"/>
    </row>
    <row r="6">
      <c r="A6" s="61" t="n">
        <v>2019</v>
      </c>
      <c r="B6" s="35" t="n">
        <v>1</v>
      </c>
      <c r="C6" s="19" t="n">
        <v>7.5</v>
      </c>
      <c r="D6" s="22" t="n">
        <v>1.45</v>
      </c>
      <c r="E6" s="19" t="n">
        <v>6.9</v>
      </c>
      <c r="F6" s="35" t="inlineStr">
        <is>
          <t>Q1-2019</t>
        </is>
      </c>
      <c r="G6" s="19" t="n">
        <v>7.5</v>
      </c>
      <c r="H6" s="19" t="n"/>
    </row>
    <row r="7">
      <c r="A7" s="61" t="n">
        <v>2019</v>
      </c>
      <c r="B7" s="35" t="n">
        <v>2</v>
      </c>
      <c r="C7" s="19" t="n">
        <v>7.5</v>
      </c>
      <c r="D7" s="22" t="n">
        <v>1.36</v>
      </c>
      <c r="E7" s="19" t="n">
        <v>7.1</v>
      </c>
      <c r="F7" s="35" t="inlineStr">
        <is>
          <t>Q2-2019</t>
        </is>
      </c>
      <c r="G7" s="19" t="n">
        <v>7.5</v>
      </c>
      <c r="H7" s="19" t="n"/>
    </row>
    <row r="8">
      <c r="A8" s="61" t="n">
        <v>2019</v>
      </c>
      <c r="B8" s="35" t="n">
        <v>3</v>
      </c>
      <c r="C8" s="19" t="n">
        <v>9.5</v>
      </c>
      <c r="D8" s="22" t="n">
        <v>1.52</v>
      </c>
      <c r="E8" s="19" t="n">
        <v>8.800000000000001</v>
      </c>
      <c r="F8" s="35" t="inlineStr">
        <is>
          <t>Q3-2019</t>
        </is>
      </c>
      <c r="G8" s="19" t="n">
        <v>9.5</v>
      </c>
      <c r="H8" s="19" t="n"/>
    </row>
    <row r="9">
      <c r="A9" s="61" t="n">
        <v>2019</v>
      </c>
      <c r="B9" s="35" t="n">
        <v>4</v>
      </c>
      <c r="C9" s="19" t="n">
        <v>8.1</v>
      </c>
      <c r="D9" s="22" t="n">
        <v>1.28</v>
      </c>
      <c r="E9" s="19" t="n">
        <v>7.7</v>
      </c>
      <c r="F9" s="35" t="inlineStr">
        <is>
          <t>Q4-2019</t>
        </is>
      </c>
      <c r="G9" s="19" t="n">
        <v>8.1</v>
      </c>
      <c r="H9" s="19" t="n"/>
    </row>
    <row r="10">
      <c r="A10" s="61" t="n">
        <v>2020</v>
      </c>
      <c r="B10" s="35" t="n">
        <v>1</v>
      </c>
      <c r="C10" s="19" t="n">
        <v>9.699999999999999</v>
      </c>
      <c r="D10" s="22" t="n">
        <v>1.56</v>
      </c>
      <c r="E10" s="19" t="n">
        <v>8.1</v>
      </c>
      <c r="F10" s="35" t="inlineStr">
        <is>
          <t>Q1-2020</t>
        </is>
      </c>
      <c r="G10" s="19" t="n">
        <v>9.699999999999999</v>
      </c>
      <c r="H10" s="19" t="n"/>
    </row>
    <row r="11">
      <c r="A11" s="61" t="n">
        <v>2020</v>
      </c>
      <c r="B11" s="35" t="n">
        <v>2</v>
      </c>
      <c r="C11" s="19" t="n">
        <v>11.8</v>
      </c>
      <c r="D11" s="22" t="n">
        <v>1.95</v>
      </c>
      <c r="E11" s="19" t="n">
        <v>9.1</v>
      </c>
      <c r="F11" s="35" t="inlineStr">
        <is>
          <t>Q2-2020</t>
        </is>
      </c>
      <c r="G11" s="19" t="n">
        <v>11.8</v>
      </c>
      <c r="H11" s="19" t="n"/>
    </row>
    <row r="12">
      <c r="A12" s="61" t="n">
        <v>2020</v>
      </c>
      <c r="B12" s="35" t="n">
        <v>3</v>
      </c>
      <c r="C12" s="19" t="n">
        <v>12.1</v>
      </c>
      <c r="D12" s="22" t="n">
        <v>2.37</v>
      </c>
      <c r="E12" s="19" t="n">
        <v>9.4</v>
      </c>
      <c r="F12" s="35" t="inlineStr">
        <is>
          <t>Q3-2020</t>
        </is>
      </c>
      <c r="G12" s="19" t="n">
        <v>12.1</v>
      </c>
      <c r="H12" s="19" t="n"/>
    </row>
    <row r="13">
      <c r="A13" s="61" t="n">
        <v>2020</v>
      </c>
      <c r="B13" s="35" t="n">
        <v>4</v>
      </c>
      <c r="C13" s="19" t="n">
        <v>13.6</v>
      </c>
      <c r="D13" s="22" t="n">
        <v>3.09</v>
      </c>
      <c r="E13" s="19" t="n">
        <v>10.2</v>
      </c>
      <c r="F13" s="35" t="inlineStr">
        <is>
          <t>Q4-2020</t>
        </is>
      </c>
      <c r="G13" s="19" t="n">
        <v>13.6</v>
      </c>
      <c r="H13" s="19" t="n"/>
    </row>
    <row r="14">
      <c r="A14" s="61" t="n">
        <v>2021</v>
      </c>
      <c r="B14" s="35" t="n">
        <v>1</v>
      </c>
      <c r="C14" s="19" t="n">
        <v>11.1</v>
      </c>
      <c r="D14" s="22" t="n">
        <v>3.04</v>
      </c>
      <c r="E14" s="19" t="n">
        <v>9.199999999999999</v>
      </c>
      <c r="F14" s="35" t="inlineStr">
        <is>
          <t>Q1-2021</t>
        </is>
      </c>
      <c r="G14" s="19" t="n">
        <v>11.1</v>
      </c>
      <c r="H14" s="19" t="n"/>
    </row>
    <row r="15">
      <c r="A15" s="61" t="n">
        <v>2021</v>
      </c>
      <c r="B15" s="35" t="n">
        <v>2</v>
      </c>
      <c r="C15" s="19" t="n">
        <v>11.1</v>
      </c>
      <c r="D15" s="22" t="n">
        <v>3.04</v>
      </c>
      <c r="E15" s="19" t="n">
        <v>9.199999999999999</v>
      </c>
      <c r="F15" s="35" t="inlineStr">
        <is>
          <t>Q2-2021</t>
        </is>
      </c>
      <c r="G15" s="19" t="n"/>
      <c r="H15" s="19" t="n">
        <v>11.1</v>
      </c>
    </row>
    <row r="16">
      <c r="A16" s="61" t="n">
        <v>2021</v>
      </c>
      <c r="B16" s="35" t="n">
        <v>3</v>
      </c>
      <c r="C16" s="19" t="n">
        <v>6.2</v>
      </c>
      <c r="D16" s="22" t="n">
        <v>2.34</v>
      </c>
      <c r="E16" s="19" t="n">
        <v>6</v>
      </c>
      <c r="F16" s="35" t="inlineStr">
        <is>
          <t>Q3-2021</t>
        </is>
      </c>
      <c r="G16" s="19" t="n">
        <v>6.2</v>
      </c>
      <c r="H16" s="19" t="n"/>
    </row>
    <row r="17">
      <c r="A17" s="61" t="n">
        <v>2021</v>
      </c>
      <c r="B17" s="35" t="n">
        <v>4</v>
      </c>
      <c r="C17" s="19" t="n">
        <v>5.6</v>
      </c>
      <c r="D17" s="22" t="n">
        <v>2.14</v>
      </c>
      <c r="E17" s="19" t="n">
        <v>5.5</v>
      </c>
      <c r="F17" s="35" t="inlineStr">
        <is>
          <t>Q4-2021</t>
        </is>
      </c>
      <c r="G17" s="19" t="n">
        <v>5.6</v>
      </c>
      <c r="H17" s="19" t="n"/>
    </row>
    <row r="18">
      <c r="A18" s="61" t="n">
        <v>2022</v>
      </c>
      <c r="B18" s="35" t="n">
        <v>1</v>
      </c>
      <c r="C18" s="19" t="n">
        <v>3.6</v>
      </c>
      <c r="D18" s="22" t="n">
        <v>1.31</v>
      </c>
      <c r="E18" s="19" t="n">
        <v>3.7</v>
      </c>
      <c r="F18" s="35" t="inlineStr">
        <is>
          <t>Q1-2022</t>
        </is>
      </c>
      <c r="G18" s="19" t="n">
        <v>3.6</v>
      </c>
      <c r="H18" s="19" t="n"/>
    </row>
    <row r="19">
      <c r="A19" s="61" t="n">
        <v>2022</v>
      </c>
      <c r="B19" s="35" t="n">
        <v>2</v>
      </c>
      <c r="C19" s="19" t="n">
        <v>3.8</v>
      </c>
      <c r="D19" s="22" t="n">
        <v>1.14</v>
      </c>
      <c r="E19" s="19" t="n">
        <v>4</v>
      </c>
      <c r="F19" s="35" t="inlineStr">
        <is>
          <t>Q2-2022</t>
        </is>
      </c>
      <c r="G19" s="19" t="n">
        <v>3.8</v>
      </c>
      <c r="H19" s="19" t="n"/>
    </row>
    <row r="20">
      <c r="A20" s="61" t="n">
        <v>2022</v>
      </c>
      <c r="B20" s="35" t="n">
        <v>3</v>
      </c>
      <c r="C20" s="19" t="n">
        <v>6.5</v>
      </c>
      <c r="D20" s="22" t="n">
        <v>1.18</v>
      </c>
      <c r="E20" s="19" t="n">
        <v>5.6</v>
      </c>
      <c r="F20" s="35" t="inlineStr">
        <is>
          <t>Q3-2022</t>
        </is>
      </c>
      <c r="G20" s="19" t="n">
        <v>6.5</v>
      </c>
      <c r="H20" s="19" t="n"/>
    </row>
    <row r="21">
      <c r="A21" s="61" t="n">
        <v>2022</v>
      </c>
      <c r="B21" s="35" t="n">
        <v>4</v>
      </c>
      <c r="C21" s="19" t="n">
        <v>14.2</v>
      </c>
      <c r="D21" s="22" t="n">
        <v>1.25</v>
      </c>
      <c r="E21" s="19" t="n">
        <v>8.800000000000001</v>
      </c>
      <c r="F21" s="35" t="inlineStr">
        <is>
          <t>Q4-2022</t>
        </is>
      </c>
      <c r="G21" s="19" t="n">
        <v>14.2</v>
      </c>
      <c r="H21" s="19" t="n"/>
    </row>
    <row r="22">
      <c r="A22" s="61" t="n">
        <v>2023</v>
      </c>
      <c r="B22" s="35" t="n">
        <v>1</v>
      </c>
      <c r="C22" s="19" t="n">
        <v>14.2</v>
      </c>
      <c r="D22" s="22" t="n">
        <v>1.63</v>
      </c>
      <c r="E22" s="19" t="n">
        <v>18.2</v>
      </c>
      <c r="F22" s="35" t="inlineStr">
        <is>
          <t>Q1-2023</t>
        </is>
      </c>
      <c r="G22" s="19" t="n"/>
      <c r="H22" s="19" t="n">
        <v>14.2</v>
      </c>
    </row>
    <row r="23">
      <c r="A23" s="61" t="n">
        <v>2023</v>
      </c>
      <c r="B23" s="35" t="n">
        <v>2</v>
      </c>
      <c r="C23" s="19" t="n">
        <v>14.2</v>
      </c>
      <c r="D23" s="22" t="n">
        <v>1.53</v>
      </c>
      <c r="E23" s="19" t="n">
        <v>24.3</v>
      </c>
      <c r="F23" s="35" t="inlineStr">
        <is>
          <t>Q2-2023</t>
        </is>
      </c>
      <c r="G23" s="19" t="n"/>
      <c r="H23" s="19" t="n">
        <v>14.2</v>
      </c>
    </row>
    <row r="24">
      <c r="A24" s="61" t="n">
        <v>2023</v>
      </c>
      <c r="B24" s="35" t="n">
        <v>3</v>
      </c>
      <c r="C24" s="19" t="n">
        <v>14.2</v>
      </c>
      <c r="D24" s="22" t="n">
        <v>1.58</v>
      </c>
      <c r="E24" s="19" t="n">
        <v>19.1</v>
      </c>
      <c r="F24" s="35" t="inlineStr">
        <is>
          <t>Q3-2023</t>
        </is>
      </c>
      <c r="G24" s="19" t="n"/>
      <c r="H24" s="19" t="n">
        <v>14.2</v>
      </c>
    </row>
    <row r="25">
      <c r="A25" s="61" t="n">
        <v>2023</v>
      </c>
      <c r="B25" s="35" t="n">
        <v>4</v>
      </c>
      <c r="C25" s="19" t="n">
        <v>25.5</v>
      </c>
      <c r="D25" s="22" t="n">
        <v>1.69</v>
      </c>
      <c r="E25" s="19" t="n">
        <v>13.5</v>
      </c>
      <c r="F25" s="35" t="inlineStr">
        <is>
          <t>Q4-2023</t>
        </is>
      </c>
      <c r="G25" s="19" t="n">
        <v>25.5</v>
      </c>
      <c r="H25" s="19" t="n"/>
    </row>
    <row r="26">
      <c r="A26" s="61" t="n">
        <v>2024</v>
      </c>
      <c r="B26" s="35" t="n">
        <v>1</v>
      </c>
      <c r="C26" s="19" t="n">
        <v>19.6</v>
      </c>
      <c r="D26" s="22" t="n">
        <v>1.73</v>
      </c>
      <c r="E26" s="19" t="n">
        <v>13.2</v>
      </c>
      <c r="F26" s="35" t="inlineStr">
        <is>
          <t>Q1-2024</t>
        </is>
      </c>
      <c r="G26" s="19" t="n">
        <v>19.6</v>
      </c>
      <c r="H26" s="19" t="n"/>
    </row>
    <row r="27">
      <c r="A27" s="61" t="n">
        <v>2024</v>
      </c>
      <c r="B27" s="35" t="n">
        <v>2</v>
      </c>
      <c r="C27" s="19" t="n">
        <v>15.5</v>
      </c>
      <c r="D27" s="22" t="n">
        <v>1.59</v>
      </c>
      <c r="E27" s="19" t="n">
        <v>11.3</v>
      </c>
      <c r="F27" s="35" t="inlineStr">
        <is>
          <t>Q2-2024</t>
        </is>
      </c>
      <c r="G27" s="19" t="n">
        <v>15.5</v>
      </c>
      <c r="H27" s="19" t="n"/>
    </row>
    <row r="28">
      <c r="A28" s="61" t="n">
        <v>2024</v>
      </c>
      <c r="B28" s="35" t="n">
        <v>3</v>
      </c>
      <c r="C28" s="19" t="n">
        <v>13.6</v>
      </c>
      <c r="D28" s="22" t="n">
        <v>1.48</v>
      </c>
      <c r="E28" s="19" t="n">
        <v>10.9</v>
      </c>
      <c r="F28" s="35" t="inlineStr">
        <is>
          <t>Q3-2024</t>
        </is>
      </c>
      <c r="G28" s="19" t="n">
        <v>13.6</v>
      </c>
      <c r="H28" s="19" t="n"/>
    </row>
    <row r="29">
      <c r="A29" s="61" t="n">
        <v>2024</v>
      </c>
      <c r="B29" s="35" t="n">
        <v>4</v>
      </c>
      <c r="C29" s="19" t="n">
        <v>13.8</v>
      </c>
      <c r="D29" s="22" t="n">
        <v>1.45</v>
      </c>
      <c r="E29" s="19" t="n">
        <v>10.9</v>
      </c>
      <c r="F29" s="35" t="inlineStr">
        <is>
          <t>Q4-2024</t>
        </is>
      </c>
      <c r="G29" s="19" t="n">
        <v>13.8</v>
      </c>
      <c r="H29" s="19" t="n"/>
    </row>
    <row r="30">
      <c r="A30" s="61" t="n">
        <v>2025</v>
      </c>
      <c r="B30" s="35" t="n">
        <v>1</v>
      </c>
      <c r="C30" s="19" t="n">
        <v>15.8</v>
      </c>
      <c r="D30" s="22" t="n">
        <v>1.68</v>
      </c>
      <c r="E30" s="19" t="n">
        <v>12.3</v>
      </c>
      <c r="F30" s="35" t="inlineStr">
        <is>
          <t>Q1-2025</t>
        </is>
      </c>
      <c r="G30" s="19" t="n">
        <v>15.8</v>
      </c>
      <c r="H30" s="19" t="n"/>
    </row>
    <row r="31">
      <c r="A31" s="61" t="n">
        <v>2025</v>
      </c>
      <c r="B31" s="35" t="n">
        <v>2</v>
      </c>
      <c r="C31" s="19" t="n">
        <v>16.2</v>
      </c>
      <c r="D31" s="22" t="n">
        <v>1.79</v>
      </c>
      <c r="E31" s="19" t="n">
        <v>12.6</v>
      </c>
      <c r="F31" s="35" t="inlineStr">
        <is>
          <t>Q2-2025</t>
        </is>
      </c>
      <c r="G31" s="19" t="n">
        <v>16.2</v>
      </c>
      <c r="H31" s="19" t="n"/>
    </row>
    <row r="32">
      <c r="A32" s="61" t="n">
        <v>2025</v>
      </c>
      <c r="B32" s="35" t="n">
        <v>3</v>
      </c>
      <c r="C32" s="19" t="n">
        <v>14.5</v>
      </c>
      <c r="D32" s="22" t="n">
        <v>1.67</v>
      </c>
      <c r="E32" s="19" t="n">
        <v>11.7</v>
      </c>
      <c r="F32" s="35" t="inlineStr">
        <is>
          <t>Q3-2025</t>
        </is>
      </c>
      <c r="G32" s="19" t="n">
        <v>14.5</v>
      </c>
      <c r="H32" s="19" t="n"/>
    </row>
    <row r="33">
      <c r="A33" s="61" t="n">
        <v>2025</v>
      </c>
      <c r="B33" s="35" t="n">
        <v>4</v>
      </c>
      <c r="C33" s="19" t="n">
        <v>13.9</v>
      </c>
      <c r="D33" s="22" t="n">
        <v>1.67</v>
      </c>
      <c r="E33" s="19" t="n">
        <v>10.6</v>
      </c>
      <c r="F33" s="35" t="inlineStr">
        <is>
          <t>Q4-2025</t>
        </is>
      </c>
      <c r="G33" s="19" t="n">
        <v>13.9</v>
      </c>
      <c r="H33" s="19" t="n"/>
    </row>
    <row r="34">
      <c r="A34" s="61" t="n">
        <v>2026</v>
      </c>
      <c r="B34" s="35" t="n">
        <v>1</v>
      </c>
      <c r="C34" s="19" t="n">
        <v>9.4</v>
      </c>
      <c r="D34" s="22" t="n">
        <v>1.42</v>
      </c>
      <c r="E34" s="19" t="n">
        <v>8.6</v>
      </c>
      <c r="F34" s="35" t="inlineStr">
        <is>
          <t>Q1-2026</t>
        </is>
      </c>
      <c r="G34" s="19" t="n">
        <v>9.4</v>
      </c>
      <c r="H34" s="19" t="n"/>
    </row>
    <row r="35">
      <c r="A35" s="61" t="n">
        <v>2026</v>
      </c>
      <c r="B35" s="35" t="n">
        <v>2</v>
      </c>
      <c r="C35" s="19" t="n">
        <v>9.4</v>
      </c>
      <c r="D35" s="22" t="n">
        <v>1.42</v>
      </c>
      <c r="E35" s="19" t="n">
        <v>8.6</v>
      </c>
      <c r="F35" s="35" t="inlineStr">
        <is>
          <t>Q2-2026</t>
        </is>
      </c>
      <c r="G35" s="19" t="n"/>
      <c r="H35" s="19" t="n">
        <v>9.4</v>
      </c>
    </row>
    <row r="36">
      <c r="A36" s="61" t="n">
        <v>2026</v>
      </c>
      <c r="B36" s="35" t="n">
        <v>3</v>
      </c>
      <c r="C36" s="19" t="n">
        <v>9.4</v>
      </c>
      <c r="D36" s="22" t="n">
        <v>1.42</v>
      </c>
      <c r="E36" s="19" t="n">
        <v>8.6</v>
      </c>
      <c r="F36" s="35" t="inlineStr">
        <is>
          <t>Q3-2026</t>
        </is>
      </c>
      <c r="G36" s="19" t="n"/>
      <c r="H36" s="19" t="n">
        <v>9.4</v>
      </c>
    </row>
    <row r="37">
      <c r="A37" s="61" t="n">
        <v>2026</v>
      </c>
      <c r="B37" s="35" t="n">
        <v>4</v>
      </c>
      <c r="C37" s="19" t="n">
        <v>9.4</v>
      </c>
      <c r="D37" s="22" t="n">
        <v>1.42</v>
      </c>
      <c r="E37" s="19" t="n">
        <v>8.6</v>
      </c>
      <c r="F37" s="35" t="inlineStr">
        <is>
          <t>Q4-2026</t>
        </is>
      </c>
      <c r="G37" s="19" t="n"/>
      <c r="H37" s="19" t="n">
        <v>9.4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7" t="inlineStr">
        <is>
          <t>Sensitivity: EV/EBITDA vs EBITDA 2026E (Target Price VND)</t>
        </is>
      </c>
    </row>
    <row r="3">
      <c r="A3" s="8" t="inlineStr"/>
      <c r="B3" s="8" t="inlineStr">
        <is>
          <t>EV/EBITDA 5.5x</t>
        </is>
      </c>
      <c r="C3" s="8" t="inlineStr">
        <is>
          <t>EV/EBITDA 6.5x</t>
        </is>
      </c>
      <c r="D3" s="8" t="inlineStr">
        <is>
          <t>EV/EBITDA 7.5x</t>
        </is>
      </c>
      <c r="E3" s="8" t="inlineStr">
        <is>
          <t>EV/EBITDA 8.5x</t>
        </is>
      </c>
      <c r="F3" s="8" t="inlineStr">
        <is>
          <t>EV/EBITDA 9.5x</t>
        </is>
      </c>
    </row>
    <row r="4">
      <c r="A4" s="51" t="inlineStr">
        <is>
          <t>EBITDA 85% kế hoạch</t>
        </is>
      </c>
      <c r="B4" s="26">
        <f>(('04_PnL'!$G$16*0.85*5.5-('02_Assumptions'!G11-'02_Assumptions'!G12))*1000000000)/('02_Assumptions'!$B$3*1000000)</f>
        <v/>
      </c>
      <c r="C4" s="26">
        <f>(('04_PnL'!$G$16*0.85*6.5-('02_Assumptions'!G11-'02_Assumptions'!G12))*1000000000)/('02_Assumptions'!$B$3*1000000)</f>
        <v/>
      </c>
      <c r="D4" s="26">
        <f>(('04_PnL'!$G$16*0.85*7.5-('02_Assumptions'!G11-'02_Assumptions'!G12))*1000000000)/('02_Assumptions'!$B$3*1000000)</f>
        <v/>
      </c>
      <c r="E4" s="26">
        <f>(('04_PnL'!$G$16*0.85*8.5-('02_Assumptions'!G11-'02_Assumptions'!G12))*1000000000)/('02_Assumptions'!$B$3*1000000)</f>
        <v/>
      </c>
      <c r="F4" s="26">
        <f>(('04_PnL'!$G$16*0.85*9.5-('02_Assumptions'!G11-'02_Assumptions'!G12))*1000000000)/('02_Assumptions'!$B$3*1000000)</f>
        <v/>
      </c>
    </row>
    <row r="5">
      <c r="A5" s="51" t="inlineStr">
        <is>
          <t>EBITDA 92% kế hoạch</t>
        </is>
      </c>
      <c r="B5" s="26">
        <f>(('04_PnL'!$G$16*0.925*5.5-('02_Assumptions'!G11-'02_Assumptions'!G12))*1000000000)/('02_Assumptions'!$B$3*1000000)</f>
        <v/>
      </c>
      <c r="C5" s="26">
        <f>(('04_PnL'!$G$16*0.925*6.5-('02_Assumptions'!G11-'02_Assumptions'!G12))*1000000000)/('02_Assumptions'!$B$3*1000000)</f>
        <v/>
      </c>
      <c r="D5" s="26">
        <f>(('04_PnL'!$G$16*0.925*7.5-('02_Assumptions'!G11-'02_Assumptions'!G12))*1000000000)/('02_Assumptions'!$B$3*1000000)</f>
        <v/>
      </c>
      <c r="E5" s="26">
        <f>(('04_PnL'!$G$16*0.925*8.5-('02_Assumptions'!G11-'02_Assumptions'!G12))*1000000000)/('02_Assumptions'!$B$3*1000000)</f>
        <v/>
      </c>
      <c r="F5" s="26">
        <f>(('04_PnL'!$G$16*0.925*9.5-('02_Assumptions'!G11-'02_Assumptions'!G12))*1000000000)/('02_Assumptions'!$B$3*1000000)</f>
        <v/>
      </c>
    </row>
    <row r="6">
      <c r="A6" s="51" t="inlineStr">
        <is>
          <t>EBITDA 100% kế hoạch</t>
        </is>
      </c>
      <c r="B6" s="26">
        <f>(('04_PnL'!$G$16*1.0*5.5-('02_Assumptions'!G11-'02_Assumptions'!G12))*1000000000)/('02_Assumptions'!$B$3*1000000)</f>
        <v/>
      </c>
      <c r="C6" s="26">
        <f>(('04_PnL'!$G$16*1.0*6.5-('02_Assumptions'!G11-'02_Assumptions'!G12))*1000000000)/('02_Assumptions'!$B$3*1000000)</f>
        <v/>
      </c>
      <c r="D6" s="26">
        <f>(('04_PnL'!$G$16*1.0*7.5-('02_Assumptions'!G11-'02_Assumptions'!G12))*1000000000)/('02_Assumptions'!$B$3*1000000)</f>
        <v/>
      </c>
      <c r="E6" s="26">
        <f>(('04_PnL'!$G$16*1.0*8.5-('02_Assumptions'!G11-'02_Assumptions'!G12))*1000000000)/('02_Assumptions'!$B$3*1000000)</f>
        <v/>
      </c>
      <c r="F6" s="26">
        <f>(('04_PnL'!$G$16*1.0*9.5-('02_Assumptions'!G11-'02_Assumptions'!G12))*1000000000)/('02_Assumptions'!$B$3*1000000)</f>
        <v/>
      </c>
    </row>
    <row r="7">
      <c r="A7" s="51" t="inlineStr">
        <is>
          <t>EBITDA 108% kế hoạch</t>
        </is>
      </c>
      <c r="B7" s="26">
        <f>(('04_PnL'!$G$16*1.075*5.5-('02_Assumptions'!G11-'02_Assumptions'!G12))*1000000000)/('02_Assumptions'!$B$3*1000000)</f>
        <v/>
      </c>
      <c r="C7" s="26">
        <f>(('04_PnL'!$G$16*1.075*6.5-('02_Assumptions'!G11-'02_Assumptions'!G12))*1000000000)/('02_Assumptions'!$B$3*1000000)</f>
        <v/>
      </c>
      <c r="D7" s="26">
        <f>(('04_PnL'!$G$16*1.075*7.5-('02_Assumptions'!G11-'02_Assumptions'!G12))*1000000000)/('02_Assumptions'!$B$3*1000000)</f>
        <v/>
      </c>
      <c r="E7" s="26">
        <f>(('04_PnL'!$G$16*1.075*8.5-('02_Assumptions'!G11-'02_Assumptions'!G12))*1000000000)/('02_Assumptions'!$B$3*1000000)</f>
        <v/>
      </c>
      <c r="F7" s="26">
        <f>(('04_PnL'!$G$16*1.075*9.5-('02_Assumptions'!G11-'02_Assumptions'!G12))*1000000000)/('02_Assumptions'!$B$3*1000000)</f>
        <v/>
      </c>
    </row>
    <row r="8">
      <c r="A8" s="51" t="inlineStr">
        <is>
          <t>EBITDA 115% kế hoạch</t>
        </is>
      </c>
      <c r="B8" s="26">
        <f>(('04_PnL'!$G$16*1.15*5.5-('02_Assumptions'!G11-'02_Assumptions'!G12))*1000000000)/('02_Assumptions'!$B$3*1000000)</f>
        <v/>
      </c>
      <c r="C8" s="26">
        <f>(('04_PnL'!$G$16*1.15*6.5-('02_Assumptions'!G11-'02_Assumptions'!G12))*1000000000)/('02_Assumptions'!$B$3*1000000)</f>
        <v/>
      </c>
      <c r="D8" s="26">
        <f>(('04_PnL'!$G$16*1.15*7.5-('02_Assumptions'!G11-'02_Assumptions'!G12))*1000000000)/('02_Assumptions'!$B$3*1000000)</f>
        <v/>
      </c>
      <c r="E8" s="26">
        <f>(('04_PnL'!$G$16*1.15*8.5-('02_Assumptions'!G11-'02_Assumptions'!G12))*1000000000)/('02_Assumptions'!$B$3*1000000)</f>
        <v/>
      </c>
      <c r="F8" s="26">
        <f>(('04_PnL'!$G$16*1.15*9.5-('02_Assumptions'!G11-'02_Assumptions'!G12))*1000000000)/('02_Assumptions'!$B$3*1000000)</f>
        <v/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15" customWidth="1" min="3" max="3"/>
  </cols>
  <sheetData>
    <row r="1">
      <c r="A1" s="8" t="inlineStr">
        <is>
          <t>Yếu tố</t>
        </is>
      </c>
      <c r="B1" s="8" t="inlineStr">
        <is>
          <t>Nội dung</t>
        </is>
      </c>
      <c r="C1" s="8" t="inlineStr">
        <is>
          <t>Tác động</t>
        </is>
      </c>
    </row>
    <row r="2">
      <c r="A2" s="25" t="inlineStr">
        <is>
          <t>Chính trị - Pháp luật</t>
        </is>
      </c>
      <c r="B2" s="62" t="inlineStr">
        <is>
          <t>Thuế CBPG HRC khổ hẹp 19.38-27.83% + AD chống lẩn tránh HRC rộng 27.83% (17/04/2026). Ổn định chính trị VN.</t>
        </is>
      </c>
      <c r="C2" s="63" t="inlineStr">
        <is>
          <t>Tích cực</t>
        </is>
      </c>
    </row>
    <row r="3">
      <c r="A3" s="25" t="inlineStr">
        <is>
          <t>Kinh tế</t>
        </is>
      </c>
      <c r="B3" s="62" t="inlineStr">
        <is>
          <t>GDP VN 2026E ~6.5%. Đầu tư công tăng mạnh (cao tốc, Long Thành). LS giảm.</t>
        </is>
      </c>
      <c r="C3" s="63" t="inlineStr">
        <is>
          <t>Tích cực</t>
        </is>
      </c>
    </row>
    <row r="4">
      <c r="A4" s="25" t="inlineStr">
        <is>
          <t>Xã hội</t>
        </is>
      </c>
      <c r="B4" s="62" t="inlineStr">
        <is>
          <t>Đô thị hoá ~38%. Nhu cầu nhà ở &amp; hạ tầng tăng.</t>
        </is>
      </c>
      <c r="C4" s="63" t="inlineStr">
        <is>
          <t>Tích cực</t>
        </is>
      </c>
    </row>
    <row r="5">
      <c r="A5" s="25" t="inlineStr">
        <is>
          <t>Công nghệ</t>
        </is>
      </c>
      <c r="B5" s="62" t="inlineStr">
        <is>
          <t>DQ2 BOF hiện đại, tự động hoá cao. Tiết kiệm 15-20% chi phí so với cũ.</t>
        </is>
      </c>
      <c r="C5" s="63" t="inlineStr">
        <is>
          <t>Tích cực</t>
        </is>
      </c>
    </row>
    <row r="6">
      <c r="A6" s="25" t="inlineStr">
        <is>
          <t>Môi trường</t>
        </is>
      </c>
      <c r="B6" s="62" t="inlineStr">
        <is>
          <t>Áp lực giảm phát thải. HPG đầu tư lọc bụi, xử lý nước thải theo chuẩn quốc tế.</t>
        </is>
      </c>
      <c r="C6" s="64" t="inlineStr">
        <is>
          <t>Trung tính</t>
        </is>
      </c>
    </row>
    <row r="7">
      <c r="A7" s="25" t="inlineStr">
        <is>
          <t>Pháp lý khác</t>
        </is>
      </c>
      <c r="B7" s="62" t="inlineStr">
        <is>
          <t>NĐ 153 trái phiếu siết chặt. Room tín dụng ngân hàng mở rộng.</t>
        </is>
      </c>
      <c r="C7" s="64" t="inlineStr">
        <is>
          <t>Trung tính</t>
        </is>
      </c>
    </row>
    <row r="9">
      <c r="A9" s="17" t="inlineStr">
        <is>
          <t>VỊ TRÍ CHU KỲ NGÀNH THÉP</t>
        </is>
      </c>
    </row>
    <row r="10">
      <c r="A10" s="65" t="inlineStr">
        <is>
          <t>Tiêu chí</t>
        </is>
      </c>
      <c r="B10" s="65" t="inlineStr">
        <is>
          <t>Trạng thái</t>
        </is>
      </c>
      <c r="C10" s="65" t="inlineStr">
        <is>
          <t>Xu hướng</t>
        </is>
      </c>
      <c r="D10" s="65" t="inlineStr">
        <is>
          <t>Ghi chú</t>
        </is>
      </c>
    </row>
    <row r="11">
      <c r="A11" s="35" t="inlineStr">
        <is>
          <t>Tăng trưởng DT ngành</t>
        </is>
      </c>
      <c r="B11" s="35" t="inlineStr">
        <is>
          <t>Cao (HPG DT 2025 +12.4% YoY)</t>
        </is>
      </c>
      <c r="C11" s="35" t="inlineStr">
        <is>
          <t>Cao</t>
        </is>
      </c>
      <c r="D11" s="35" t="inlineStr">
        <is>
          <t>Phục hồi sau đáy 2023</t>
        </is>
      </c>
    </row>
    <row r="12">
      <c r="A12" s="35" t="inlineStr">
        <is>
          <t>Công suất ngành</t>
        </is>
      </c>
      <c r="B12" s="35" t="inlineStr">
        <is>
          <t>Cân bằng (HPG ~85%, HSG ~75%)</t>
        </is>
      </c>
      <c r="C12" s="35" t="inlineStr">
        <is>
          <t>Cân bằng</t>
        </is>
      </c>
      <c r="D12" s="35" t="inlineStr">
        <is>
          <t>DQ2 thêm 5.6M tấn</t>
        </is>
      </c>
    </row>
    <row r="13">
      <c r="A13" s="35" t="inlineStr">
        <is>
          <t>Giá bán (HRC)</t>
        </is>
      </c>
      <c r="B13" s="35" t="inlineStr">
        <is>
          <t>580 USD/tấn (2025), phục hồi từ đáy 480 (2023)</t>
        </is>
      </c>
      <c r="C13" s="35" t="inlineStr">
        <is>
          <t>Tăng</t>
        </is>
      </c>
      <c r="D13" s="35" t="inlineStr">
        <is>
          <t>Thuế CBPG 27.8% hỗ trợ</t>
        </is>
      </c>
    </row>
    <row r="14">
      <c r="A14" s="35" t="inlineStr">
        <is>
          <t>CAPEX ngành</t>
        </is>
      </c>
      <c r="B14" s="35" t="inlineStr">
        <is>
          <t>DQ2 ~$3 tỷ xong T12/2025. CAPEX 2025: 25.748 tỷ</t>
        </is>
      </c>
      <c r="C14" s="35" t="inlineStr">
        <is>
          <t>Giảm từ đỉnh</t>
        </is>
      </c>
      <c r="D14" s="35" t="inlineStr">
        <is>
          <t>Giai đoạn thu hoạch sau CAPEX</t>
        </is>
      </c>
    </row>
    <row r="15">
      <c r="A15" s="35" t="inlineStr">
        <is>
          <t>Số đối thủ</t>
        </is>
      </c>
      <c r="B15" s="35" t="inlineStr">
        <is>
          <t>HPG (~70% HRC), Formosa, HSG, NKG</t>
        </is>
      </c>
      <c r="C15" s="35" t="inlineStr">
        <is>
          <t>Ổn định</t>
        </is>
      </c>
      <c r="D15" s="35" t="inlineStr">
        <is>
          <t>Rào cản gia nhập cao</t>
        </is>
      </c>
    </row>
    <row r="16" ht="40" customHeight="1">
      <c r="A16" s="25" t="inlineStr">
        <is>
          <t>Kết luận chu kỳ:</t>
        </is>
      </c>
      <c r="B16" s="66" t="inlineStr">
        <is>
          <t>Ngành thép VN đang ở giai đoạn PHỤC HỒI → TĂNG TRƯỞNG. Đáy chu kỳ (2022-2023) đã qua. DQ2 hoàn thành đưa HPG vào giai đoạn thu hoạch. Kỳ vọng biên GP mở rộng 2026-2028.</t>
        </is>
      </c>
      <c r="C16" s="55" t="n"/>
      <c r="D16" s="56" t="n"/>
    </row>
    <row r="18">
      <c r="A18" s="17" t="inlineStr">
        <is>
          <t>THỊ TRƯỜNG MỤC TIÊU (TAM)</t>
        </is>
      </c>
    </row>
    <row r="19">
      <c r="A19" s="65" t="inlineStr">
        <is>
          <t>Chỉ tiêu</t>
        </is>
      </c>
      <c r="B19" s="65" t="inlineStr">
        <is>
          <t>Giá trị</t>
        </is>
      </c>
      <c r="C19" s="65" t="inlineStr">
        <is>
          <t>Nguồn</t>
        </is>
      </c>
    </row>
    <row r="20">
      <c r="A20" s="35" t="inlineStr">
        <is>
          <t>TAM thép VN (triệu tấn)</t>
        </is>
      </c>
      <c r="B20" s="35" t="inlineStr">
        <is>
          <t>~28-30</t>
        </is>
      </c>
      <c r="C20" s="35" t="inlineStr">
        <is>
          <t>VSA (Hiệp hội Thép VN) 2025</t>
        </is>
      </c>
    </row>
    <row r="21">
      <c r="A21" s="35" t="inlineStr">
        <is>
          <t>CAGR TAM (3 năm)</t>
        </is>
      </c>
      <c r="B21" s="35" t="inlineStr">
        <is>
          <t>~5-7%</t>
        </is>
      </c>
      <c r="C21" s="35" t="inlineStr">
        <is>
          <t>Đầu tư công + BĐS phục hồi</t>
        </is>
      </c>
    </row>
    <row r="22">
      <c r="A22" s="35" t="inlineStr">
        <is>
          <t>Thị phần HPG (HRC)</t>
        </is>
      </c>
      <c r="B22" s="35" t="inlineStr">
        <is>
          <t>~70%</t>
        </is>
      </c>
      <c r="C22" s="35" t="inlineStr">
        <is>
          <t>Độc quyền HRC nội địa</t>
        </is>
      </c>
    </row>
    <row r="23">
      <c r="A23" s="35" t="inlineStr">
        <is>
          <t>Thị phần HPG (thép XD)</t>
        </is>
      </c>
      <c r="B23" s="35" t="inlineStr">
        <is>
          <t>~40%</t>
        </is>
      </c>
      <c r="C23" s="35" t="inlineStr">
        <is>
          <t>Dẫn đầu thị trường</t>
        </is>
      </c>
    </row>
    <row r="24">
      <c r="A24" s="35" t="inlineStr">
        <is>
          <t>Thị phần tiềm năng (2028)</t>
        </is>
      </c>
      <c r="B24" s="35" t="inlineStr">
        <is>
          <t>~75% HRC, ~45% XD</t>
        </is>
      </c>
      <c r="C24" s="35" t="inlineStr">
        <is>
          <t>DQ2 mở rộng công suất</t>
        </is>
      </c>
    </row>
  </sheetData>
  <mergeCells count="3">
    <mergeCell ref="A9:D9"/>
    <mergeCell ref="B16:D16"/>
    <mergeCell ref="A18:D18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  <col width="15" customWidth="1" min="5" max="5"/>
  </cols>
  <sheetData>
    <row r="1">
      <c r="A1" s="8" t="inlineStr">
        <is>
          <t>Chỉ báo</t>
        </is>
      </c>
      <c r="B1" s="8" t="inlineStr">
        <is>
          <t>Ngưỡng tích cực</t>
        </is>
      </c>
      <c r="C1" s="8" t="inlineStr">
        <is>
          <t>Ngưỡng tiêu cực</t>
        </is>
      </c>
      <c r="D1" s="8" t="inlineStr">
        <is>
          <t>Giá trị hiện tại</t>
        </is>
      </c>
      <c r="E1" s="8" t="inlineStr">
        <is>
          <t>Trạng thái</t>
        </is>
      </c>
    </row>
    <row r="2">
      <c r="A2" s="6" t="inlineStr">
        <is>
          <t>Giá HRC (USD/tấn)</t>
        </is>
      </c>
      <c r="B2" s="6" t="n">
        <v>550</v>
      </c>
      <c r="C2" s="6" t="n">
        <v>420</v>
      </c>
      <c r="D2" s="6" t="n">
        <v>475</v>
      </c>
      <c r="E2" s="6" t="inlineStr">
        <is>
          <t>Trung tính</t>
        </is>
      </c>
    </row>
    <row r="3">
      <c r="A3" s="6" t="inlineStr">
        <is>
          <t>Giá quặng sắt (USD/tấn)</t>
        </is>
      </c>
      <c r="B3" s="6" t="n">
        <v>90</v>
      </c>
      <c r="C3" s="6" t="n">
        <v>120</v>
      </c>
      <c r="D3" s="6" t="n">
        <v>100.8</v>
      </c>
      <c r="E3" s="6" t="inlineStr">
        <is>
          <t>Trung tính</t>
        </is>
      </c>
    </row>
    <row r="4">
      <c r="A4" s="6" t="inlineStr">
        <is>
          <t>Giá than cốc (USD/tấn)</t>
        </is>
      </c>
      <c r="B4" s="6" t="n">
        <v>180</v>
      </c>
      <c r="C4" s="6" t="n">
        <v>260</v>
      </c>
      <c r="D4" s="6" t="n">
        <v>220</v>
      </c>
      <c r="E4" s="6" t="inlineStr">
        <is>
          <t>Trung tính</t>
        </is>
      </c>
    </row>
    <row r="5">
      <c r="A5" s="6" t="inlineStr">
        <is>
          <t>Tỷ giá USD/VNĐ</t>
        </is>
      </c>
      <c r="B5" s="6" t="n">
        <v>25500</v>
      </c>
      <c r="C5" s="6" t="n">
        <v>27000</v>
      </c>
      <c r="D5" s="6" t="n">
        <v>26200</v>
      </c>
      <c r="E5" s="6" t="inlineStr">
        <is>
          <t>Trung tính</t>
        </is>
      </c>
    </row>
    <row r="6">
      <c r="A6" s="6" t="inlineStr">
        <is>
          <t>Sản lượng thép VN (triệu tấn/tháng)</t>
        </is>
      </c>
      <c r="B6" s="6" t="n">
        <v>2.5</v>
      </c>
      <c r="C6" s="6" t="n">
        <v>1.5</v>
      </c>
      <c r="D6" s="6" t="n">
        <v>2.92</v>
      </c>
      <c r="E6" s="67" t="inlineStr">
        <is>
          <t>Tích cực</t>
        </is>
      </c>
    </row>
    <row r="7">
      <c r="A7" s="6" t="inlineStr">
        <is>
          <t>SX ngành thép 4M (triệu tấn)</t>
        </is>
      </c>
      <c r="B7" s="6" t="n">
        <v>12.5</v>
      </c>
      <c r="C7" s="6" t="n">
        <v>8</v>
      </c>
      <c r="D7" s="6" t="n">
        <v>11.67</v>
      </c>
      <c r="E7" s="6" t="inlineStr">
        <is>
          <t>Phục hồi (+23.5%)</t>
        </is>
      </c>
    </row>
    <row r="8">
      <c r="A8" s="6" t="inlineStr">
        <is>
          <t>LNST QoQ HPG (tỷ)</t>
        </is>
      </c>
      <c r="B8" s="6" t="n">
        <v>7000</v>
      </c>
      <c r="C8" s="6" t="n">
        <v>3000</v>
      </c>
      <c r="D8" s="6" t="n">
        <v>9056</v>
      </c>
      <c r="E8" s="67" t="inlineStr">
        <is>
          <t>Tích cực</t>
        </is>
      </c>
    </row>
    <row r="9">
      <c r="A9" s="6" t="inlineStr">
        <is>
          <t>D/E</t>
        </is>
      </c>
      <c r="B9" s="6" t="n">
        <v>0.5</v>
      </c>
      <c r="C9" s="6" t="n">
        <v>1.5</v>
      </c>
      <c r="D9" s="6" t="n">
        <v>0.65</v>
      </c>
      <c r="E9" s="67" t="inlineStr">
        <is>
          <t>Tích cực</t>
        </is>
      </c>
    </row>
    <row r="10">
      <c r="A10" s="6" t="inlineStr">
        <is>
          <t>CIP (tỷ)</t>
        </is>
      </c>
      <c r="B10" s="6" t="n">
        <v>10000</v>
      </c>
      <c r="C10" s="6" t="n">
        <v>40000</v>
      </c>
      <c r="D10" s="6" t="n">
        <v>15000</v>
      </c>
      <c r="E10" s="67" t="inlineStr">
        <is>
          <t>Tích cực (DQ2 done)</t>
        </is>
      </c>
    </row>
    <row r="11">
      <c r="A11" s="6" t="inlineStr">
        <is>
          <t>Spread thép (USD/tấn)</t>
        </is>
      </c>
      <c r="B11" s="6" t="n">
        <v>200</v>
      </c>
      <c r="C11" s="6" t="n">
        <v>50</v>
      </c>
      <c r="D11" s="6" t="n">
        <v>180</v>
      </c>
      <c r="E11" s="67" t="inlineStr">
        <is>
          <t>Tích cực</t>
        </is>
      </c>
    </row>
    <row r="12">
      <c r="A12" s="6" t="inlineStr">
        <is>
          <t>Đầu tư công 4M (nghìn tỷ)</t>
        </is>
      </c>
      <c r="B12" s="6" t="n">
        <v>200</v>
      </c>
      <c r="C12" s="6" t="n">
        <v>150</v>
      </c>
      <c r="D12" s="6" t="n">
        <v>187</v>
      </c>
      <c r="E12" s="67" t="inlineStr">
        <is>
          <t>Tích cực (+10.4%)</t>
        </is>
      </c>
    </row>
    <row r="13">
      <c r="A13" s="6" t="inlineStr">
        <is>
          <t>Room ngoại (tỷ USD)</t>
        </is>
      </c>
      <c r="B13" s="6" t="n">
        <v>1.5</v>
      </c>
      <c r="C13" s="6" t="n">
        <v>0.5</v>
      </c>
      <c r="D13" s="6" t="n">
        <v>1.2</v>
      </c>
      <c r="E13" s="6" t="inlineStr">
        <is>
          <t>Trung tính</t>
        </is>
      </c>
    </row>
    <row r="14">
      <c r="A14" s="6" t="inlineStr">
        <is>
          <t>KLGD BQ 20 phiên (triệu cp)</t>
        </is>
      </c>
      <c r="B14" s="6" t="n">
        <v>50</v>
      </c>
      <c r="C14" s="6" t="n">
        <v>20</v>
      </c>
      <c r="D14" s="6" t="n">
        <v>33.2</v>
      </c>
      <c r="E14" s="6" t="inlineStr">
        <is>
          <t>Trung tính</t>
        </is>
      </c>
    </row>
    <row r="15">
      <c r="A15" s="6" t="inlineStr">
        <is>
          <t>Biến động giá 1 tháng (%)</t>
        </is>
      </c>
      <c r="B15" s="6" t="n">
        <v>10</v>
      </c>
      <c r="C15" s="6" t="n">
        <v>-5</v>
      </c>
      <c r="D15" s="6" t="n">
        <v>3.3</v>
      </c>
      <c r="E15" s="6" t="inlineStr">
        <is>
          <t>Trung tính</t>
        </is>
      </c>
    </row>
    <row r="16">
      <c r="A16" s="6" t="inlineStr">
        <is>
          <t>Biến động giá YTD (%)</t>
        </is>
      </c>
      <c r="B16" s="6" t="n">
        <v>20</v>
      </c>
      <c r="C16" s="6" t="n">
        <v>-10</v>
      </c>
      <c r="D16" s="6" t="n">
        <v>6.1</v>
      </c>
      <c r="E16" s="6" t="inlineStr">
        <is>
          <t>Trung tính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12" customWidth="1" min="1" max="1"/>
    <col width="80" customWidth="1" min="2" max="2"/>
    <col width="15" customWidth="1" min="3" max="3"/>
  </cols>
  <sheetData>
    <row r="1">
      <c r="A1" s="8" t="inlineStr">
        <is>
          <t>Tầng</t>
        </is>
      </c>
      <c r="B1" s="8" t="inlineStr">
        <is>
          <t>Nội dung</t>
        </is>
      </c>
      <c r="C1" s="8" t="inlineStr">
        <is>
          <t>Đánh giá</t>
        </is>
      </c>
    </row>
    <row r="2" ht="60" customHeight="1">
      <c r="A2" s="64" t="inlineStr">
        <is>
          <t>1</t>
        </is>
      </c>
      <c r="B2" s="62" t="inlineStr">
        <is>
          <t>Chuỗi giá trị: HPG tích hợp dọc từ quặng → lò cao → HRC/thép XD. Tự chủ 50% quặng (trữ lượng 320M tấn). DQ2 (5.6M tấn) full công suất từ T12/2025 giúp HPG dẫn đầu chi phí.</t>
        </is>
      </c>
      <c r="C2" s="63" t="inlineStr">
        <is>
          <t>Mạnh</t>
        </is>
      </c>
    </row>
    <row r="3" ht="60" customHeight="1">
      <c r="A3" s="64" t="inlineStr">
        <is>
          <t>2</t>
        </is>
      </c>
      <c r="B3" s="62" t="inlineStr">
        <is>
          <t>Thị trường: VN nhập khẩu HRC ~8M tấn/năm. Thuế CBPG 27.8% với TQ tạo lợi thế cho HPG. Đầu tư công (cao tốc Bắc-Nam, Long Thành) + BĐS phục hồi kéo nhu cầu thép.</t>
        </is>
      </c>
      <c r="C3" s="63" t="inlineStr">
        <is>
          <t>Mạnh</t>
        </is>
      </c>
    </row>
    <row r="4" ht="60" customHeight="1">
      <c r="A4" s="64" t="inlineStr">
        <is>
          <t>3</t>
        </is>
      </c>
      <c r="B4" s="62" t="inlineStr">
        <is>
          <t>Moat: Chi phí thấp nhất ngành (lò cao BOF công suất lớn). Quy mô 16M tấn. Mạng lưới phân phối rộng. Khó sao chép do CAPEX khổng lồ (DQ2 ~$3 tỷ).</t>
        </is>
      </c>
      <c r="C4" s="63" t="inlineStr">
        <is>
          <t>Rộng</t>
        </is>
      </c>
    </row>
    <row r="5" ht="60" customHeight="1">
      <c r="A5" s="64" t="inlineStr">
        <is>
          <t>4</t>
        </is>
      </c>
      <c r="B5" s="62" t="inlineStr">
        <is>
          <t>Tài chính: D/E 0.65x an toàn. ROE TTM 16.5%. FCF cải thiện nhờ DQ2 vận hành. Biên LNG phục hồi từ 10.9% (2023) lên ~15.9% (2026E).</t>
        </is>
      </c>
      <c r="C5" s="64" t="inlineStr">
        <is>
          <t>Tốt</t>
        </is>
      </c>
    </row>
    <row r="6" ht="60" customHeight="1">
      <c r="A6" s="64" t="inlineStr">
        <is>
          <t>5</t>
        </is>
      </c>
      <c r="B6" s="62" t="inlineStr">
        <is>
          <t>Rủi ro: (1) Giá HRC giảm mạnh do suy giảm TQ, (2) Chi phí nguyên liệu tăng (quặng/than), (3) Tỷ giá USD tăng gây áp lực nợ vay, (4) Cạnh tranh từ HSG/NKG tôn mạ.</t>
        </is>
      </c>
      <c r="C6" s="64" t="inlineStr">
        <is>
          <t>Trung bình</t>
        </is>
      </c>
    </row>
    <row r="7" ht="60" customHeight="1">
      <c r="A7" s="64" t="inlineStr">
        <is>
          <t>6</t>
        </is>
      </c>
      <c r="B7" s="62" t="inlineStr">
        <is>
          <t>Định giá: P/B 1.56x (dưới median lịch sử 1.61x HPG). EV/EBITDA 2026E ~7.0x. Multiple mục tiêu dựa trên trung vị lịch sử HPG (TTM 2018-2026 từ Vietcap). P/E không dùng (bẫy chu kỳ). P/B buy zone &lt;1.0x, sell &gt;2.0x.</t>
        </is>
      </c>
      <c r="C7" s="63" t="inlineStr">
        <is>
          <t>Hấp dẫn</t>
        </is>
      </c>
    </row>
    <row r="9">
      <c r="A9" s="17" t="inlineStr">
        <is>
          <t>CHI TIẾT TẦNG 1: CHUỖI GIÁ TRỊ NGÀNH THÉP</t>
        </is>
      </c>
    </row>
    <row r="10">
      <c r="A10" s="65" t="inlineStr">
        <is>
          <t>Bước</t>
        </is>
      </c>
      <c r="B10" s="65" t="inlineStr">
        <is>
          <t>Mô tả</t>
        </is>
      </c>
      <c r="C10" s="65" t="inlineStr">
        <is>
          <t>Biên ước tính</t>
        </is>
      </c>
      <c r="D10" s="65" t="inlineStr">
        <is>
          <t>Ai chi phối</t>
        </is>
      </c>
      <c r="E10" s="65" t="inlineStr">
        <is>
          <t>Vị trí HPG</t>
        </is>
      </c>
    </row>
    <row r="11">
      <c r="A11" s="35" t="inlineStr">
        <is>
          <t>1</t>
        </is>
      </c>
      <c r="B11" s="62" t="inlineStr">
        <is>
          <t>Nguyên liệu (quặng sắt/than cốc)</t>
        </is>
      </c>
      <c r="C11" s="35" t="inlineStr">
        <is>
          <t>0-5%</t>
        </is>
      </c>
      <c r="D11" s="35" t="inlineStr">
        <is>
          <t>Vale, BHP, Rio Tinto</t>
        </is>
      </c>
      <c r="E11" s="35" t="inlineStr">
        <is>
          <t>Tự chủ 50% quặng (Quý Xa, 320M tấn)</t>
        </is>
      </c>
    </row>
    <row r="12">
      <c r="A12" s="35" t="inlineStr">
        <is>
          <t>2</t>
        </is>
      </c>
      <c r="B12" s="62" t="inlineStr">
        <is>
          <t>Luyện cốc (sản xuất than cốc từ than mỡ)</t>
        </is>
      </c>
      <c r="C12" s="35" t="inlineStr">
        <is>
          <t>6-12%</t>
        </is>
      </c>
      <c r="D12" s="35" t="inlineStr">
        <is>
          <t>HPG (tự SX tại DQ)</t>
        </is>
      </c>
      <c r="E12" s="35" t="inlineStr">
        <is>
          <t>Trung nguồn — tự SX cốc</t>
        </is>
      </c>
    </row>
    <row r="13">
      <c r="A13" s="35" t="inlineStr">
        <is>
          <t>3</t>
        </is>
      </c>
      <c r="B13" s="62" t="inlineStr">
        <is>
          <t>Sản xuất phôi thép (lò cao BOF)</t>
        </is>
      </c>
      <c r="C13" s="35" t="inlineStr">
        <is>
          <t>15-25%</t>
        </is>
      </c>
      <c r="D13" s="35" t="inlineStr">
        <is>
          <t>HPG, Formosa (Trung nguồn)</t>
        </is>
      </c>
      <c r="E13" s="35" t="inlineStr">
        <is>
          <t>Trung nguồn — mũi nhọn</t>
        </is>
      </c>
    </row>
    <row r="14">
      <c r="A14" s="35" t="inlineStr">
        <is>
          <t>4</t>
        </is>
      </c>
      <c r="B14" s="62" t="inlineStr">
        <is>
          <t>Cán thép (HRC / thép xây dựng)</t>
        </is>
      </c>
      <c r="C14" s="35" t="inlineStr">
        <is>
          <t>8-15%</t>
        </is>
      </c>
      <c r="D14" s="35" t="inlineStr">
        <is>
          <t>HPG, HSG, NKG</t>
        </is>
      </c>
      <c r="E14" s="35" t="inlineStr">
        <is>
          <t>Trung nguồn — thị phần HRC ~70%</t>
        </is>
      </c>
    </row>
    <row r="15">
      <c r="A15" s="35" t="inlineStr">
        <is>
          <t>5</t>
        </is>
      </c>
      <c r="B15" s="62" t="inlineStr">
        <is>
          <t>Phân phối (đại lý / dự án)</t>
        </is>
      </c>
      <c r="C15" s="35" t="inlineStr">
        <is>
          <t>2-4%</t>
        </is>
      </c>
      <c r="D15" s="35" t="inlineStr">
        <is>
          <t>Đại lý cấp 1, cấp 2</t>
        </is>
      </c>
      <c r="E15" s="35" t="inlineStr">
        <is>
          <t>Hạ nguồn — mạng 300+ đại lý</t>
        </is>
      </c>
    </row>
    <row r="16">
      <c r="A16" s="35" t="inlineStr">
        <is>
          <t>6</t>
        </is>
      </c>
      <c r="B16" s="62" t="inlineStr">
        <is>
          <t>Người dùng cuối (XD, BĐS, CN)</t>
        </is>
      </c>
      <c r="C16" s="35" t="inlineStr">
        <is>
          <t>—</t>
        </is>
      </c>
      <c r="D16" s="35" t="inlineStr">
        <is>
          <t>CTCP, BĐS, CN nhẹ</t>
        </is>
      </c>
      <c r="E16" s="35" t="inlineStr">
        <is>
          <t>—</t>
        </is>
      </c>
    </row>
    <row r="17">
      <c r="A17" s="17" t="inlineStr">
        <is>
          <t>CHI TIẾT TẦNG 3: PHÂN TÍCH MOAT &amp; ROIC</t>
        </is>
      </c>
    </row>
    <row r="18">
      <c r="A18" s="65" t="inlineStr">
        <is>
          <t>Loại Moat</t>
        </is>
      </c>
      <c r="B18" s="65" t="inlineStr">
        <is>
          <t>Mức độ</t>
        </is>
      </c>
      <c r="C18" s="65" t="inlineStr">
        <is>
          <t>Bằng chứng định lượng</t>
        </is>
      </c>
      <c r="D18" s="65" t="inlineStr">
        <is>
          <t>Kết luận</t>
        </is>
      </c>
    </row>
    <row r="19">
      <c r="A19" s="35" t="inlineStr">
        <is>
          <t>1. Lợi thế chi phí (Cost)</t>
        </is>
      </c>
      <c r="B19" s="35" t="inlineStr">
        <is>
          <t>Mạnh</t>
        </is>
      </c>
      <c r="C19" s="62" t="inlineStr">
        <is>
          <t>DQ2 BOF 6M tấn, ĐMTK thấp nhất ngành. Biên GP 2025: 15.7% &gt; HSG (10.2%). Tự SX cốc giảm 10-15% CP.</t>
        </is>
      </c>
      <c r="D19" s="35" t="inlineStr">
        <is>
          <t>Wide — chi phí/tấn thấp nhất VN</t>
        </is>
      </c>
    </row>
    <row r="20">
      <c r="A20" s="35" t="inlineStr">
        <is>
          <t>2. Chuyển đổi (Switching)</t>
        </is>
      </c>
      <c r="B20" s="35" t="inlineStr">
        <is>
          <t>TB</t>
        </is>
      </c>
      <c r="C20" s="62" t="inlineStr">
        <is>
          <t>Khách hàng đại lý lâu năm, chi phí vận chuyển cao khi đổi NCC. Nhưng thép là hàng hóa tiêu chuẩn.</t>
        </is>
      </c>
      <c r="D20" s="35" t="inlineStr">
        <is>
          <t>Narrow — rào cản chuyển đổi ở mức vừa</t>
        </is>
      </c>
    </row>
    <row r="21">
      <c r="A21" s="35" t="inlineStr">
        <is>
          <t>3. Tài sản vô hình</t>
        </is>
      </c>
      <c r="B21" s="35" t="inlineStr">
        <is>
          <t>TB</t>
        </is>
      </c>
      <c r="C21" s="62" t="inlineStr">
        <is>
          <t>Thương hiệu Hoà Phát uy tín, không có patent đặc thù. Giấy phép khai thác quặng tại Quý Xa.</t>
        </is>
      </c>
      <c r="D21" s="35" t="inlineStr">
        <is>
          <t>Narrow — chỉ có giấy phép khoáng sản</t>
        </is>
      </c>
    </row>
    <row r="22">
      <c r="A22" s="35" t="inlineStr">
        <is>
          <t>4. Hiệu ứng mạng</t>
        </is>
      </c>
      <c r="B22" s="35" t="inlineStr">
        <is>
          <t>Yếu</t>
        </is>
      </c>
      <c r="C22" s="62" t="inlineStr">
        <is>
          <t>Thép là hàng hóa B2B, không có network effect. Khách hàng không tương tác với nhau.</t>
        </is>
      </c>
      <c r="D22" s="35" t="inlineStr">
        <is>
          <t>Không có</t>
        </is>
      </c>
    </row>
    <row r="23">
      <c r="A23" s="35" t="inlineStr">
        <is>
          <t>5. Quy mô hiệu quả</t>
        </is>
      </c>
      <c r="B23" s="35" t="inlineStr">
        <is>
          <t>Mạnh</t>
        </is>
      </c>
      <c r="C23" s="62" t="inlineStr">
        <is>
          <t>Thị phần HRC ~70%, thép XD ~40%. CAPEX rào cản ~$3 tỷ cho lò cao mới. Quy mô 16M tấn.</t>
        </is>
      </c>
      <c r="D23" s="35" t="inlineStr">
        <is>
          <t>Wide — rào cản vốn khổng lồ</t>
        </is>
      </c>
    </row>
    <row r="24">
      <c r="A24" s="25" t="inlineStr">
        <is>
          <t>Overall Moat Rating:</t>
        </is>
      </c>
      <c r="B24" s="68" t="inlineStr">
        <is>
          <t>WIDE MOAT | ROIC ~10.5% &gt; WACC ~9.0% → Tạo giá trị</t>
        </is>
      </c>
      <c r="C24" s="55" t="n"/>
      <c r="D24" s="55" t="n"/>
      <c r="E24" s="55" t="n"/>
      <c r="F24" s="55" t="n"/>
      <c r="G24" s="56" t="n"/>
    </row>
    <row r="26">
      <c r="A26" s="17" t="inlineStr">
        <is>
          <t>CHI TIẾT TẦNG 5: MA TRẬN RỦI RO &amp; CATALYST</t>
        </is>
      </c>
    </row>
    <row r="27">
      <c r="A27" s="65" t="inlineStr">
        <is>
          <t>Rủi ro</t>
        </is>
      </c>
      <c r="B27" s="65" t="inlineStr">
        <is>
          <t>Loại</t>
        </is>
      </c>
      <c r="C27" s="65" t="inlineStr">
        <is>
          <t>Xác suất</t>
        </is>
      </c>
      <c r="D27" s="65" t="inlineStr">
        <is>
          <t>Tác động</t>
        </is>
      </c>
      <c r="E27" s="65" t="inlineStr">
        <is>
          <t>Leading Indicator</t>
        </is>
      </c>
      <c r="F27" s="65" t="inlineStr">
        <is>
          <t>Ngưỡng kích hoạt</t>
        </is>
      </c>
    </row>
    <row r="28" ht="25" customHeight="1">
      <c r="A28" s="35" t="inlineStr">
        <is>
          <t>Giá HRC giảm mạnh</t>
        </is>
      </c>
      <c r="B28" s="35" t="inlineStr">
        <is>
          <t>Ngành</t>
        </is>
      </c>
      <c r="C28" s="35" t="inlineStr">
        <is>
          <t>TB</t>
        </is>
      </c>
      <c r="D28" s="35" t="inlineStr">
        <is>
          <t>−20% DT</t>
        </is>
      </c>
      <c r="E28" s="35" t="inlineStr">
        <is>
          <t>Giá HRC SHFE (USD/tấn)</t>
        </is>
      </c>
      <c r="F28" s="35" t="inlineStr">
        <is>
          <t>&lt;400 USD/tấn</t>
        </is>
      </c>
    </row>
    <row r="29" ht="25" customHeight="1">
      <c r="A29" s="35" t="inlineStr">
        <is>
          <t>Chi phí quặng tăng</t>
        </is>
      </c>
      <c r="B29" s="35" t="inlineStr">
        <is>
          <t>Ngành</t>
        </is>
      </c>
      <c r="C29" s="35" t="inlineStr">
        <is>
          <t>TB</t>
        </is>
      </c>
      <c r="D29" s="35" t="inlineStr">
        <is>
          <t>−5% biên GP</t>
        </is>
      </c>
      <c r="E29" s="35" t="inlineStr">
        <is>
          <t>Giá quặng 62%Fe (USD/tấn)</t>
        </is>
      </c>
      <c r="F29" s="35" t="inlineStr">
        <is>
          <t>&gt;150 USD/tấn</t>
        </is>
      </c>
    </row>
    <row r="30" ht="25" customHeight="1">
      <c r="A30" s="35" t="inlineStr">
        <is>
          <t>Tỷ giá USD tăng</t>
        </is>
      </c>
      <c r="B30" s="35" t="inlineStr">
        <is>
          <t>VM</t>
        </is>
      </c>
      <c r="C30" s="35" t="inlineStr">
        <is>
          <t>Thấp</t>
        </is>
      </c>
      <c r="D30" s="35" t="inlineStr">
        <is>
          <t>−1.500 tỷ LNST</t>
        </is>
      </c>
      <c r="E30" s="35" t="inlineStr">
        <is>
          <t>USD/VND</t>
        </is>
      </c>
      <c r="F30" s="35" t="inlineStr">
        <is>
          <t>&gt;26.000</t>
        </is>
      </c>
    </row>
    <row r="31" ht="25" customHeight="1">
      <c r="A31" s="35" t="inlineStr">
        <is>
          <t>Cạnh tranh Formosa</t>
        </is>
      </c>
      <c r="B31" s="35" t="inlineStr">
        <is>
          <t>Ngành</t>
        </is>
      </c>
      <c r="C31" s="35" t="inlineStr">
        <is>
          <t>Thấp</t>
        </is>
      </c>
      <c r="D31" s="35" t="inlineStr">
        <is>
          <t>−10% thị phần HRC</t>
        </is>
      </c>
      <c r="E31" s="35" t="inlineStr">
        <is>
          <t>CS XK HRC TQ vào VN</t>
        </is>
      </c>
      <c r="F31" s="35" t="inlineStr">
        <is>
          <t>Công suất Formosa tăng</t>
        </is>
      </c>
    </row>
    <row r="32" ht="25" customHeight="1">
      <c r="A32" s="35" t="inlineStr">
        <is>
          <t>BĐS suy thoái kéo dài</t>
        </is>
      </c>
      <c r="B32" s="35" t="inlineStr">
        <is>
          <t>VM</t>
        </is>
      </c>
      <c r="C32" s="35" t="inlineStr">
        <is>
          <t>Thấp</t>
        </is>
      </c>
      <c r="D32" s="35" t="inlineStr">
        <is>
          <t>−15% SL thép XD</t>
        </is>
      </c>
      <c r="E32" s="35" t="inlineStr">
        <is>
          <t>Giải ngân đầu tư công</t>
        </is>
      </c>
      <c r="F32" s="35" t="inlineStr">
        <is>
          <t>Tăng trưởng tín dụng BĐS &lt;5%</t>
        </is>
      </c>
    </row>
    <row r="33">
      <c r="A33" s="17" t="inlineStr">
        <is>
          <t>CATALYST TĂNG TỐC THESIS</t>
        </is>
      </c>
    </row>
    <row r="34">
      <c r="A34" s="65" t="inlineStr">
        <is>
          <t>Catalyst</t>
        </is>
      </c>
      <c r="B34" s="65" t="inlineStr">
        <is>
          <t>Mô tả</t>
        </is>
      </c>
      <c r="C34" s="65" t="inlineStr">
        <is>
          <t>Thời điểm</t>
        </is>
      </c>
      <c r="D34" s="65" t="inlineStr">
        <is>
          <t>Tác động giá</t>
        </is>
      </c>
      <c r="E34" s="65" t="inlineStr">
        <is>
          <t>Xác suất</t>
        </is>
      </c>
    </row>
    <row r="35" ht="25" customHeight="1">
      <c r="A35" s="35" t="inlineStr">
        <is>
          <t>KQKD Q1/2026 CB</t>
        </is>
      </c>
      <c r="B35" s="35" t="inlineStr">
        <is>
          <t>KQKD khả quan nhờ sản lượng cao &amp; spread nở</t>
        </is>
      </c>
      <c r="C35" s="35" t="inlineStr">
        <is>
          <t>07/2026</t>
        </is>
      </c>
      <c r="D35" s="35" t="inlineStr">
        <is>
          <t>+10-15%</t>
        </is>
      </c>
      <c r="E35" s="35" t="inlineStr">
        <is>
          <t>Cao</t>
        </is>
      </c>
    </row>
    <row r="36" ht="25" customHeight="1">
      <c r="A36" s="35" t="inlineStr">
        <is>
          <t>DQ2 full công suất</t>
        </is>
      </c>
      <c r="B36" s="35" t="inlineStr">
        <is>
          <t>Dung Quất 2 chạy hết công suất 6M tấn, giảm ĐMTK</t>
        </is>
      </c>
      <c r="C36" s="35" t="inlineStr">
        <is>
          <t>H2/2026</t>
        </is>
      </c>
      <c r="D36" s="35" t="inlineStr">
        <is>
          <t>+5-10%</t>
        </is>
      </c>
      <c r="E36" s="35" t="inlineStr">
        <is>
          <t>Cao</t>
        </is>
      </c>
    </row>
    <row r="37" ht="25" customHeight="1">
      <c r="A37" s="35" t="inlineStr">
        <is>
          <t>Giải ngân đầu tư công</t>
        </is>
      </c>
      <c r="B37" s="35" t="inlineStr">
        <is>
          <t>Cao tốc Bắc-Nam, Long Thành thúc đẩy nhu cầu thép</t>
        </is>
      </c>
      <c r="C37" s="35" t="inlineStr">
        <is>
          <t>2026-2027</t>
        </is>
      </c>
      <c r="D37" s="35" t="inlineStr">
        <is>
          <t>+5-10%</t>
        </is>
      </c>
      <c r="E37" s="35" t="inlineStr">
        <is>
          <t>TB</t>
        </is>
      </c>
    </row>
    <row r="38" ht="25" customHeight="1">
      <c r="A38" s="35" t="inlineStr">
        <is>
          <t>Giá HRC phục hồi</t>
        </is>
      </c>
      <c r="B38" s="35" t="inlineStr">
        <is>
          <t>Nhu cầu TQ hồi phục + thuế CBPG VN hỗ trợ giá</t>
        </is>
      </c>
      <c r="C38" s="35" t="inlineStr">
        <is>
          <t>H2/2026</t>
        </is>
      </c>
      <c r="D38" s="35" t="inlineStr">
        <is>
          <t>+15-25%</t>
        </is>
      </c>
      <c r="E38" s="35" t="inlineStr">
        <is>
          <t>TB</t>
        </is>
      </c>
    </row>
  </sheetData>
  <mergeCells count="5">
    <mergeCell ref="B24:G24"/>
    <mergeCell ref="A17:G17"/>
    <mergeCell ref="A9:G9"/>
    <mergeCell ref="A26:G26"/>
    <mergeCell ref="A33:G3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8" t="inlineStr">
        <is>
          <t>Chỉ tiêu</t>
        </is>
      </c>
      <c r="B1" s="8" t="inlineStr">
        <is>
          <t>2021A</t>
        </is>
      </c>
      <c r="C1" s="8" t="inlineStr">
        <is>
          <t>2022A</t>
        </is>
      </c>
      <c r="D1" s="8" t="inlineStr">
        <is>
          <t>2023A</t>
        </is>
      </c>
      <c r="E1" s="8" t="inlineStr">
        <is>
          <t>2024A</t>
        </is>
      </c>
      <c r="F1" s="8" t="inlineStr">
        <is>
          <t>2025A</t>
        </is>
      </c>
      <c r="G1" s="8" t="inlineStr">
        <is>
          <t>2026E</t>
        </is>
      </c>
      <c r="H1" s="8" t="inlineStr">
        <is>
          <t>2027E</t>
        </is>
      </c>
      <c r="I1" s="8" t="inlineStr">
        <is>
          <t>2028E</t>
        </is>
      </c>
      <c r="J1" s="8" t="inlineStr">
        <is>
          <t>CAGR 25-28E</t>
        </is>
      </c>
    </row>
    <row r="2">
      <c r="A2" s="25" t="inlineStr">
        <is>
          <t>Doanh thu (tỷ)</t>
        </is>
      </c>
      <c r="B2" s="39">
        <f>'04_PnL'!B2</f>
        <v/>
      </c>
      <c r="C2" s="39">
        <f>'04_PnL'!C2</f>
        <v/>
      </c>
      <c r="D2" s="39">
        <f>'04_PnL'!D2</f>
        <v/>
      </c>
      <c r="E2" s="39">
        <f>'04_PnL'!E2</f>
        <v/>
      </c>
      <c r="F2" s="39">
        <f>'04_PnL'!F2</f>
        <v/>
      </c>
      <c r="G2" s="39">
        <f>'04_PnL'!G2</f>
        <v/>
      </c>
      <c r="H2" s="39">
        <f>'04_PnL'!H2</f>
        <v/>
      </c>
      <c r="I2" s="39">
        <f>'04_PnL'!I2</f>
        <v/>
      </c>
      <c r="J2" s="69">
        <f>(I2/F2)^(1/3)-1</f>
        <v/>
      </c>
    </row>
    <row r="3">
      <c r="A3" s="25" t="inlineStr">
        <is>
          <t>LNST (tỷ)</t>
        </is>
      </c>
      <c r="B3" s="39">
        <f>'04_PnL'!B13</f>
        <v/>
      </c>
      <c r="C3" s="39">
        <f>'04_PnL'!C13</f>
        <v/>
      </c>
      <c r="D3" s="39">
        <f>'04_PnL'!D13</f>
        <v/>
      </c>
      <c r="E3" s="39">
        <f>'04_PnL'!E13</f>
        <v/>
      </c>
      <c r="F3" s="39">
        <f>'04_PnL'!F13</f>
        <v/>
      </c>
      <c r="G3" s="39">
        <f>'04_PnL'!G13</f>
        <v/>
      </c>
      <c r="H3" s="39">
        <f>'04_PnL'!H13</f>
        <v/>
      </c>
      <c r="I3" s="39">
        <f>'04_PnL'!I13</f>
        <v/>
      </c>
      <c r="J3" s="69">
        <f>(I3/F3)^(1/3)-1</f>
        <v/>
      </c>
    </row>
    <row r="4">
      <c r="A4" s="25" t="inlineStr">
        <is>
          <t>Biên LNG (%)</t>
        </is>
      </c>
      <c r="B4" s="19">
        <f>'04_PnL'!B5</f>
        <v/>
      </c>
      <c r="C4" s="19">
        <f>'04_PnL'!C5</f>
        <v/>
      </c>
      <c r="D4" s="19">
        <f>'04_PnL'!D5</f>
        <v/>
      </c>
      <c r="E4" s="19">
        <f>'04_PnL'!E5</f>
        <v/>
      </c>
      <c r="F4" s="19">
        <f>'04_PnL'!F5</f>
        <v/>
      </c>
      <c r="G4" s="19">
        <f>'04_PnL'!G5</f>
        <v/>
      </c>
      <c r="H4" s="19">
        <f>'04_PnL'!H5</f>
        <v/>
      </c>
      <c r="I4" s="19">
        <f>'04_PnL'!I5</f>
        <v/>
      </c>
    </row>
    <row r="5">
      <c r="A5" s="25" t="inlineStr">
        <is>
          <t>EBIT (tỷ)</t>
        </is>
      </c>
      <c r="B5" s="26">
        <f>'04_PnL'!B7</f>
        <v/>
      </c>
      <c r="C5" s="26">
        <f>'04_PnL'!C7</f>
        <v/>
      </c>
      <c r="D5" s="26">
        <f>'04_PnL'!D7</f>
        <v/>
      </c>
      <c r="E5" s="26">
        <f>'04_PnL'!E7</f>
        <v/>
      </c>
      <c r="F5" s="26">
        <f>'04_PnL'!F7</f>
        <v/>
      </c>
      <c r="G5" s="26">
        <f>'04_PnL'!G7</f>
        <v/>
      </c>
      <c r="H5" s="26">
        <f>'04_PnL'!H7</f>
        <v/>
      </c>
      <c r="I5" s="26">
        <f>'04_PnL'!I7</f>
        <v/>
      </c>
      <c r="J5" s="69">
        <f>(I5/F5)^(1/3)-1</f>
        <v/>
      </c>
    </row>
    <row r="6">
      <c r="A6" s="25" t="inlineStr">
        <is>
          <t>EBITDA (tỷ)</t>
        </is>
      </c>
      <c r="B6" s="26">
        <f>'04_PnL'!B16</f>
        <v/>
      </c>
      <c r="C6" s="26">
        <f>'04_PnL'!C16</f>
        <v/>
      </c>
      <c r="D6" s="26">
        <f>'04_PnL'!D16</f>
        <v/>
      </c>
      <c r="E6" s="26">
        <f>'04_PnL'!E16</f>
        <v/>
      </c>
      <c r="F6" s="26">
        <f>'04_PnL'!F16</f>
        <v/>
      </c>
      <c r="G6" s="26">
        <f>'04_PnL'!G16</f>
        <v/>
      </c>
      <c r="H6" s="26">
        <f>'04_PnL'!H16</f>
        <v/>
      </c>
      <c r="I6" s="26">
        <f>'04_PnL'!I16</f>
        <v/>
      </c>
      <c r="J6" s="69">
        <f>(I6/F6)^(1/3)-1</f>
        <v/>
      </c>
    </row>
    <row r="7">
      <c r="A7" s="25" t="inlineStr">
        <is>
          <t>Biên LNST (%)</t>
        </is>
      </c>
      <c r="B7" s="49">
        <f>'04_PnL'!B14</f>
        <v/>
      </c>
      <c r="C7" s="49">
        <f>'04_PnL'!C14</f>
        <v/>
      </c>
      <c r="D7" s="49">
        <f>'04_PnL'!D14</f>
        <v/>
      </c>
      <c r="E7" s="49">
        <f>'04_PnL'!E14</f>
        <v/>
      </c>
      <c r="F7" s="49">
        <f>'04_PnL'!F14</f>
        <v/>
      </c>
      <c r="G7" s="49">
        <f>'04_PnL'!G14</f>
        <v/>
      </c>
      <c r="H7" s="49">
        <f>'04_PnL'!H14</f>
        <v/>
      </c>
      <c r="I7" s="49">
        <f>'04_PnL'!I14</f>
        <v/>
      </c>
    </row>
    <row r="8">
      <c r="A8" s="25" t="inlineStr">
        <is>
          <t>EPS (VND)</t>
        </is>
      </c>
      <c r="B8" s="39">
        <f>'04_PnL'!B15</f>
        <v/>
      </c>
      <c r="C8" s="39">
        <f>'04_PnL'!C15</f>
        <v/>
      </c>
      <c r="D8" s="39">
        <f>'04_PnL'!D15</f>
        <v/>
      </c>
      <c r="E8" s="39">
        <f>'04_PnL'!E15</f>
        <v/>
      </c>
      <c r="F8" s="39">
        <f>'04_PnL'!F15</f>
        <v/>
      </c>
      <c r="G8" s="39">
        <f>'04_PnL'!G15</f>
        <v/>
      </c>
      <c r="H8" s="39">
        <f>'04_PnL'!H15</f>
        <v/>
      </c>
      <c r="I8" s="39">
        <f>'04_PnL'!I15</f>
        <v/>
      </c>
      <c r="J8" s="69">
        <f>(I8/F8)^(1/3)-1</f>
        <v/>
      </c>
    </row>
    <row r="9">
      <c r="A9" s="25" t="inlineStr">
        <is>
          <t>ROE (%)</t>
        </is>
      </c>
      <c r="B9" s="49">
        <f>'04_PnL'!B13/'02_Assumptions'!B13*100</f>
        <v/>
      </c>
      <c r="C9" s="49">
        <f>'04_PnL'!C13/'02_Assumptions'!C13*100</f>
        <v/>
      </c>
      <c r="D9" s="49">
        <f>'04_PnL'!D13/'02_Assumptions'!D13*100</f>
        <v/>
      </c>
      <c r="E9" s="49">
        <f>'04_PnL'!E13/'02_Assumptions'!E13*100</f>
        <v/>
      </c>
      <c r="F9" s="49">
        <f>'04_PnL'!F13/'02_Assumptions'!F13*100</f>
        <v/>
      </c>
      <c r="G9" s="49">
        <f>'04_PnL'!G13/'02_Assumptions'!G13*100</f>
        <v/>
      </c>
      <c r="H9" s="49">
        <f>'04_PnL'!H13/'02_Assumptions'!H13*100</f>
        <v/>
      </c>
      <c r="I9" s="49">
        <f>'04_PnL'!I13/'02_Assumptions'!I13*100</f>
        <v/>
      </c>
      <c r="J9" s="69">
        <f>(I9/F9)^(1/3)-1</f>
        <v/>
      </c>
    </row>
    <row r="10">
      <c r="A10" s="25" t="inlineStr">
        <is>
          <t>ROA (%)</t>
        </is>
      </c>
      <c r="B10" s="49">
        <f>'04_PnL'!B13/'05_Balance_Sheet'!B14*100</f>
        <v/>
      </c>
      <c r="C10" s="49">
        <f>'04_PnL'!C13/'05_Balance_Sheet'!C14*100</f>
        <v/>
      </c>
      <c r="D10" s="49">
        <f>'04_PnL'!D13/'05_Balance_Sheet'!D14*100</f>
        <v/>
      </c>
      <c r="E10" s="49">
        <f>'04_PnL'!E13/'05_Balance_Sheet'!E14*100</f>
        <v/>
      </c>
      <c r="F10" s="49">
        <f>'04_PnL'!F13/'05_Balance_Sheet'!F14*100</f>
        <v/>
      </c>
      <c r="G10" s="49">
        <f>'04_PnL'!G13/'05_Balance_Sheet'!G14*100</f>
        <v/>
      </c>
      <c r="H10" s="49">
        <f>'04_PnL'!H13/'05_Balance_Sheet'!H14*100</f>
        <v/>
      </c>
      <c r="I10" s="49">
        <f>'04_PnL'!I13/'05_Balance_Sheet'!I14*100</f>
        <v/>
      </c>
      <c r="J10" s="69">
        <f>(I10/F10)^(1/3)-1</f>
        <v/>
      </c>
    </row>
    <row r="11">
      <c r="A11" s="25" t="inlineStr">
        <is>
          <t>D/E (x)</t>
        </is>
      </c>
      <c r="B11" s="70">
        <f>('02_Assumptions'!B11-'02_Assumptions'!B12)/'02_Assumptions'!B13</f>
        <v/>
      </c>
      <c r="C11" s="70">
        <f>('02_Assumptions'!C11-'02_Assumptions'!C12)/'02_Assumptions'!C13</f>
        <v/>
      </c>
      <c r="D11" s="70">
        <f>('02_Assumptions'!D11-'02_Assumptions'!D12)/'02_Assumptions'!D13</f>
        <v/>
      </c>
      <c r="E11" s="70">
        <f>('02_Assumptions'!E11-'02_Assumptions'!E12)/'02_Assumptions'!E13</f>
        <v/>
      </c>
      <c r="F11" s="70">
        <f>('02_Assumptions'!F11-'02_Assumptions'!F12)/'02_Assumptions'!F13</f>
        <v/>
      </c>
      <c r="G11" s="70">
        <f>('02_Assumptions'!G11-'02_Assumptions'!G12)/'02_Assumptions'!G13</f>
        <v/>
      </c>
      <c r="H11" s="70">
        <f>('02_Assumptions'!H11-'02_Assumptions'!H12)/'02_Assumptions'!H13</f>
        <v/>
      </c>
      <c r="I11" s="70">
        <f>('02_Assumptions'!I11-'02_Assumptions'!I12)/'02_Assumptions'!I13</f>
        <v/>
      </c>
      <c r="J11" s="69">
        <f>(I11/F11)^(1/3)-1</f>
        <v/>
      </c>
    </row>
    <row r="12">
      <c r="A12" s="25" t="inlineStr">
        <is>
          <t>P/E (x)</t>
        </is>
      </c>
      <c r="B12" s="49">
        <f>('02_Assumptions'!$B$2*'02_Assumptions'!$B$3/1000)/'04_PnL'!B13</f>
        <v/>
      </c>
      <c r="C12" s="49">
        <f>('02_Assumptions'!$B$2*'02_Assumptions'!$B$3/1000)/'04_PnL'!C13</f>
        <v/>
      </c>
      <c r="D12" s="49">
        <f>('02_Assumptions'!$B$2*'02_Assumptions'!$B$3/1000)/'04_PnL'!D13</f>
        <v/>
      </c>
      <c r="E12" s="49">
        <f>('02_Assumptions'!$B$2*'02_Assumptions'!$B$3/1000)/'04_PnL'!E13</f>
        <v/>
      </c>
      <c r="F12" s="49">
        <f>('02_Assumptions'!$B$2*'02_Assumptions'!$B$3/1000)/'04_PnL'!F13</f>
        <v/>
      </c>
      <c r="G12" s="49">
        <f>('02_Assumptions'!$B$2*'02_Assumptions'!$B$3/1000)/'04_PnL'!G13</f>
        <v/>
      </c>
      <c r="H12" s="49">
        <f>('02_Assumptions'!$B$2*'02_Assumptions'!$B$3/1000)/'04_PnL'!H13</f>
        <v/>
      </c>
      <c r="I12" s="49">
        <f>('02_Assumptions'!$B$2*'02_Assumptions'!$B$3/1000)/'04_PnL'!I13</f>
        <v/>
      </c>
      <c r="J12" s="69">
        <f>(I12/F12)^(1/3)-1</f>
        <v/>
      </c>
    </row>
    <row r="13">
      <c r="A13" s="25" t="inlineStr">
        <is>
          <t>P/B (x)</t>
        </is>
      </c>
      <c r="B13" s="70">
        <f>('02_Assumptions'!$B$2*'02_Assumptions'!$B$3/1000)/'02_Assumptions'!B13</f>
        <v/>
      </c>
      <c r="C13" s="70">
        <f>('02_Assumptions'!$B$2*'02_Assumptions'!$B$3/1000)/'02_Assumptions'!C13</f>
        <v/>
      </c>
      <c r="D13" s="70">
        <f>('02_Assumptions'!$B$2*'02_Assumptions'!$B$3/1000)/'02_Assumptions'!D13</f>
        <v/>
      </c>
      <c r="E13" s="70">
        <f>('02_Assumptions'!$B$2*'02_Assumptions'!$B$3/1000)/'02_Assumptions'!E13</f>
        <v/>
      </c>
      <c r="F13" s="70">
        <f>('02_Assumptions'!$B$2*'02_Assumptions'!$B$3/1000)/'02_Assumptions'!F13</f>
        <v/>
      </c>
      <c r="G13" s="70">
        <f>('02_Assumptions'!$B$2*'02_Assumptions'!$B$3/1000)/'02_Assumptions'!G13</f>
        <v/>
      </c>
      <c r="H13" s="70">
        <f>('02_Assumptions'!$B$2*'02_Assumptions'!$B$3/1000)/'02_Assumptions'!H13</f>
        <v/>
      </c>
      <c r="I13" s="70">
        <f>('02_Assumptions'!$B$2*'02_Assumptions'!$B$3/1000)/'02_Assumptions'!I13</f>
        <v/>
      </c>
      <c r="J13" s="69">
        <f>(I13/F13)^(1/3)-1</f>
        <v/>
      </c>
    </row>
    <row r="14">
      <c r="A14" s="25" t="inlineStr">
        <is>
          <t>EV/EBITDA (x)</t>
        </is>
      </c>
      <c r="B14" s="49">
        <f>('02_Assumptions'!$B$2*'02_Assumptions'!$B$3/1000+('02_Assumptions'!B11-'02_Assumptions'!B12))/'04_PnL'!B16</f>
        <v/>
      </c>
      <c r="C14" s="49">
        <f>('02_Assumptions'!$B$2*'02_Assumptions'!$B$3/1000+('02_Assumptions'!C11-'02_Assumptions'!C12))/'04_PnL'!C16</f>
        <v/>
      </c>
      <c r="D14" s="49">
        <f>('02_Assumptions'!$B$2*'02_Assumptions'!$B$3/1000+('02_Assumptions'!D11-'02_Assumptions'!D12))/'04_PnL'!D16</f>
        <v/>
      </c>
      <c r="E14" s="49">
        <f>('02_Assumptions'!$B$2*'02_Assumptions'!$B$3/1000+('02_Assumptions'!E11-'02_Assumptions'!E12))/'04_PnL'!E16</f>
        <v/>
      </c>
      <c r="F14" s="49">
        <f>('02_Assumptions'!$B$2*'02_Assumptions'!$B$3/1000+('02_Assumptions'!F11-'02_Assumptions'!F12))/'04_PnL'!F16</f>
        <v/>
      </c>
      <c r="G14" s="49">
        <f>('02_Assumptions'!$B$2*'02_Assumptions'!$B$3/1000+('02_Assumptions'!G11-'02_Assumptions'!G12))/'04_PnL'!G16</f>
        <v/>
      </c>
      <c r="H14" s="49">
        <f>('02_Assumptions'!$B$2*'02_Assumptions'!$B$3/1000+('02_Assumptions'!H11-'02_Assumptions'!H12))/'04_PnL'!H16</f>
        <v/>
      </c>
      <c r="I14" s="49">
        <f>('02_Assumptions'!$B$2*'02_Assumptions'!$B$3/1000+('02_Assumptions'!I11-'02_Assumptions'!I12))/'04_PnL'!I16</f>
        <v/>
      </c>
      <c r="J14" s="69">
        <f>(I14/F14)^(1/3)-1</f>
        <v/>
      </c>
    </row>
    <row r="15">
      <c r="A15" s="25" t="inlineStr">
        <is>
          <t>CAPEX (tỷ)</t>
        </is>
      </c>
      <c r="B15" s="26">
        <f>'02_Assumptions'!B10</f>
        <v/>
      </c>
      <c r="C15" s="26">
        <f>'02_Assumptions'!C10</f>
        <v/>
      </c>
      <c r="D15" s="26">
        <f>'02_Assumptions'!D10</f>
        <v/>
      </c>
      <c r="E15" s="26">
        <f>'02_Assumptions'!E10</f>
        <v/>
      </c>
      <c r="F15" s="26">
        <f>'02_Assumptions'!F10</f>
        <v/>
      </c>
      <c r="G15" s="26">
        <f>'02_Assumptions'!G10</f>
        <v/>
      </c>
      <c r="H15" s="26">
        <f>'02_Assumptions'!H10</f>
        <v/>
      </c>
      <c r="I15" s="26">
        <f>'02_Assumptions'!I10</f>
        <v/>
      </c>
      <c r="J15" s="69">
        <f>(I15/F15)^(1/3)-1</f>
        <v/>
      </c>
    </row>
    <row r="17">
      <c r="A17" s="71" t="inlineStr">
        <is>
          <t>KẾ HOẠCH ĐHĐCĐ 2026 vs THỰC HIỆN 2025</t>
        </is>
      </c>
    </row>
    <row r="18">
      <c r="A18" s="65" t="inlineStr">
        <is>
          <t>Chỉ tiêu</t>
        </is>
      </c>
      <c r="B18" s="65" t="inlineStr">
        <is>
          <t>KH 2025</t>
        </is>
      </c>
      <c r="C18" s="65" t="inlineStr">
        <is>
          <t>TH 2025</t>
        </is>
      </c>
      <c r="D18" s="65" t="inlineStr">
        <is>
          <t>% hoàn thành</t>
        </is>
      </c>
      <c r="E18" s="65" t="inlineStr">
        <is>
          <t>KH 2026</t>
        </is>
      </c>
      <c r="F18" s="65" t="inlineStr">
        <is>
          <t>Q1/2026</t>
        </is>
      </c>
      <c r="G18" s="65" t="inlineStr">
        <is>
          <t>% KH năm</t>
        </is>
      </c>
    </row>
    <row r="19" ht="25" customHeight="1">
      <c r="A19" s="64" t="inlineStr">
        <is>
          <t>Doanh thu (tỷ)</t>
        </is>
      </c>
      <c r="B19" s="35" t="n">
        <v>170000</v>
      </c>
      <c r="C19" s="35" t="n">
        <v>156116.094618482</v>
      </c>
      <c r="D19" s="35" t="inlineStr">
        <is>
          <t>91.8%</t>
        </is>
      </c>
      <c r="E19" s="35" t="n">
        <v>210000</v>
      </c>
      <c r="F19" s="35" t="inlineStr">
        <is>
          <t>52,901</t>
        </is>
      </c>
      <c r="G19" s="35" t="inlineStr">
        <is>
          <t>25.2%</t>
        </is>
      </c>
    </row>
    <row r="20" ht="25" customHeight="1">
      <c r="A20" s="64" t="inlineStr">
        <is>
          <t>LNST (tỷ)</t>
        </is>
      </c>
      <c r="B20" s="35" t="n">
        <v>15000</v>
      </c>
      <c r="C20" s="35" t="n">
        <v>15453.174006223</v>
      </c>
      <c r="D20" s="35" t="inlineStr">
        <is>
          <t>103.0%</t>
        </is>
      </c>
      <c r="E20" s="35" t="n">
        <v>22000</v>
      </c>
      <c r="F20" s="35" t="inlineStr">
        <is>
          <t>8,994</t>
        </is>
      </c>
      <c r="G20" s="35" t="inlineStr">
        <is>
          <t>40.9%</t>
        </is>
      </c>
    </row>
    <row r="21">
      <c r="A21" s="17" t="inlineStr">
        <is>
          <t>PHÂN TÍCH CHẤT LƯỢNG LỢI NHUẬN</t>
        </is>
      </c>
    </row>
    <row r="22">
      <c r="A22" s="65" t="inlineStr">
        <is>
          <t>Chỉ tiêu</t>
        </is>
      </c>
      <c r="B22" s="65" t="inlineStr">
        <is>
          <t>2021A</t>
        </is>
      </c>
      <c r="C22" s="65" t="inlineStr">
        <is>
          <t>2022A</t>
        </is>
      </c>
      <c r="D22" s="65" t="inlineStr">
        <is>
          <t>2023A</t>
        </is>
      </c>
      <c r="E22" s="65" t="inlineStr">
        <is>
          <t>2024A</t>
        </is>
      </c>
      <c r="F22" s="65" t="inlineStr">
        <is>
          <t>2025A</t>
        </is>
      </c>
      <c r="G22" s="65" t="inlineStr">
        <is>
          <t>Nhận xét</t>
        </is>
      </c>
    </row>
    <row r="23" ht="30" customHeight="1">
      <c r="A23" s="72" t="n"/>
      <c r="B23" s="19" t="n">
        <v>0.78</v>
      </c>
      <c r="C23" s="19" t="n">
        <v>1.45</v>
      </c>
      <c r="D23" s="19" t="n">
        <v>1.26</v>
      </c>
      <c r="E23" s="19" t="n">
        <v>0.55</v>
      </c>
      <c r="F23" s="19" t="n">
        <v>1.12</v>
      </c>
      <c r="G23" s="73" t="n"/>
    </row>
    <row r="24" ht="30" customHeight="1">
      <c r="A24" s="72" t="n"/>
      <c r="B24" s="19" t="n">
        <v>-4.4</v>
      </c>
      <c r="C24" s="19" t="n">
        <v>2.2</v>
      </c>
      <c r="D24" s="19" t="n">
        <v>1</v>
      </c>
      <c r="E24" s="19" t="n">
        <v>-2.4</v>
      </c>
      <c r="F24" s="19" t="n">
        <v>0.7</v>
      </c>
      <c r="G24" s="73" t="n"/>
    </row>
    <row r="25" ht="30" customHeight="1">
      <c r="A25" s="72" t="n"/>
      <c r="B25" s="35" t="inlineStr">
        <is>
          <t>~60%</t>
        </is>
      </c>
      <c r="C25" s="35" t="inlineStr">
        <is>
          <t>~60%</t>
        </is>
      </c>
      <c r="D25" s="35" t="inlineStr">
        <is>
          <t>~60%</t>
        </is>
      </c>
      <c r="E25" s="35" t="inlineStr">
        <is>
          <t>~70%</t>
        </is>
      </c>
      <c r="F25" s="35" t="inlineStr">
        <is>
          <t>~70%</t>
        </is>
      </c>
      <c r="G25" s="73" t="n"/>
    </row>
    <row r="26" ht="30" customHeight="1">
      <c r="A26" s="72" t="n"/>
      <c r="B26" s="35" t="inlineStr">
        <is>
          <t>—</t>
        </is>
      </c>
      <c r="C26" s="35" t="inlineStr">
        <is>
          <t>—</t>
        </is>
      </c>
      <c r="D26" s="35" t="inlineStr">
        <is>
          <t>—</t>
        </is>
      </c>
      <c r="E26" s="35" t="inlineStr">
        <is>
          <t>—</t>
        </is>
      </c>
      <c r="F26" s="35" t="inlineStr">
        <is>
          <t>—</t>
        </is>
      </c>
      <c r="G26" s="73" t="n"/>
    </row>
    <row r="28">
      <c r="A28" s="17" t="inlineStr">
        <is>
          <t>BRIDGE ANALYSIS 2025A → 2026E</t>
        </is>
      </c>
    </row>
    <row r="29">
      <c r="A29" s="65" t="inlineStr">
        <is>
          <t>Chỉ tiêu</t>
        </is>
      </c>
      <c r="B29" s="65" t="inlineStr">
        <is>
          <t>Giá trị</t>
        </is>
      </c>
      <c r="C29" s="65" t="inlineStr">
        <is>
          <t>Giải thích</t>
        </is>
      </c>
    </row>
    <row r="30" ht="22" customHeight="1">
      <c r="A30" s="27" t="inlineStr">
        <is>
          <t>Doanh thu 2025A</t>
        </is>
      </c>
      <c r="B30" s="35" t="inlineStr">
        <is>
          <t>156,116 tỷ</t>
        </is>
      </c>
      <c r="C30" s="74" t="inlineStr">
        <is>
          <t>Cơ sở</t>
        </is>
      </c>
    </row>
    <row r="31" ht="22" customHeight="1">
      <c r="A31" s="27" t="inlineStr">
        <is>
          <t>+ Tăng từ DQ2 full công suất</t>
        </is>
      </c>
      <c r="B31" s="35" t="inlineStr">
        <is>
          <t>+13,308 tỷ</t>
        </is>
      </c>
      <c r="C31" s="74" t="inlineStr">
        <is>
          <t>DQ2 5.6M tấn chạy full năm 2026</t>
        </is>
      </c>
    </row>
    <row r="32" ht="22" customHeight="1">
      <c r="A32" s="27" t="inlineStr">
        <is>
          <t>+ Tăng từ giá HRC phục hồi</t>
        </is>
      </c>
      <c r="B32" s="35" t="inlineStr">
        <is>
          <t>+~15,000 tỷ</t>
        </is>
      </c>
      <c r="C32" s="74" t="inlineStr">
        <is>
          <t>Giá HRC 580→620 USD/tấn</t>
        </is>
      </c>
    </row>
    <row r="33" ht="22" customHeight="1">
      <c r="A33" s="27">
        <f> Doanh thu 2026E</f>
        <v/>
      </c>
      <c r="B33" s="35" t="inlineStr">
        <is>
          <t>169,424 tỷ</t>
        </is>
      </c>
      <c r="C33" s="74" t="inlineStr">
        <is>
          <t>KH ĐHĐCĐ: 210,000 tỷ</t>
        </is>
      </c>
    </row>
    <row r="34" ht="22" customHeight="1">
      <c r="A34" s="27" t="inlineStr"/>
      <c r="B34" s="35" t="inlineStr"/>
      <c r="C34" s="74" t="inlineStr"/>
    </row>
    <row r="35" ht="22" customHeight="1">
      <c r="A35" s="27" t="inlineStr">
        <is>
          <t>Biên GP 2025A</t>
        </is>
      </c>
      <c r="B35" s="35" t="inlineStr">
        <is>
          <t>15.7%</t>
        </is>
      </c>
      <c r="C35" s="74" t="inlineStr">
        <is>
          <t>Cơ sở</t>
        </is>
      </c>
    </row>
    <row r="36" ht="22" customHeight="1">
      <c r="A36" s="27" t="inlineStr">
        <is>
          <t>+ Cải thiện nhờ DQ2 (ĐMTK thấp hơn)</t>
        </is>
      </c>
      <c r="B36" s="35" t="inlineStr">
        <is>
          <t>+1.5%</t>
        </is>
      </c>
      <c r="C36" s="74" t="inlineStr">
        <is>
          <t>DQ2 BOF hiện đại, tiết kiệm 15-20% CP</t>
        </is>
      </c>
    </row>
    <row r="37" ht="22" customHeight="1">
      <c r="A37" s="27" t="inlineStr">
        <is>
          <t>+ Tồn kho giá rẻ (quặng mua H2/2025)</t>
        </is>
      </c>
      <c r="B37" s="35" t="inlineStr">
        <is>
          <t>+0.5%</t>
        </is>
      </c>
      <c r="C37" s="74" t="inlineStr">
        <is>
          <t>Giá quặng 105 USD/tấn thấp hơn 2024</t>
        </is>
      </c>
    </row>
    <row r="38" ht="22" customHeight="1">
      <c r="A38" s="27">
        <f> Biên GP 2026E</f>
        <v/>
      </c>
      <c r="B38" s="35" t="inlineStr">
        <is>
          <t>15.9%</t>
        </is>
      </c>
      <c r="C38" s="74" t="inlineStr">
        <is>
          <t>Spread trend từ Q1/2026</t>
        </is>
      </c>
    </row>
    <row r="39" ht="22" customHeight="1">
      <c r="A39" s="27" t="inlineStr"/>
      <c r="B39" s="35" t="inlineStr"/>
      <c r="C39" s="74" t="inlineStr"/>
    </row>
    <row r="40" ht="22" customHeight="1">
      <c r="A40" s="27" t="inlineStr">
        <is>
          <t>LNST 2025A</t>
        </is>
      </c>
      <c r="B40" s="35" t="inlineStr">
        <is>
          <t>15,453 tỷ</t>
        </is>
      </c>
      <c r="C40" s="74" t="inlineStr">
        <is>
          <t>Cơ sở</t>
        </is>
      </c>
    </row>
    <row r="41" ht="22" customHeight="1">
      <c r="A41" s="27" t="inlineStr">
        <is>
          <t>+ Tăng từ DT + biên GP mở rộng</t>
        </is>
      </c>
      <c r="B41" s="35" t="inlineStr">
        <is>
          <t>+5,757 tỷ</t>
        </is>
      </c>
      <c r="C41" s="74" t="inlineStr">
        <is>
          <t>Operating leverage</t>
        </is>
      </c>
    </row>
    <row r="42" ht="22" customHeight="1">
      <c r="A42" s="27" t="inlineStr">
        <is>
          <t>- Tăng chi phí lãi vay</t>
        </is>
      </c>
      <c r="B42" s="35" t="inlineStr">
        <is>
          <t>-~500 tỷ</t>
        </is>
      </c>
      <c r="C42" s="74" t="inlineStr">
        <is>
          <t>Dư nợ tăng nhẹ (DQ2 vốn vay)</t>
        </is>
      </c>
    </row>
    <row r="43" ht="22" customHeight="1">
      <c r="A43" s="27">
        <f> LNST 2026E</f>
        <v/>
      </c>
      <c r="B43" s="35" t="inlineStr">
        <is>
          <t>21,210 tỷ</t>
        </is>
      </c>
      <c r="C43" s="74" t="inlineStr">
        <is>
          <t>KH ĐHĐCĐ: 22,000 tỷ</t>
        </is>
      </c>
    </row>
  </sheetData>
  <mergeCells count="3">
    <mergeCell ref="A17:J17"/>
    <mergeCell ref="A28:J28"/>
    <mergeCell ref="A21:J2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06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40" customWidth="1" min="7" max="7"/>
    <col width="12" customWidth="1" min="8" max="8"/>
    <col width="12" customWidth="1" min="9" max="9"/>
  </cols>
  <sheetData>
    <row r="1">
      <c r="A1" s="75" t="inlineStr">
        <is>
          <t>PHÂN TÍCH NGÀNH THÉP — HPG (Skill: thep)</t>
        </is>
      </c>
      <c r="B1" s="55" t="n"/>
      <c r="C1" s="55" t="n"/>
      <c r="D1" s="55" t="n"/>
      <c r="E1" s="55" t="n"/>
      <c r="F1" s="55" t="n"/>
      <c r="G1" s="55" t="n"/>
      <c r="H1" s="55" t="n"/>
      <c r="I1" s="56" t="n"/>
    </row>
    <row r="2">
      <c r="A2" s="76" t="inlineStr">
        <is>
          <t>Phân loại: phan-loai-nganh → Nhóm 7: Thép (HPG, HSG, NKG, TVN)</t>
        </is>
      </c>
    </row>
    <row r="3">
      <c r="A3" s="76" t="inlineStr">
        <is>
          <t>Công thức Spread (lag 1 quý): Giá HRC quý này - 1.6×Quặng 62%Fe quý TRƯỚC - 0.6×Than cốc quý TRƯỚC - 100 USD/tấn (CP SX khác cố định) — do tồn kho HPG bình quân ~90 ngày = ~1 quý. Xem sheet 17_Gia_Hang_Hoa.</t>
        </is>
      </c>
    </row>
    <row r="5">
      <c r="A5" s="17" t="inlineStr">
        <is>
          <t>1. GIÁ ĐẦU VÀO &amp; ĐẦU RA (USD/tấn)</t>
        </is>
      </c>
    </row>
    <row r="6">
      <c r="A6" s="8" t="inlineStr">
        <is>
          <t>Chỉ tiêu</t>
        </is>
      </c>
      <c r="B6" s="8" t="inlineStr">
        <is>
          <t>2021A</t>
        </is>
      </c>
      <c r="C6" s="8" t="inlineStr">
        <is>
          <t>2022A</t>
        </is>
      </c>
      <c r="D6" s="8" t="inlineStr">
        <is>
          <t>2023A</t>
        </is>
      </c>
      <c r="E6" s="8" t="inlineStr">
        <is>
          <t>2024A</t>
        </is>
      </c>
      <c r="F6" s="8" t="inlineStr">
        <is>
          <t>2025A</t>
        </is>
      </c>
      <c r="G6" s="8" t="inlineStr">
        <is>
          <t>2026E</t>
        </is>
      </c>
      <c r="H6" s="8" t="inlineStr">
        <is>
          <t>2027E</t>
        </is>
      </c>
      <c r="I6" s="8" t="inlineStr">
        <is>
          <t>2028E</t>
        </is>
      </c>
    </row>
    <row r="7">
      <c r="A7" s="25" t="inlineStr">
        <is>
          <t>Giá HRC (USD/tấn)</t>
        </is>
      </c>
      <c r="B7" s="58">
        <f>'17_Gia_Hang_Hoa'!B31</f>
        <v/>
      </c>
      <c r="C7" s="58">
        <f>'17_Gia_Hang_Hoa'!C31</f>
        <v/>
      </c>
      <c r="D7" s="58">
        <f>'17_Gia_Hang_Hoa'!D31</f>
        <v/>
      </c>
      <c r="E7" s="58">
        <f>'17_Gia_Hang_Hoa'!E31</f>
        <v/>
      </c>
      <c r="F7" s="58">
        <f>'17_Gia_Hang_Hoa'!F31</f>
        <v/>
      </c>
      <c r="G7" s="58">
        <f>'17_Gia_Hang_Hoa'!G31</f>
        <v/>
      </c>
      <c r="H7" s="58">
        <f>'17_Gia_Hang_Hoa'!H31</f>
        <v/>
      </c>
      <c r="I7" s="58">
        <f>'17_Gia_Hang_Hoa'!I31</f>
        <v/>
      </c>
    </row>
    <row r="8">
      <c r="A8" s="25" t="inlineStr">
        <is>
          <t>Giá quặng sắt 62%Fe (USD/tấn)</t>
        </is>
      </c>
      <c r="B8" s="58">
        <f>'17_Gia_Hang_Hoa'!B32</f>
        <v/>
      </c>
      <c r="C8" s="58">
        <f>'17_Gia_Hang_Hoa'!C32</f>
        <v/>
      </c>
      <c r="D8" s="58">
        <f>'17_Gia_Hang_Hoa'!D32</f>
        <v/>
      </c>
      <c r="E8" s="58">
        <f>'17_Gia_Hang_Hoa'!E32</f>
        <v/>
      </c>
      <c r="F8" s="58">
        <f>'17_Gia_Hang_Hoa'!F32</f>
        <v/>
      </c>
      <c r="G8" s="58">
        <f>'17_Gia_Hang_Hoa'!G32</f>
        <v/>
      </c>
      <c r="H8" s="58">
        <f>'17_Gia_Hang_Hoa'!H32</f>
        <v/>
      </c>
      <c r="I8" s="58">
        <f>'17_Gia_Hang_Hoa'!I32</f>
        <v/>
      </c>
    </row>
    <row r="9">
      <c r="A9" s="25" t="inlineStr">
        <is>
          <t>Giá than cốc (USD/tấn)</t>
        </is>
      </c>
      <c r="B9" s="58">
        <f>'17_Gia_Hang_Hoa'!B33</f>
        <v/>
      </c>
      <c r="C9" s="58">
        <f>'17_Gia_Hang_Hoa'!C33</f>
        <v/>
      </c>
      <c r="D9" s="58">
        <f>'17_Gia_Hang_Hoa'!D33</f>
        <v/>
      </c>
      <c r="E9" s="58">
        <f>'17_Gia_Hang_Hoa'!E33</f>
        <v/>
      </c>
      <c r="F9" s="58">
        <f>'17_Gia_Hang_Hoa'!F33</f>
        <v/>
      </c>
      <c r="G9" s="58">
        <f>'17_Gia_Hang_Hoa'!G33</f>
        <v/>
      </c>
      <c r="H9" s="58">
        <f>'17_Gia_Hang_Hoa'!H33</f>
        <v/>
      </c>
      <c r="I9" s="58">
        <f>'17_Gia_Hang_Hoa'!I33</f>
        <v/>
      </c>
    </row>
    <row r="10">
      <c r="A10" s="25" t="inlineStr">
        <is>
          <t>Spread thép (USD/tấn)</t>
        </is>
      </c>
      <c r="B10" s="77">
        <f>'17_Gia_Hang_Hoa'!B35</f>
        <v/>
      </c>
      <c r="C10" s="77">
        <f>'17_Gia_Hang_Hoa'!C35</f>
        <v/>
      </c>
      <c r="D10" s="77">
        <f>'17_Gia_Hang_Hoa'!D35</f>
        <v/>
      </c>
      <c r="E10" s="77">
        <f>'17_Gia_Hang_Hoa'!E35</f>
        <v/>
      </c>
      <c r="F10" s="77">
        <f>'17_Gia_Hang_Hoa'!F35</f>
        <v/>
      </c>
      <c r="G10" s="77">
        <f>'17_Gia_Hang_Hoa'!G35</f>
        <v/>
      </c>
      <c r="H10" s="77">
        <f>'17_Gia_Hang_Hoa'!H35</f>
        <v/>
      </c>
      <c r="I10" s="77">
        <f>'17_Gia_Hang_Hoa'!I35</f>
        <v/>
      </c>
    </row>
    <row r="11">
      <c r="A11" s="25" t="inlineStr">
        <is>
          <t>Spread / Giá HRC (%)</t>
        </is>
      </c>
      <c r="B11" s="78">
        <f>B10/B7*100</f>
        <v/>
      </c>
      <c r="C11" s="78">
        <f>C10/C7*100</f>
        <v/>
      </c>
      <c r="D11" s="78">
        <f>D10/D7*100</f>
        <v/>
      </c>
      <c r="E11" s="78">
        <f>E10/E7*100</f>
        <v/>
      </c>
      <c r="F11" s="78">
        <f>F10/F7*100</f>
        <v/>
      </c>
      <c r="G11" s="78">
        <f>G10/G7*100</f>
        <v/>
      </c>
      <c r="H11" s="78">
        <f>H10/H7*100</f>
        <v/>
      </c>
      <c r="I11" s="78">
        <f>I10/I7*100</f>
        <v/>
      </c>
    </row>
    <row r="12">
      <c r="A12" s="17" t="inlineStr">
        <is>
          <t>2. SẢN LƯỢNG &amp; THỊ PHẦN</t>
        </is>
      </c>
    </row>
    <row r="13">
      <c r="A13" s="8" t="inlineStr">
        <is>
          <t>Chỉ tiêu</t>
        </is>
      </c>
      <c r="B13" s="8" t="inlineStr">
        <is>
          <t>2021A</t>
        </is>
      </c>
      <c r="C13" s="8" t="inlineStr">
        <is>
          <t>2022A</t>
        </is>
      </c>
      <c r="D13" s="8" t="inlineStr">
        <is>
          <t>2023A</t>
        </is>
      </c>
      <c r="E13" s="8" t="inlineStr">
        <is>
          <t>2024A</t>
        </is>
      </c>
      <c r="F13" s="8" t="inlineStr">
        <is>
          <t>2025A</t>
        </is>
      </c>
      <c r="G13" s="8" t="inlineStr">
        <is>
          <t>2026E</t>
        </is>
      </c>
      <c r="H13" s="8" t="inlineStr">
        <is>
          <t>2027E</t>
        </is>
      </c>
      <c r="I13" s="8" t="inlineStr">
        <is>
          <t>2028E</t>
        </is>
      </c>
    </row>
    <row r="14">
      <c r="A14" s="25" t="inlineStr">
        <is>
          <t>Sản lượng HRC HPG (triệu tấn)</t>
        </is>
      </c>
      <c r="B14" s="53">
        <f>'03_Revenue_Model'!B4</f>
        <v/>
      </c>
      <c r="C14" s="53">
        <f>'03_Revenue_Model'!C4</f>
        <v/>
      </c>
      <c r="D14" s="53">
        <f>'03_Revenue_Model'!D4</f>
        <v/>
      </c>
      <c r="E14" s="53">
        <f>'03_Revenue_Model'!E4</f>
        <v/>
      </c>
      <c r="F14" s="53">
        <f>'03_Revenue_Model'!F4</f>
        <v/>
      </c>
      <c r="G14" s="53">
        <f>'03_Revenue_Model'!G4</f>
        <v/>
      </c>
      <c r="H14" s="53">
        <f>'03_Revenue_Model'!H4</f>
        <v/>
      </c>
      <c r="I14" s="53">
        <f>'03_Revenue_Model'!I4</f>
        <v/>
      </c>
    </row>
    <row r="15">
      <c r="A15" s="25" t="inlineStr">
        <is>
          <t>Sản lượng thép XD HPG (triệu tấn)</t>
        </is>
      </c>
      <c r="B15" s="53">
        <f>'03_Revenue_Model'!B5</f>
        <v/>
      </c>
      <c r="C15" s="53">
        <f>'03_Revenue_Model'!C5</f>
        <v/>
      </c>
      <c r="D15" s="53">
        <f>'03_Revenue_Model'!D5</f>
        <v/>
      </c>
      <c r="E15" s="53">
        <f>'03_Revenue_Model'!E5</f>
        <v/>
      </c>
      <c r="F15" s="53">
        <f>'03_Revenue_Model'!F5</f>
        <v/>
      </c>
      <c r="G15" s="53">
        <f>'03_Revenue_Model'!G5</f>
        <v/>
      </c>
      <c r="H15" s="53">
        <f>'03_Revenue_Model'!H5</f>
        <v/>
      </c>
      <c r="I15" s="53">
        <f>'03_Revenue_Model'!I5</f>
        <v/>
      </c>
    </row>
    <row r="16">
      <c r="A16" s="25" t="inlineStr">
        <is>
          <t>Tổng sản lượng HPG (triệu tấn)</t>
        </is>
      </c>
      <c r="B16" s="53">
        <f>B14+B15</f>
        <v/>
      </c>
      <c r="C16" s="53">
        <f>C14+C15</f>
        <v/>
      </c>
      <c r="D16" s="53">
        <f>D14+D15</f>
        <v/>
      </c>
      <c r="E16" s="53">
        <f>E14+E15</f>
        <v/>
      </c>
      <c r="F16" s="53">
        <f>F14+F15</f>
        <v/>
      </c>
      <c r="G16" s="53">
        <f>G14+G15</f>
        <v/>
      </c>
      <c r="H16" s="53">
        <f>H14+H15</f>
        <v/>
      </c>
      <c r="I16" s="53">
        <f>I14+I15</f>
        <v/>
      </c>
    </row>
    <row r="17">
      <c r="A17" s="25" t="inlineStr">
        <is>
          <t>Sản lượng thị trường thép VN (triệu tấn)</t>
        </is>
      </c>
      <c r="B17" s="26" t="n">
        <v>28</v>
      </c>
      <c r="C17" s="26" t="n">
        <v>27</v>
      </c>
      <c r="D17" s="26" t="n">
        <v>25</v>
      </c>
      <c r="E17" s="26" t="n">
        <v>26</v>
      </c>
      <c r="F17" s="26" t="n">
        <v>28</v>
      </c>
      <c r="G17" s="26" t="n">
        <v>30</v>
      </c>
      <c r="H17" s="26" t="n">
        <v>32</v>
      </c>
      <c r="I17" s="26" t="n">
        <v>34</v>
      </c>
    </row>
    <row r="18">
      <c r="A18" s="25" t="inlineStr">
        <is>
          <t>Thị phần HPG (%)</t>
        </is>
      </c>
      <c r="B18" s="79">
        <f>B16/B17*100</f>
        <v/>
      </c>
      <c r="C18" s="79">
        <f>C16/C17*100</f>
        <v/>
      </c>
      <c r="D18" s="79">
        <f>D16/D17*100</f>
        <v/>
      </c>
      <c r="E18" s="79">
        <f>E16/E17*100</f>
        <v/>
      </c>
      <c r="F18" s="79">
        <f>F16/F17*100</f>
        <v/>
      </c>
      <c r="G18" s="79">
        <f>G16/G17*100</f>
        <v/>
      </c>
      <c r="H18" s="79">
        <f>H16/H17*100</f>
        <v/>
      </c>
      <c r="I18" s="79">
        <f>I16/I17*100</f>
        <v/>
      </c>
    </row>
    <row r="20">
      <c r="A20" s="17" t="inlineStr">
        <is>
          <t>3. YẾU TỐ TÁC ĐỘNG NGÀNH THÉP</t>
        </is>
      </c>
    </row>
    <row r="21">
      <c r="A21" s="18" t="inlineStr">
        <is>
          <t>Yếu tố</t>
        </is>
      </c>
      <c r="B21" s="18" t="inlineStr">
        <is>
          <t>Đánh giá</t>
        </is>
      </c>
      <c r="C21" s="55" t="n"/>
      <c r="D21" s="55" t="n"/>
      <c r="E21" s="55" t="n"/>
      <c r="F21" s="55" t="n"/>
      <c r="G21" s="55" t="n"/>
      <c r="H21" s="55" t="n"/>
      <c r="I21" s="56" t="n"/>
    </row>
    <row r="22" ht="30" customHeight="1">
      <c r="A22" s="25" t="inlineStr">
        <is>
          <t>Đầu ra</t>
        </is>
      </c>
      <c r="B22" s="62" t="inlineStr">
        <is>
          <t>Giá HRC phụ thuộc nhu cầu TQ, thuế CBPG 27.8% bảo vệ thị trường nội địa</t>
        </is>
      </c>
      <c r="C22" s="55" t="n"/>
      <c r="D22" s="55" t="n"/>
      <c r="E22" s="55" t="n"/>
      <c r="F22" s="55" t="n"/>
      <c r="G22" s="55" t="n"/>
      <c r="H22" s="55" t="n"/>
      <c r="I22" s="56" t="n"/>
    </row>
    <row r="23" ht="30" customHeight="1">
      <c r="A23" s="25" t="inlineStr">
        <is>
          <t>Đầu vào</t>
        </is>
      </c>
      <c r="B23" s="62" t="inlineStr">
        <is>
          <t>Quặng sắt (62%Fe) và than cốc chiếm ~60% giá thành. HPG tự chủ 50% quặng</t>
        </is>
      </c>
      <c r="C23" s="55" t="n"/>
      <c r="D23" s="55" t="n"/>
      <c r="E23" s="55" t="n"/>
      <c r="F23" s="55" t="n"/>
      <c r="G23" s="55" t="n"/>
      <c r="H23" s="55" t="n"/>
      <c r="I23" s="56" t="n"/>
    </row>
    <row r="24" ht="30" customHeight="1">
      <c r="A24" s="25" t="inlineStr">
        <is>
          <t>Vĩ mô</t>
        </is>
      </c>
      <c r="B24" s="62" t="inlineStr">
        <is>
          <t>GDP VN ~6.5%, đầu tư công cao tốc Bắc-Nam + Long Thành kéo nhu cầu thép</t>
        </is>
      </c>
      <c r="C24" s="55" t="n"/>
      <c r="D24" s="55" t="n"/>
      <c r="E24" s="55" t="n"/>
      <c r="F24" s="55" t="n"/>
      <c r="G24" s="55" t="n"/>
      <c r="H24" s="55" t="n"/>
      <c r="I24" s="56" t="n"/>
    </row>
    <row r="25" ht="30" customHeight="1">
      <c r="A25" s="25" t="inlineStr">
        <is>
          <t>Cạnh tranh</t>
        </is>
      </c>
      <c r="B25" s="62" t="inlineStr">
        <is>
          <t>HPG dẫn đầu thị phần HRC (~70%) và thép XD (~40%). Đối thủ: HSG, NKG</t>
        </is>
      </c>
      <c r="C25" s="55" t="n"/>
      <c r="D25" s="55" t="n"/>
      <c r="E25" s="55" t="n"/>
      <c r="F25" s="55" t="n"/>
      <c r="G25" s="55" t="n"/>
      <c r="H25" s="55" t="n"/>
      <c r="I25" s="56" t="n"/>
    </row>
    <row r="26" ht="30" customHeight="1">
      <c r="A26" s="25" t="inlineStr">
        <is>
          <t>Rủi ro</t>
        </is>
      </c>
      <c r="B26" s="62" t="inlineStr">
        <is>
          <t>Giá HRC giảm, quặng/than tăng, tỷ giá USD, BĐS suy thoái</t>
        </is>
      </c>
      <c r="C26" s="55" t="n"/>
      <c r="D26" s="55" t="n"/>
      <c r="E26" s="55" t="n"/>
      <c r="F26" s="55" t="n"/>
      <c r="G26" s="55" t="n"/>
      <c r="H26" s="55" t="n"/>
      <c r="I26" s="56" t="n"/>
    </row>
    <row r="27" ht="30" customHeight="1">
      <c r="A27" s="25" t="inlineStr">
        <is>
          <t>Định giá</t>
        </is>
      </c>
      <c r="B27" s="62" t="inlineStr">
        <is>
          <t>P/B là công cụ chính (mua 0.7-1.0x, bán 2.0-2.5x). P/E là bẫy chu kỳ</t>
        </is>
      </c>
      <c r="C27" s="55" t="n"/>
      <c r="D27" s="55" t="n"/>
      <c r="E27" s="55" t="n"/>
      <c r="F27" s="55" t="n"/>
      <c r="G27" s="55" t="n"/>
      <c r="H27" s="55" t="n"/>
      <c r="I27" s="56" t="n"/>
    </row>
    <row r="29">
      <c r="A29" s="17" t="inlineStr">
        <is>
          <t>4. HÀNG TỒN KHO, PHẢI THU &amp; ĐÒN BẨY — DIO/DSO = 365 x Số dư BÌNH QUÂN (đầu+cuối kỳ)/2 / GVHB hoặc DT (chỉ lịch sử — không dự phóng vì ít ảnh hưởng tới định giá)</t>
        </is>
      </c>
    </row>
    <row r="30">
      <c r="A30" s="8" t="inlineStr">
        <is>
          <t>Chỉ tiêu</t>
        </is>
      </c>
      <c r="B30" s="8" t="inlineStr">
        <is>
          <t>2021A</t>
        </is>
      </c>
      <c r="C30" s="8" t="inlineStr">
        <is>
          <t>2022A</t>
        </is>
      </c>
      <c r="D30" s="8" t="inlineStr">
        <is>
          <t>2023A</t>
        </is>
      </c>
      <c r="E30" s="8" t="inlineStr">
        <is>
          <t>2024A</t>
        </is>
      </c>
      <c r="F30" s="8" t="inlineStr">
        <is>
          <t>2025A</t>
        </is>
      </c>
      <c r="G30" s="8" t="inlineStr">
        <is>
          <t>2026E</t>
        </is>
      </c>
      <c r="H30" s="8" t="inlineStr">
        <is>
          <t>2027E</t>
        </is>
      </c>
      <c r="I30" s="8" t="inlineStr">
        <is>
          <t>2028E</t>
        </is>
      </c>
    </row>
    <row r="31">
      <c r="A31" s="25" t="inlineStr">
        <is>
          <t>Hàng tồn kho (tỷ VND)</t>
        </is>
      </c>
      <c r="B31" s="39">
        <f>'05_Balance_Sheet'!B6</f>
        <v/>
      </c>
      <c r="C31" s="39">
        <f>'05_Balance_Sheet'!C6</f>
        <v/>
      </c>
      <c r="D31" s="39">
        <f>'05_Balance_Sheet'!D6</f>
        <v/>
      </c>
      <c r="E31" s="39">
        <f>'05_Balance_Sheet'!E6</f>
        <v/>
      </c>
      <c r="F31" s="39">
        <f>'05_Balance_Sheet'!F6</f>
        <v/>
      </c>
      <c r="G31" s="80" t="inlineStr">
        <is>
          <t>—</t>
        </is>
      </c>
      <c r="H31" s="80" t="inlineStr">
        <is>
          <t>—</t>
        </is>
      </c>
      <c r="I31" s="80" t="inlineStr">
        <is>
          <t>—</t>
        </is>
      </c>
    </row>
    <row r="32">
      <c r="A32" s="25" t="inlineStr">
        <is>
          <t>Vòng quay HTK (lần) = GVHB / Tồn kho BQ</t>
        </is>
      </c>
      <c r="B32" s="19">
        <f>'04_PnL'!B3/'05_Balance_Sheet'!B6</f>
        <v/>
      </c>
      <c r="C32" s="19">
        <f>'04_PnL'!C3/(('05_Balance_Sheet'!B6+'05_Balance_Sheet'!C6)/2)</f>
        <v/>
      </c>
      <c r="D32" s="19">
        <f>'04_PnL'!D3/(('05_Balance_Sheet'!C6+'05_Balance_Sheet'!D6)/2)</f>
        <v/>
      </c>
      <c r="E32" s="19">
        <f>'04_PnL'!E3/(('05_Balance_Sheet'!D6+'05_Balance_Sheet'!E6)/2)</f>
        <v/>
      </c>
      <c r="F32" s="19">
        <f>'04_PnL'!F3/(('05_Balance_Sheet'!E6+'05_Balance_Sheet'!F6)/2)</f>
        <v/>
      </c>
      <c r="G32" s="80" t="inlineStr">
        <is>
          <t>—</t>
        </is>
      </c>
      <c r="H32" s="80" t="inlineStr">
        <is>
          <t>—</t>
        </is>
      </c>
      <c r="I32" s="80" t="inlineStr">
        <is>
          <t>—</t>
        </is>
      </c>
    </row>
    <row r="33">
      <c r="A33" s="25" t="inlineStr">
        <is>
          <t>Số ngày tồn kho bình quân (DIO)</t>
        </is>
      </c>
      <c r="B33" s="77">
        <f>365/B32</f>
        <v/>
      </c>
      <c r="C33" s="77">
        <f>365/C32</f>
        <v/>
      </c>
      <c r="D33" s="77">
        <f>365/D32</f>
        <v/>
      </c>
      <c r="E33" s="77">
        <f>365/E32</f>
        <v/>
      </c>
      <c r="F33" s="77">
        <f>365/F32</f>
        <v/>
      </c>
      <c r="G33" s="80" t="inlineStr">
        <is>
          <t>—</t>
        </is>
      </c>
      <c r="H33" s="80" t="inlineStr">
        <is>
          <t>—</t>
        </is>
      </c>
      <c r="I33" s="80" t="inlineStr">
        <is>
          <t>—</t>
        </is>
      </c>
    </row>
    <row r="34">
      <c r="A34" s="25" t="inlineStr">
        <is>
          <t>Phải thu ngắn hạn (tỷ VND)</t>
        </is>
      </c>
      <c r="B34" s="39">
        <f>'05_Balance_Sheet'!B5</f>
        <v/>
      </c>
      <c r="C34" s="39">
        <f>'05_Balance_Sheet'!C5</f>
        <v/>
      </c>
      <c r="D34" s="39">
        <f>'05_Balance_Sheet'!D5</f>
        <v/>
      </c>
      <c r="E34" s="39">
        <f>'05_Balance_Sheet'!E5</f>
        <v/>
      </c>
      <c r="F34" s="39">
        <f>'05_Balance_Sheet'!F5</f>
        <v/>
      </c>
      <c r="G34" s="80" t="inlineStr">
        <is>
          <t>—</t>
        </is>
      </c>
      <c r="H34" s="80" t="inlineStr">
        <is>
          <t>—</t>
        </is>
      </c>
      <c r="I34" s="80" t="inlineStr">
        <is>
          <t>—</t>
        </is>
      </c>
    </row>
    <row r="35">
      <c r="A35" s="25" t="inlineStr">
        <is>
          <t>Số ngày phải thu bình quân (DSO)</t>
        </is>
      </c>
      <c r="B35" s="81">
        <f>365/('04_PnL'!B2/'05_Balance_Sheet'!B5)</f>
        <v/>
      </c>
      <c r="C35" s="81">
        <f>365/('04_PnL'!C2/(('05_Balance_Sheet'!B5+'05_Balance_Sheet'!C5)/2))</f>
        <v/>
      </c>
      <c r="D35" s="81">
        <f>365/('04_PnL'!D2/(('05_Balance_Sheet'!C5+'05_Balance_Sheet'!D5)/2))</f>
        <v/>
      </c>
      <c r="E35" s="81">
        <f>365/('04_PnL'!E2/(('05_Balance_Sheet'!D5+'05_Balance_Sheet'!E5)/2))</f>
        <v/>
      </c>
      <c r="F35" s="81">
        <f>365/('04_PnL'!F2/(('05_Balance_Sheet'!E5+'05_Balance_Sheet'!F5)/2))</f>
        <v/>
      </c>
      <c r="G35" s="80" t="inlineStr">
        <is>
          <t>—</t>
        </is>
      </c>
      <c r="H35" s="80" t="inlineStr">
        <is>
          <t>—</t>
        </is>
      </c>
      <c r="I35" s="80" t="inlineStr">
        <is>
          <t>—</t>
        </is>
      </c>
    </row>
    <row r="36">
      <c r="A36" s="25" t="inlineStr">
        <is>
          <t>D/E = Vay NH+DH / VCSH</t>
        </is>
      </c>
      <c r="B36" s="22">
        <f>('05_Balance_Sheet'!B17+'05_Balance_Sheet'!B20)/'05_Balance_Sheet'!B28</f>
        <v/>
      </c>
      <c r="C36" s="22">
        <f>('05_Balance_Sheet'!C17+'05_Balance_Sheet'!C20)/'05_Balance_Sheet'!C28</f>
        <v/>
      </c>
      <c r="D36" s="22">
        <f>('05_Balance_Sheet'!D17+'05_Balance_Sheet'!D20)/'05_Balance_Sheet'!D28</f>
        <v/>
      </c>
      <c r="E36" s="22">
        <f>('05_Balance_Sheet'!E17+'05_Balance_Sheet'!E20)/'05_Balance_Sheet'!E28</f>
        <v/>
      </c>
      <c r="F36" s="22">
        <f>('05_Balance_Sheet'!F17+'05_Balance_Sheet'!F20)/'05_Balance_Sheet'!F28</f>
        <v/>
      </c>
      <c r="G36" s="22">
        <f>('05_Balance_Sheet'!G17+'05_Balance_Sheet'!G20)/'05_Balance_Sheet'!G28</f>
        <v/>
      </c>
      <c r="H36" s="22">
        <f>('05_Balance_Sheet'!H17+'05_Balance_Sheet'!H20)/'05_Balance_Sheet'!H28</f>
        <v/>
      </c>
      <c r="I36" s="22">
        <f>('05_Balance_Sheet'!I17+'05_Balance_Sheet'!I20)/'05_Balance_Sheet'!I28</f>
        <v/>
      </c>
    </row>
    <row r="37">
      <c r="A37" s="25" t="inlineStr">
        <is>
          <t>Vay ngắn hạn / Tổng vay (%)</t>
        </is>
      </c>
      <c r="B37" s="19">
        <f>'05_Balance_Sheet'!B17/('05_Balance_Sheet'!B17+'05_Balance_Sheet'!B20)*100</f>
        <v/>
      </c>
      <c r="C37" s="19">
        <f>'05_Balance_Sheet'!C17/('05_Balance_Sheet'!C17+'05_Balance_Sheet'!C20)*100</f>
        <v/>
      </c>
      <c r="D37" s="19">
        <f>'05_Balance_Sheet'!D17/('05_Balance_Sheet'!D17+'05_Balance_Sheet'!D20)*100</f>
        <v/>
      </c>
      <c r="E37" s="19">
        <f>'05_Balance_Sheet'!E17/('05_Balance_Sheet'!E17+'05_Balance_Sheet'!E20)*100</f>
        <v/>
      </c>
      <c r="F37" s="19">
        <f>'05_Balance_Sheet'!F17/('05_Balance_Sheet'!F17+'05_Balance_Sheet'!F20)*100</f>
        <v/>
      </c>
      <c r="G37" s="19">
        <f>'05_Balance_Sheet'!G17/('05_Balance_Sheet'!G17+'05_Balance_Sheet'!G20)*100</f>
        <v/>
      </c>
      <c r="H37" s="19">
        <f>'05_Balance_Sheet'!H17/('05_Balance_Sheet'!H17+'05_Balance_Sheet'!H20)*100</f>
        <v/>
      </c>
      <c r="I37" s="19">
        <f>'05_Balance_Sheet'!I17/('05_Balance_Sheet'!I17+'05_Balance_Sheet'!I20)*100</f>
        <v/>
      </c>
    </row>
    <row r="39">
      <c r="A39" s="17" t="inlineStr">
        <is>
          <t>5. ĐỊNH GIÁ CHU KỲ — P/B vs P/E</t>
        </is>
      </c>
    </row>
    <row r="40">
      <c r="A40" s="8" t="inlineStr">
        <is>
          <t>Chỉ tiêu</t>
        </is>
      </c>
      <c r="B40" s="8" t="inlineStr">
        <is>
          <t>2021A</t>
        </is>
      </c>
      <c r="C40" s="8" t="inlineStr">
        <is>
          <t>2022A</t>
        </is>
      </c>
      <c r="D40" s="8" t="inlineStr">
        <is>
          <t>2023A</t>
        </is>
      </c>
      <c r="E40" s="8" t="inlineStr">
        <is>
          <t>2024A</t>
        </is>
      </c>
      <c r="F40" s="8" t="inlineStr">
        <is>
          <t>2025A</t>
        </is>
      </c>
      <c r="G40" s="8" t="inlineStr">
        <is>
          <t>Nhận xét</t>
        </is>
      </c>
    </row>
    <row r="41">
      <c r="A41" s="25" t="inlineStr">
        <is>
          <t>P/E (TTM cuối năm)</t>
        </is>
      </c>
      <c r="B41" s="19" t="n">
        <v>9.4</v>
      </c>
      <c r="C41" s="19" t="n">
        <v>13.9</v>
      </c>
      <c r="D41" s="19" t="n">
        <v>13.8</v>
      </c>
      <c r="E41" s="19" t="n">
        <v>25.5</v>
      </c>
      <c r="F41" s="19" t="n">
        <v>14.2</v>
      </c>
      <c r="G41" s="82" t="inlineStr">
        <is>
          <t>Bẫy chu kỳ: P/E thấp khi LN đỉnh</t>
        </is>
      </c>
    </row>
    <row r="42">
      <c r="A42" s="25" t="inlineStr">
        <is>
          <t>P/B (cuối năm)</t>
        </is>
      </c>
      <c r="B42" s="22" t="n">
        <v>1.42</v>
      </c>
      <c r="C42" s="22" t="n">
        <v>1.67</v>
      </c>
      <c r="D42" s="22" t="n">
        <v>1.45</v>
      </c>
      <c r="E42" s="22" t="n">
        <v>1.69</v>
      </c>
      <c r="F42" s="22" t="n">
        <v>1.25</v>
      </c>
      <c r="G42" s="82" t="inlineStr">
        <is>
          <t>Công cụ chính: mua &lt;1.0x, bán &gt;2.0x</t>
        </is>
      </c>
    </row>
    <row r="43">
      <c r="A43" s="25" t="inlineStr">
        <is>
          <t>ROE (%)</t>
        </is>
      </c>
      <c r="B43" s="19" t="n">
        <v>38</v>
      </c>
      <c r="C43" s="19" t="n">
        <v>8.800000000000001</v>
      </c>
      <c r="D43" s="19" t="n">
        <v>6.6</v>
      </c>
      <c r="E43" s="19" t="n">
        <v>10.5</v>
      </c>
      <c r="F43" s="19" t="n">
        <v>11.8</v>
      </c>
      <c r="G43" s="82" t="inlineStr">
        <is>
          <t>P/B = ROE × P/E</t>
        </is>
      </c>
    </row>
    <row r="47">
      <c r="A47" s="17" t="inlineStr">
        <is>
          <t>6. DƯ CUNG TOÀN CẦU &amp; SẢN LƯỢNG THÉP THẾ GIỚI</t>
        </is>
      </c>
    </row>
    <row r="48">
      <c r="A48" s="83" t="inlineStr">
        <is>
          <t>Công suất tối đa vs Nhu cầu tiêu thụ toàn cầu (triệu tấn)</t>
        </is>
      </c>
    </row>
    <row r="49">
      <c r="A49" s="65" t="inlineStr">
        <is>
          <t>Năm</t>
        </is>
      </c>
      <c r="B49" s="65" t="inlineStr">
        <is>
          <t>2019</t>
        </is>
      </c>
      <c r="C49" s="65" t="inlineStr">
        <is>
          <t>2020</t>
        </is>
      </c>
      <c r="D49" s="65" t="inlineStr">
        <is>
          <t>2021</t>
        </is>
      </c>
      <c r="E49" s="65" t="inlineStr">
        <is>
          <t>2022</t>
        </is>
      </c>
      <c r="F49" s="65" t="inlineStr">
        <is>
          <t>2023</t>
        </is>
      </c>
      <c r="G49" s="65" t="inlineStr">
        <is>
          <t>2024</t>
        </is>
      </c>
      <c r="H49" s="65" t="inlineStr">
        <is>
          <t>2025</t>
        </is>
      </c>
      <c r="I49" s="65" t="inlineStr">
        <is>
          <t>2026F</t>
        </is>
      </c>
      <c r="J49" s="65" t="inlineStr">
        <is>
          <t>2027F</t>
        </is>
      </c>
    </row>
    <row r="50">
      <c r="A50" s="72" t="inlineStr">
        <is>
          <t>Công suất tối đa</t>
        </is>
      </c>
      <c r="B50" s="39" t="n">
        <v>2416</v>
      </c>
      <c r="C50" s="39" t="n">
        <v>2424</v>
      </c>
      <c r="D50" s="39" t="n">
        <v>2427</v>
      </c>
      <c r="E50" s="39" t="n">
        <v>2454</v>
      </c>
      <c r="F50" s="39" t="n">
        <v>2456</v>
      </c>
      <c r="G50" s="39" t="n">
        <v>2472</v>
      </c>
      <c r="H50" s="39" t="n">
        <v>2540</v>
      </c>
      <c r="I50" s="39" t="n">
        <v>2582</v>
      </c>
      <c r="J50" s="39" t="n">
        <v>2637</v>
      </c>
    </row>
    <row r="51">
      <c r="A51" s="72" t="inlineStr">
        <is>
          <t>Nhu cầu tiêu thụ</t>
        </is>
      </c>
      <c r="B51" s="39" t="n">
        <v>1890</v>
      </c>
      <c r="C51" s="39" t="n">
        <v>1858</v>
      </c>
      <c r="D51" s="39" t="n">
        <v>1962</v>
      </c>
      <c r="E51" s="39" t="n">
        <v>1895</v>
      </c>
      <c r="F51" s="39" t="n">
        <v>1891</v>
      </c>
      <c r="G51" s="39" t="n">
        <v>1870</v>
      </c>
      <c r="H51" s="39" t="n">
        <v>1888</v>
      </c>
      <c r="I51" s="39" t="n">
        <v>1902</v>
      </c>
      <c r="J51" s="39" t="n">
        <v>1916</v>
      </c>
    </row>
    <row r="52">
      <c r="A52" s="72" t="inlineStr">
        <is>
          <t>Dư cung (triệu tấn)</t>
        </is>
      </c>
      <c r="B52" s="39" t="n">
        <v>526</v>
      </c>
      <c r="C52" s="39" t="n">
        <v>566</v>
      </c>
      <c r="D52" s="39" t="n">
        <v>465</v>
      </c>
      <c r="E52" s="39" t="n">
        <v>559</v>
      </c>
      <c r="F52" s="39" t="n">
        <v>565</v>
      </c>
      <c r="G52" s="39" t="n">
        <v>602</v>
      </c>
      <c r="H52" s="39" t="n">
        <v>652</v>
      </c>
      <c r="I52" s="39" t="n">
        <v>680</v>
      </c>
      <c r="J52" s="39" t="n">
        <v>721</v>
      </c>
    </row>
    <row r="53">
      <c r="A53" s="72" t="inlineStr">
        <is>
          <t>Dư cung (% công suất)</t>
        </is>
      </c>
      <c r="B53" s="84" t="n">
        <v>0.218</v>
      </c>
      <c r="C53" s="84" t="n">
        <v>0.233</v>
      </c>
      <c r="D53" s="84" t="n">
        <v>0.192</v>
      </c>
      <c r="E53" s="84" t="n">
        <v>0.228</v>
      </c>
      <c r="F53" s="84" t="n">
        <v>0.23</v>
      </c>
      <c r="G53" s="84" t="n">
        <v>0.244</v>
      </c>
      <c r="H53" s="84" t="n">
        <v>0.257</v>
      </c>
      <c r="I53" s="84" t="n">
        <v>0.263</v>
      </c>
      <c r="J53" s="84" t="n">
        <v>0.273</v>
      </c>
    </row>
    <row r="54" ht="35" customHeight="1">
      <c r="A54" s="85" t="inlineStr">
        <is>
          <t>BOF Inflexibility:</t>
        </is>
      </c>
      <c r="B54" s="86" t="inlineStr">
        <is>
          <t>Lò cao BOF có chu kỳ vận hành liên tục 15-25 năm, không thể dừng lò khi giá giảm. Đây là nguyên nhân cấu trúc khiến dư cung kéo dài bất chấp giá thép xuống thấp.</t>
        </is>
      </c>
    </row>
    <row r="56">
      <c r="A56" s="83" t="inlineStr">
        <is>
          <t>Sản lượng thép toàn cầu 2025: 1,849 triệu tấn</t>
        </is>
      </c>
    </row>
    <row r="57">
      <c r="A57" s="65" t="inlineStr">
        <is>
          <t>Quốc gia</t>
        </is>
      </c>
      <c r="B57" s="65" t="inlineStr">
        <is>
          <t>TQ</t>
        </is>
      </c>
      <c r="C57" s="65" t="inlineStr">
        <is>
          <t>Ấn Độ</t>
        </is>
      </c>
      <c r="D57" s="65" t="inlineStr">
        <is>
          <t>EU</t>
        </is>
      </c>
      <c r="E57" s="65" t="inlineStr">
        <is>
          <t>Nhật Bản</t>
        </is>
      </c>
      <c r="F57" s="65" t="inlineStr">
        <is>
          <t>Hoa Kỳ</t>
        </is>
      </c>
      <c r="G57" s="65" t="inlineStr">
        <is>
          <t>Nga</t>
        </is>
      </c>
      <c r="H57" s="65" t="inlineStr">
        <is>
          <t>Còn lại</t>
        </is>
      </c>
    </row>
    <row r="58">
      <c r="A58" s="35" t="inlineStr">
        <is>
          <t>52.0% (961M tấn)</t>
        </is>
      </c>
      <c r="B58" s="35" t="inlineStr">
        <is>
          <t>8.9%</t>
        </is>
      </c>
      <c r="C58" s="35" t="inlineStr">
        <is>
          <t>6.8%</t>
        </is>
      </c>
      <c r="D58" s="35" t="inlineStr">
        <is>
          <t>4.4%</t>
        </is>
      </c>
      <c r="E58" s="35" t="inlineStr">
        <is>
          <t>4.4%</t>
        </is>
      </c>
      <c r="F58" s="35" t="inlineStr">
        <is>
          <t>3.7%</t>
        </is>
      </c>
      <c r="G58" s="35" t="inlineStr">
        <is>
          <t>19.8%</t>
        </is>
      </c>
    </row>
    <row r="61">
      <c r="A61" s="17" t="inlineStr">
        <is>
          <t>7. CUNG - CẦU HRC NỘI ĐỊA (tấn)</t>
        </is>
      </c>
    </row>
    <row r="62">
      <c r="A62" s="65" t="inlineStr">
        <is>
          <t>Chỉ tiêu</t>
        </is>
      </c>
      <c r="B62" s="65" t="inlineStr">
        <is>
          <t>2024</t>
        </is>
      </c>
      <c r="C62" s="65" t="inlineStr">
        <is>
          <t>2025</t>
        </is>
      </c>
      <c r="D62" s="65" t="inlineStr">
        <is>
          <t>2026F</t>
        </is>
      </c>
    </row>
    <row r="63">
      <c r="A63" s="64" t="inlineStr">
        <is>
          <t>SX bởi Formosa (FMS)</t>
        </is>
      </c>
      <c r="B63" s="35" t="inlineStr">
        <is>
          <t>5,000,000</t>
        </is>
      </c>
      <c r="C63" s="35" t="inlineStr">
        <is>
          <t>5,000,000</t>
        </is>
      </c>
      <c r="D63" s="35" t="inlineStr">
        <is>
          <t>5,000,000</t>
        </is>
      </c>
    </row>
    <row r="64">
      <c r="A64" s="64" t="inlineStr">
        <is>
          <t>SX bởi Hòa Phát (HPG)</t>
        </is>
      </c>
      <c r="B64" s="64" t="inlineStr">
        <is>
          <t>3,000,000</t>
        </is>
      </c>
      <c r="C64" s="64" t="inlineStr">
        <is>
          <t>7,200,000</t>
        </is>
      </c>
      <c r="D64" s="64" t="inlineStr">
        <is>
          <t>8,600,000</t>
        </is>
      </c>
    </row>
    <row r="65">
      <c r="A65" s="64" t="inlineStr">
        <is>
          <t>Tổng SX nội địa</t>
        </is>
      </c>
      <c r="B65" s="35" t="inlineStr">
        <is>
          <t>8,000,000</t>
        </is>
      </c>
      <c r="C65" s="35" t="inlineStr">
        <is>
          <t>12,200,000</t>
        </is>
      </c>
      <c r="D65" s="35" t="inlineStr">
        <is>
          <t>13,600,000</t>
        </is>
      </c>
    </row>
    <row r="66">
      <c r="A66" s="64" t="inlineStr">
        <is>
          <t>Tổng nhu cầu HRC VN</t>
        </is>
      </c>
      <c r="B66" s="35" t="inlineStr">
        <is>
          <t>16,210,541</t>
        </is>
      </c>
      <c r="C66" s="35" t="inlineStr">
        <is>
          <t>16,476,361</t>
        </is>
      </c>
      <c r="D66" s="35" t="inlineStr">
        <is>
          <t>17,000,000</t>
        </is>
      </c>
    </row>
    <row r="67">
      <c r="A67" s="64" t="inlineStr">
        <is>
          <t>Nhập khẩu ròng (bù thiếu)</t>
        </is>
      </c>
      <c r="B67" s="35" t="inlineStr">
        <is>
          <t>8,210,541</t>
        </is>
      </c>
      <c r="C67" s="35" t="inlineStr">
        <is>
          <t>4,276,361</t>
        </is>
      </c>
      <c r="D67" s="35" t="inlineStr">
        <is>
          <t>3,400,000</t>
        </is>
      </c>
    </row>
    <row r="68" ht="35" customHeight="1">
      <c r="A68" s="85" t="inlineStr">
        <is>
          <t>Kết luận:</t>
        </is>
      </c>
      <c r="B68" s="86" t="inlineStr">
        <is>
          <t>HPG + FMS đã đáp ứng ~80% nhu cầu HRC nội địa (2026F), giảm dần phụ thuộc nhập khẩu. Với bảo hộ toàn phần (AD narrow + wide HRC), HPG là người hưởng lợi chính khi chiếm ~70% thị phần HRC nội địa.</t>
        </is>
      </c>
    </row>
    <row r="71">
      <c r="A71" s="17" t="inlineStr">
        <is>
          <t>8. PHÂN BỔ NHU CẦU THÉP TOÀN CẦU THEO LĨNH VỰC</t>
        </is>
      </c>
    </row>
    <row r="72">
      <c r="A72" s="65" t="inlineStr">
        <is>
          <t>Lĩnh vực</t>
        </is>
      </c>
      <c r="B72" s="65" t="inlineStr">
        <is>
          <t>Tỷ trọng</t>
        </is>
      </c>
      <c r="C72" s="65" t="inlineStr">
        <is>
          <t>Xu hướng</t>
        </is>
      </c>
    </row>
    <row r="73">
      <c r="A73" s="25" t="inlineStr">
        <is>
          <t>Xây dựng kết cấu, tòa nhà</t>
        </is>
      </c>
      <c r="B73" s="35" t="inlineStr">
        <is>
          <t>49-50%</t>
        </is>
      </c>
      <c r="C73" s="35" t="inlineStr">
        <is>
          <t>Giảm tỷ trọng dài hạn</t>
        </is>
      </c>
    </row>
    <row r="74">
      <c r="A74" s="25" t="inlineStr">
        <is>
          <t>Kỹ thuật cơ khí</t>
        </is>
      </c>
      <c r="B74" s="35" t="inlineStr">
        <is>
          <t>16%</t>
        </is>
      </c>
      <c r="C74" s="35" t="inlineStr">
        <is>
          <t>Ổn định</t>
        </is>
      </c>
    </row>
    <row r="75">
      <c r="A75" s="25" t="inlineStr">
        <is>
          <t>Sản phẩm kim loại</t>
        </is>
      </c>
      <c r="B75" s="35" t="inlineStr">
        <is>
          <t>11%</t>
        </is>
      </c>
      <c r="C75" s="35" t="inlineStr">
        <is>
          <t>Ổn định</t>
        </is>
      </c>
    </row>
    <row r="76">
      <c r="A76" s="25" t="inlineStr">
        <is>
          <t>Ô tô</t>
        </is>
      </c>
      <c r="B76" s="35" t="inlineStr">
        <is>
          <t>8%</t>
        </is>
      </c>
      <c r="C76" s="35" t="inlineStr">
        <is>
          <t>Tăng dần (điện hóa)</t>
        </is>
      </c>
    </row>
    <row r="77">
      <c r="A77" s="25" t="inlineStr">
        <is>
          <t>Dầu khí</t>
        </is>
      </c>
      <c r="B77" s="35" t="inlineStr">
        <is>
          <t>6%</t>
        </is>
      </c>
      <c r="C77" s="35" t="inlineStr">
        <is>
          <t>Phụ thuộc giá dầu</t>
        </is>
      </c>
    </row>
    <row r="78">
      <c r="A78" s="25" t="inlineStr">
        <is>
          <t>Đóng tàu &amp; đường sắt</t>
        </is>
      </c>
      <c r="B78" s="35" t="inlineStr">
        <is>
          <t>4%</t>
        </is>
      </c>
      <c r="C78" s="35" t="inlineStr">
        <is>
          <t>Tăng nhờ logistics</t>
        </is>
      </c>
    </row>
    <row r="79">
      <c r="A79" s="25" t="inlineStr">
        <is>
          <t>Thiết bị gia dụng</t>
        </is>
      </c>
      <c r="B79" s="35" t="inlineStr">
        <is>
          <t>3%</t>
        </is>
      </c>
      <c r="C79" s="35" t="inlineStr">
        <is>
          <t>Ổn định</t>
        </is>
      </c>
    </row>
    <row r="80">
      <c r="A80" s="25" t="inlineStr">
        <is>
          <t>Quốc phòng</t>
        </is>
      </c>
      <c r="B80" s="35" t="inlineStr">
        <is>
          <t>1%</t>
        </is>
      </c>
      <c r="C80" s="35" t="inlineStr">
        <is>
          <t>Ổn định</t>
        </is>
      </c>
    </row>
    <row r="81">
      <c r="A81" s="25" t="inlineStr">
        <is>
          <t>Khác</t>
        </is>
      </c>
      <c r="B81" s="35" t="inlineStr">
        <is>
          <t>2%</t>
        </is>
      </c>
      <c r="C81" s="35" t="inlineStr">
        <is>
          <t>—</t>
        </is>
      </c>
    </row>
    <row r="83">
      <c r="A83" s="17" t="inlineStr">
        <is>
          <t>9. CƠ CẤU NHẬP KHẨU NGUYÊN LIỆU &amp; TÁI CƠ CẤU THỊ TRƯỜNG</t>
        </is>
      </c>
    </row>
    <row r="84">
      <c r="A84" s="65" t="inlineStr">
        <is>
          <t>Nguyên liệu</t>
        </is>
      </c>
      <c r="B84" s="65" t="inlineStr">
        <is>
          <t>Tỷ lệ NK</t>
        </is>
      </c>
      <c r="C84" s="65" t="inlineStr">
        <is>
          <t>Nguồn chính</t>
        </is>
      </c>
      <c r="D84" s="65" t="inlineStr">
        <is>
          <t>Rủi ro</t>
        </is>
      </c>
    </row>
    <row r="85">
      <c r="A85" s="25" t="inlineStr">
        <is>
          <t>Than cốc</t>
        </is>
      </c>
      <c r="B85" s="27" t="inlineStr">
        <is>
          <t>~90%</t>
        </is>
      </c>
      <c r="C85" s="27" t="inlineStr">
        <is>
          <t>Úc, Nga, Indonesia</t>
        </is>
      </c>
      <c r="D85" s="27" t="inlineStr">
        <is>
          <t>Địa chính trị (Úc-TQ)</t>
        </is>
      </c>
    </row>
    <row r="86">
      <c r="A86" s="25" t="inlineStr">
        <is>
          <t>Quặng sắt</t>
        </is>
      </c>
      <c r="B86" s="27" t="inlineStr">
        <is>
          <t>~52%</t>
        </is>
      </c>
      <c r="C86" s="27" t="inlineStr">
        <is>
          <t>Úc, Brazil</t>
        </is>
      </c>
      <c r="D86" s="27" t="inlineStr">
        <is>
          <t>Tập trung (Vale/BHP/Rio)</t>
        </is>
      </c>
    </row>
    <row r="87">
      <c r="A87" s="25" t="inlineStr">
        <is>
          <t>Thép phế</t>
        </is>
      </c>
      <c r="B87" s="27" t="inlineStr">
        <is>
          <t>~47%</t>
        </is>
      </c>
      <c r="C87" s="27" t="inlineStr">
        <is>
          <t>Nhật Bản, ASEAN</t>
        </is>
      </c>
      <c r="D87" s="27" t="inlineStr">
        <is>
          <t>Giá biến động</t>
        </is>
      </c>
    </row>
    <row r="89">
      <c r="A89" s="83" t="inlineStr">
        <is>
          <t>Chiến lược thị trường HPG 2025</t>
        </is>
      </c>
    </row>
    <row r="90">
      <c r="A90" s="65" t="inlineStr">
        <is>
          <t>Khu vực</t>
        </is>
      </c>
      <c r="B90" s="65" t="inlineStr">
        <is>
          <t>Tỷ trọng 2025</t>
        </is>
      </c>
      <c r="C90" s="65" t="inlineStr">
        <is>
          <t>So với 2024</t>
        </is>
      </c>
    </row>
    <row r="91">
      <c r="A91" s="64" t="inlineStr">
        <is>
          <t>Nội địa</t>
        </is>
      </c>
      <c r="B91" s="35" t="inlineStr">
        <is>
          <t>84%</t>
        </is>
      </c>
      <c r="C91" s="35" t="inlineStr">
        <is>
          <t>+38% YoY</t>
        </is>
      </c>
    </row>
    <row r="92">
      <c r="A92" s="64" t="inlineStr">
        <is>
          <t>Xuất khẩu (tổng)</t>
        </is>
      </c>
      <c r="B92" s="35" t="inlineStr">
        <is>
          <t>16%</t>
        </is>
      </c>
      <c r="C92" s="35" t="inlineStr">
        <is>
          <t>Giảm từ 31%</t>
        </is>
      </c>
    </row>
    <row r="93">
      <c r="A93" s="35" t="inlineStr">
        <is>
          <t xml:space="preserve">  - Châu Á</t>
        </is>
      </c>
      <c r="B93" s="35" t="inlineStr">
        <is>
          <t>8%</t>
        </is>
      </c>
      <c r="C93" s="35" t="inlineStr">
        <is>
          <t>-57%</t>
        </is>
      </c>
    </row>
    <row r="94">
      <c r="A94" s="35" t="inlineStr">
        <is>
          <t xml:space="preserve">  - Châu Âu</t>
        </is>
      </c>
      <c r="B94" s="35" t="inlineStr">
        <is>
          <t>4%</t>
        </is>
      </c>
      <c r="C94" s="35" t="inlineStr">
        <is>
          <t>-34%</t>
        </is>
      </c>
    </row>
    <row r="95">
      <c r="A95" s="35" t="inlineStr">
        <is>
          <t xml:space="preserve">  - Châu Mỹ</t>
        </is>
      </c>
      <c r="B95" s="35" t="inlineStr">
        <is>
          <t>3%</t>
        </is>
      </c>
      <c r="C95" s="35" t="inlineStr">
        <is>
          <t>—</t>
        </is>
      </c>
    </row>
    <row r="96">
      <c r="A96" s="35" t="inlineStr">
        <is>
          <t xml:space="preserve">  - Châu Úc</t>
        </is>
      </c>
      <c r="B96" s="35" t="inlineStr">
        <is>
          <t>1%</t>
        </is>
      </c>
      <c r="C96" s="35" t="inlineStr">
        <is>
          <t>—</t>
        </is>
      </c>
    </row>
    <row r="97">
      <c r="A97" s="35" t="inlineStr">
        <is>
          <t xml:space="preserve">  - Châu Phi</t>
        </is>
      </c>
      <c r="B97" s="35" t="inlineStr">
        <is>
          <t>0%</t>
        </is>
      </c>
      <c r="C97" s="35" t="inlineStr">
        <is>
          <t>—</t>
        </is>
      </c>
    </row>
    <row r="99">
      <c r="A99" s="17" t="inlineStr">
        <is>
          <t>10. CƠ CẤU CHI PHÍ SẢN XUẤT THÉP (BOF)</t>
        </is>
      </c>
    </row>
    <row r="100">
      <c r="A100" s="65" t="inlineStr">
        <is>
          <t>Yếu tố chi phí</t>
        </is>
      </c>
      <c r="B100" s="65" t="inlineStr">
        <is>
          <t>Tỷ trọng</t>
        </is>
      </c>
      <c r="C100" s="65" t="inlineStr">
        <is>
          <t>Ghi chú</t>
        </is>
      </c>
    </row>
    <row r="101">
      <c r="A101" s="25" t="inlineStr">
        <is>
          <t>Quặng sắt</t>
        </is>
      </c>
      <c r="B101" s="35" t="inlineStr">
        <is>
          <t>~35-40%</t>
        </is>
      </c>
      <c r="C101" s="62" t="inlineStr">
        <is>
          <t>Phụ thuộc giá 62%Fe. HPG tự chủ 50%</t>
        </is>
      </c>
    </row>
    <row r="102">
      <c r="A102" s="25" t="inlineStr">
        <is>
          <t>Than cốc</t>
        </is>
      </c>
      <c r="B102" s="35" t="inlineStr">
        <is>
          <t>~20-25%</t>
        </is>
      </c>
      <c r="C102" s="62" t="inlineStr">
        <is>
          <t>Phụ thuộc giá than Úc. DQ2 tiết kiệm 15%</t>
        </is>
      </c>
    </row>
    <row r="103">
      <c r="A103" s="25" t="inlineStr">
        <is>
          <t>Điện năng</t>
        </is>
      </c>
      <c r="B103" s="35" t="inlineStr">
        <is>
          <t>~8-10%</t>
        </is>
      </c>
      <c r="C103" s="62" t="inlineStr">
        <is>
          <t>DQ2 tiết kiệm hơn DQ1</t>
        </is>
      </c>
    </row>
    <row r="104">
      <c r="A104" s="25" t="inlineStr">
        <is>
          <t>Khấu hao</t>
        </is>
      </c>
      <c r="B104" s="35" t="inlineStr">
        <is>
          <t>~8-12%</t>
        </is>
      </c>
      <c r="C104" s="62" t="inlineStr">
        <is>
          <t>DQ2 làm tăng KH nhưng giảm/tấn</t>
        </is>
      </c>
    </row>
    <row r="105">
      <c r="A105" s="25" t="inlineStr">
        <is>
          <t>Nhân công &amp; Bảo trì</t>
        </is>
      </c>
      <c r="B105" s="35" t="inlineStr">
        <is>
          <t>~5-8%</t>
        </is>
      </c>
      <c r="C105" s="62" t="inlineStr">
        <is>
          <t>Tự động hóa cao</t>
        </is>
      </c>
    </row>
    <row r="106">
      <c r="A106" s="25" t="inlineStr">
        <is>
          <t>Logistics &amp; Khác</t>
        </is>
      </c>
      <c r="B106" s="35" t="inlineStr">
        <is>
          <t>~10-15%</t>
        </is>
      </c>
      <c r="C106" s="62" t="inlineStr">
        <is>
          <t>DQ2 cạnh cảng giảm chi phí</t>
        </is>
      </c>
    </row>
  </sheetData>
  <mergeCells count="23">
    <mergeCell ref="A99:I99"/>
    <mergeCell ref="B25:I25"/>
    <mergeCell ref="B54:I54"/>
    <mergeCell ref="A89:I89"/>
    <mergeCell ref="A56:I56"/>
    <mergeCell ref="B22:I22"/>
    <mergeCell ref="B27:I27"/>
    <mergeCell ref="A12:I12"/>
    <mergeCell ref="B21:I21"/>
    <mergeCell ref="A71:I71"/>
    <mergeCell ref="A47:I47"/>
    <mergeCell ref="A5:I5"/>
    <mergeCell ref="B23:I23"/>
    <mergeCell ref="A20:I20"/>
    <mergeCell ref="A29:I29"/>
    <mergeCell ref="A39:I39"/>
    <mergeCell ref="A83:I83"/>
    <mergeCell ref="A48:I48"/>
    <mergeCell ref="B68:I68"/>
    <mergeCell ref="B24:I24"/>
    <mergeCell ref="A1:I1"/>
    <mergeCell ref="A61:I61"/>
    <mergeCell ref="B26:I2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88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4" customWidth="1" min="5" max="5"/>
    <col width="70" customWidth="1" min="6" max="6"/>
  </cols>
  <sheetData>
    <row r="1">
      <c r="A1" s="87" t="inlineStr">
        <is>
          <t>DỮ LIỆU TÀI CHÍNH QUÝ HPG (2018-2026)</t>
        </is>
      </c>
    </row>
    <row r="3">
      <c r="A3" s="17" t="inlineStr">
        <is>
          <t>A. KẾT QUẢ KINH DOANH (tỷ VND)</t>
        </is>
      </c>
    </row>
    <row r="4">
      <c r="A4" s="65" t="inlineStr"/>
      <c r="B4" s="88" t="inlineStr">
        <is>
          <t>Q1/2018</t>
        </is>
      </c>
      <c r="C4" s="88" t="inlineStr">
        <is>
          <t>Q2/2018</t>
        </is>
      </c>
      <c r="D4" s="88" t="inlineStr">
        <is>
          <t>Q3/2018</t>
        </is>
      </c>
      <c r="E4" s="88" t="inlineStr">
        <is>
          <t>Q4/2018</t>
        </is>
      </c>
      <c r="F4" s="88" t="inlineStr">
        <is>
          <t>Q1/2019</t>
        </is>
      </c>
      <c r="G4" s="88" t="inlineStr">
        <is>
          <t>Q2/2019</t>
        </is>
      </c>
      <c r="H4" s="88" t="inlineStr">
        <is>
          <t>Q3/2019</t>
        </is>
      </c>
      <c r="I4" s="88" t="inlineStr">
        <is>
          <t>Q4/2019</t>
        </is>
      </c>
      <c r="J4" s="88" t="inlineStr">
        <is>
          <t>Q1/2020</t>
        </is>
      </c>
      <c r="K4" s="88" t="inlineStr">
        <is>
          <t>Q2/2020</t>
        </is>
      </c>
      <c r="L4" s="88" t="inlineStr">
        <is>
          <t>Q3/2020</t>
        </is>
      </c>
      <c r="M4" s="88" t="inlineStr">
        <is>
          <t>Q4/2020</t>
        </is>
      </c>
      <c r="N4" s="88" t="inlineStr">
        <is>
          <t>Q1/2021</t>
        </is>
      </c>
      <c r="O4" s="88" t="inlineStr">
        <is>
          <t>Q2/2021</t>
        </is>
      </c>
      <c r="P4" s="88" t="inlineStr">
        <is>
          <t>Q3/2021</t>
        </is>
      </c>
      <c r="Q4" s="88" t="inlineStr">
        <is>
          <t>Q4/2021</t>
        </is>
      </c>
      <c r="R4" s="88" t="inlineStr">
        <is>
          <t>Q1/2022</t>
        </is>
      </c>
      <c r="S4" s="88" t="inlineStr">
        <is>
          <t>Q2/2022</t>
        </is>
      </c>
      <c r="T4" s="88" t="inlineStr">
        <is>
          <t>Q3/2022</t>
        </is>
      </c>
      <c r="U4" s="88" t="inlineStr">
        <is>
          <t>Q4/2022</t>
        </is>
      </c>
      <c r="V4" s="88" t="inlineStr">
        <is>
          <t>Q1/2023</t>
        </is>
      </c>
      <c r="W4" s="88" t="inlineStr">
        <is>
          <t>Q2/2023</t>
        </is>
      </c>
      <c r="X4" s="88" t="inlineStr">
        <is>
          <t>Q3/2023</t>
        </is>
      </c>
      <c r="Y4" s="88" t="inlineStr">
        <is>
          <t>Q4/2023</t>
        </is>
      </c>
      <c r="Z4" s="88" t="inlineStr">
        <is>
          <t>Q1/2024</t>
        </is>
      </c>
      <c r="AA4" s="88" t="inlineStr">
        <is>
          <t>Q2/2024</t>
        </is>
      </c>
      <c r="AB4" s="88" t="inlineStr">
        <is>
          <t>Q3/2024</t>
        </is>
      </c>
      <c r="AC4" s="88" t="inlineStr">
        <is>
          <t>Q4/2024</t>
        </is>
      </c>
      <c r="AD4" s="88" t="inlineStr">
        <is>
          <t>Q1/2025</t>
        </is>
      </c>
      <c r="AE4" s="88" t="inlineStr">
        <is>
          <t>Q2/2025</t>
        </is>
      </c>
      <c r="AF4" s="88" t="inlineStr">
        <is>
          <t>Q3/2025</t>
        </is>
      </c>
      <c r="AG4" s="88" t="inlineStr">
        <is>
          <t>Q4/2025</t>
        </is>
      </c>
      <c r="AH4" s="88" t="inlineStr">
        <is>
          <t>Q1/2026</t>
        </is>
      </c>
    </row>
    <row r="5">
      <c r="A5" s="25" t="inlineStr">
        <is>
          <t>Doanh thu thuần</t>
        </is>
      </c>
      <c r="B5" s="39" t="n">
        <v>13000.963421238</v>
      </c>
      <c r="C5" s="39" t="n">
        <v>14260.938100551</v>
      </c>
      <c r="D5" s="39" t="n">
        <v>14188.346126413</v>
      </c>
      <c r="E5" s="39" t="n">
        <v>14386.210731557</v>
      </c>
      <c r="F5" s="39" t="n">
        <v>14963.250507448</v>
      </c>
      <c r="G5" s="39" t="n">
        <v>15632.607596348</v>
      </c>
      <c r="H5" s="39" t="n">
        <v>15087.031400142</v>
      </c>
      <c r="I5" s="39" t="n">
        <v>17975.302675853</v>
      </c>
      <c r="J5" s="39" t="n">
        <v>19232.707946043</v>
      </c>
      <c r="K5" s="39" t="n">
        <v>20422.201946373</v>
      </c>
      <c r="L5" s="39" t="n">
        <v>24685.562425834</v>
      </c>
      <c r="M5" s="39" t="n">
        <v>25778.071108467</v>
      </c>
      <c r="N5" s="39" t="n">
        <v>31176.87468762</v>
      </c>
      <c r="O5" s="39" t="n">
        <v>35118.355099565</v>
      </c>
      <c r="P5" s="39" t="n">
        <v>38673.828690685</v>
      </c>
      <c r="Q5" s="39" t="n">
        <v>44710.731501475</v>
      </c>
      <c r="R5" s="39" t="n">
        <v>44058.146671026</v>
      </c>
      <c r="S5" s="39" t="n">
        <v>37422.054617017</v>
      </c>
      <c r="T5" s="39" t="n">
        <v>34103.341328754</v>
      </c>
      <c r="U5" s="39" t="n">
        <v>25825.731843835</v>
      </c>
      <c r="V5" s="39" t="n">
        <v>26588.751786987</v>
      </c>
      <c r="W5" s="39" t="n">
        <v>29496.383378315</v>
      </c>
      <c r="X5" s="39" t="n">
        <v>28484.087800597</v>
      </c>
      <c r="Y5" s="39" t="n">
        <v>34383.804927755</v>
      </c>
      <c r="Z5" s="39" t="n">
        <v>30852.359591717</v>
      </c>
      <c r="AA5" s="39" t="n">
        <v>39555.509827454</v>
      </c>
      <c r="AB5" s="39" t="n">
        <v>33956.260285527</v>
      </c>
      <c r="AC5" s="39" t="n">
        <v>34490.982426689</v>
      </c>
      <c r="AD5" s="39" t="n">
        <v>37621.674553578</v>
      </c>
      <c r="AE5" s="39" t="n">
        <v>35910.519111209</v>
      </c>
      <c r="AF5" s="39" t="n">
        <v>36407.416403924</v>
      </c>
      <c r="AG5" s="39" t="n">
        <v>46176.484549771</v>
      </c>
      <c r="AH5" s="39" t="n">
        <v>52900.847302653</v>
      </c>
    </row>
    <row r="6">
      <c r="A6" s="25" t="inlineStr">
        <is>
          <t>Giá vốn hàng bán</t>
        </is>
      </c>
      <c r="B6" s="39" t="n">
        <v>10035.454240162</v>
      </c>
      <c r="C6" s="39" t="n">
        <v>11379.662995694</v>
      </c>
      <c r="D6" s="39" t="n">
        <v>10925.130035885</v>
      </c>
      <c r="E6" s="39" t="n">
        <v>11825.378876944</v>
      </c>
      <c r="F6" s="39" t="n">
        <v>12342.336489604</v>
      </c>
      <c r="G6" s="39" t="n">
        <v>12605.803622544</v>
      </c>
      <c r="H6" s="39" t="n">
        <v>12385.057811865</v>
      </c>
      <c r="I6" s="39" t="n">
        <v>15139.622033638</v>
      </c>
      <c r="J6" s="39" t="n">
        <v>15469.649574389</v>
      </c>
      <c r="K6" s="39" t="n">
        <v>16716.699660689</v>
      </c>
      <c r="L6" s="39" t="n">
        <v>19516.497107892</v>
      </c>
      <c r="M6" s="39" t="n">
        <v>19510.833657232</v>
      </c>
      <c r="N6" s="39" t="n">
        <v>22993.832748581</v>
      </c>
      <c r="O6" s="39" t="n">
        <v>23641.296035968</v>
      </c>
      <c r="P6" s="39" t="n">
        <v>26812.929844272</v>
      </c>
      <c r="Q6" s="39" t="n">
        <v>35123.321817532</v>
      </c>
      <c r="R6" s="39" t="n">
        <v>33949.820289803</v>
      </c>
      <c r="S6" s="39" t="n">
        <v>30882.43236994</v>
      </c>
      <c r="T6" s="39" t="n">
        <v>33102.613774299</v>
      </c>
      <c r="U6" s="39" t="n">
        <v>26710.981787039</v>
      </c>
      <c r="V6" s="39" t="n">
        <v>24912.314686658</v>
      </c>
      <c r="W6" s="39" t="n">
        <v>26301.396413465</v>
      </c>
      <c r="X6" s="39" t="n">
        <v>24889.281213593</v>
      </c>
      <c r="Y6" s="39" t="n">
        <v>29912.194884366</v>
      </c>
      <c r="Z6" s="39" t="n">
        <v>26698.37663112</v>
      </c>
      <c r="AA6" s="39" t="n">
        <v>34308.029337809</v>
      </c>
      <c r="AB6" s="39" t="n">
        <v>29225.083561286</v>
      </c>
      <c r="AC6" s="39" t="n">
        <v>30126.073473488</v>
      </c>
      <c r="AD6" s="39" t="n">
        <v>32197.520628446</v>
      </c>
      <c r="AE6" s="39" t="n">
        <v>29320.7966255</v>
      </c>
      <c r="AF6" s="39" t="n">
        <v>30320.155128758</v>
      </c>
      <c r="AG6" s="39" t="n">
        <v>39779.834052596</v>
      </c>
      <c r="AH6" s="39" t="n">
        <v>44535.778694658</v>
      </c>
    </row>
    <row r="7">
      <c r="A7" s="25" t="inlineStr">
        <is>
          <t>Lợi nhuận gộp</t>
        </is>
      </c>
      <c r="B7" s="39" t="n">
        <v>2965.509181076</v>
      </c>
      <c r="C7" s="39" t="n">
        <v>2881.275104857</v>
      </c>
      <c r="D7" s="39" t="n">
        <v>3263.216090528</v>
      </c>
      <c r="E7" s="39" t="n">
        <v>2560.831854613</v>
      </c>
      <c r="F7" s="39" t="n">
        <v>2620.914017844</v>
      </c>
      <c r="G7" s="39" t="n">
        <v>3026.803973804</v>
      </c>
      <c r="H7" s="39" t="n">
        <v>2701.973588277</v>
      </c>
      <c r="I7" s="39" t="n">
        <v>2835.680642215</v>
      </c>
      <c r="J7" s="39" t="n">
        <v>3763.058371654</v>
      </c>
      <c r="K7" s="39" t="n">
        <v>3705.502285684</v>
      </c>
      <c r="L7" s="39" t="n">
        <v>5169.065317942</v>
      </c>
      <c r="M7" s="39" t="n">
        <v>6267.237451235</v>
      </c>
      <c r="N7" s="39" t="n">
        <v>8183.041939039</v>
      </c>
      <c r="O7" s="39" t="n">
        <v>11477.059063597</v>
      </c>
      <c r="P7" s="39" t="n">
        <v>11860.898846413</v>
      </c>
      <c r="Q7" s="39" t="n">
        <v>9587.409683943</v>
      </c>
      <c r="R7" s="39" t="n">
        <v>10108.326381223</v>
      </c>
      <c r="S7" s="39" t="n">
        <v>6539.622247077</v>
      </c>
      <c r="T7" s="39" t="n">
        <v>1000.727554455</v>
      </c>
      <c r="U7" s="39" t="n">
        <v>-885.249943204</v>
      </c>
      <c r="V7" s="39" t="n">
        <v>1676.437100329</v>
      </c>
      <c r="W7" s="39" t="n">
        <v>3194.98696485</v>
      </c>
      <c r="X7" s="39" t="n">
        <v>3594.806587004</v>
      </c>
      <c r="Y7" s="39" t="n">
        <v>4471.610043389</v>
      </c>
      <c r="Z7" s="39" t="n">
        <v>4153.982960597</v>
      </c>
      <c r="AA7" s="39" t="n">
        <v>5247.480489645</v>
      </c>
      <c r="AB7" s="39" t="n">
        <v>4731.176724241</v>
      </c>
      <c r="AC7" s="39" t="n">
        <v>4364.908953201</v>
      </c>
      <c r="AD7" s="39" t="n">
        <v>5424.153925132</v>
      </c>
      <c r="AE7" s="39" t="n">
        <v>6589.722485709</v>
      </c>
      <c r="AF7" s="39" t="n">
        <v>6087.261275166</v>
      </c>
      <c r="AG7" s="39" t="n">
        <v>6396.650497175</v>
      </c>
      <c r="AH7" s="39" t="n">
        <v>8365.068607994999</v>
      </c>
    </row>
    <row r="8">
      <c r="A8" s="25" t="inlineStr">
        <is>
          <t>Biên LNG %</t>
        </is>
      </c>
      <c r="B8" s="19" t="n">
        <v>22.8</v>
      </c>
      <c r="C8" s="19" t="n">
        <v>20.2</v>
      </c>
      <c r="D8" s="19" t="n">
        <v>23</v>
      </c>
      <c r="E8" s="19" t="n">
        <v>17.8</v>
      </c>
      <c r="F8" s="19" t="n">
        <v>17.5</v>
      </c>
      <c r="G8" s="19" t="n">
        <v>19.4</v>
      </c>
      <c r="H8" s="19" t="n">
        <v>17.9</v>
      </c>
      <c r="I8" s="19" t="n">
        <v>15.8</v>
      </c>
      <c r="J8" s="19" t="n">
        <v>19.6</v>
      </c>
      <c r="K8" s="19" t="n">
        <v>18.1</v>
      </c>
      <c r="L8" s="19" t="n">
        <v>20.9</v>
      </c>
      <c r="M8" s="19" t="n">
        <v>24.3</v>
      </c>
      <c r="N8" s="19" t="n">
        <v>26.2</v>
      </c>
      <c r="O8" s="19" t="n">
        <v>32.7</v>
      </c>
      <c r="P8" s="19" t="n">
        <v>30.7</v>
      </c>
      <c r="Q8" s="19" t="n">
        <v>21.4</v>
      </c>
      <c r="R8" s="19" t="n">
        <v>22.9</v>
      </c>
      <c r="S8" s="19" t="n">
        <v>17.5</v>
      </c>
      <c r="T8" s="19" t="n">
        <v>2.9</v>
      </c>
      <c r="U8" s="19" t="n">
        <v>-3.4</v>
      </c>
      <c r="V8" s="19" t="n">
        <v>6.3</v>
      </c>
      <c r="W8" s="19" t="n">
        <v>10.8</v>
      </c>
      <c r="X8" s="19" t="n">
        <v>12.6</v>
      </c>
      <c r="Y8" s="19" t="n">
        <v>13</v>
      </c>
      <c r="Z8" s="19" t="n">
        <v>13.5</v>
      </c>
      <c r="AA8" s="19" t="n">
        <v>13.3</v>
      </c>
      <c r="AB8" s="19" t="n">
        <v>13.9</v>
      </c>
      <c r="AC8" s="19" t="n">
        <v>12.7</v>
      </c>
      <c r="AD8" s="19" t="n">
        <v>14.4</v>
      </c>
      <c r="AE8" s="19" t="n">
        <v>18.4</v>
      </c>
      <c r="AF8" s="19" t="n">
        <v>16.7</v>
      </c>
      <c r="AG8" s="19" t="n">
        <v>13.9</v>
      </c>
      <c r="AH8" s="19" t="n">
        <v>15.8</v>
      </c>
    </row>
    <row r="9">
      <c r="A9" s="25" t="inlineStr">
        <is>
          <t>CP BH &amp; QLDN</t>
        </is>
      </c>
      <c r="B9" s="39" t="n">
        <v>258.365416736</v>
      </c>
      <c r="C9" s="39" t="n">
        <v>220.867008971</v>
      </c>
      <c r="D9" s="39" t="n">
        <v>240.26421815</v>
      </c>
      <c r="E9" s="39" t="n">
        <v>401.340763257</v>
      </c>
      <c r="F9" s="39" t="n">
        <v>314.236942102</v>
      </c>
      <c r="G9" s="39" t="n">
        <v>375.296070999</v>
      </c>
      <c r="H9" s="39" t="n">
        <v>376.993960232</v>
      </c>
      <c r="I9" s="39" t="n">
        <v>375.810197177</v>
      </c>
      <c r="J9" s="39" t="n">
        <v>411.083465828</v>
      </c>
      <c r="K9" s="39" t="n">
        <v>414.554291316</v>
      </c>
      <c r="L9" s="39" t="n">
        <v>461.75923488</v>
      </c>
      <c r="M9" s="39" t="n">
        <v>497.385894075</v>
      </c>
      <c r="N9" s="39" t="n">
        <v>620.552938817</v>
      </c>
      <c r="O9" s="39" t="n">
        <v>784.829962346</v>
      </c>
      <c r="P9" s="39" t="n">
        <v>818.70732759</v>
      </c>
      <c r="Q9" s="39" t="n">
        <v>1220.239543154</v>
      </c>
      <c r="R9" s="39" t="n">
        <v>840.560533727</v>
      </c>
      <c r="S9" s="39" t="n">
        <v>856.328267125</v>
      </c>
      <c r="T9" s="39" t="n">
        <v>929.405654719</v>
      </c>
      <c r="U9" s="39" t="n">
        <v>1058.955911178</v>
      </c>
      <c r="V9" s="39" t="n">
        <v>757.484851618</v>
      </c>
      <c r="W9" s="39" t="n">
        <v>871.427195104</v>
      </c>
      <c r="X9" s="39" t="n">
        <v>878.8478830280001</v>
      </c>
      <c r="Y9" s="39" t="n">
        <v>760.8925370750001</v>
      </c>
      <c r="Z9" s="39" t="n">
        <v>957.657285921</v>
      </c>
      <c r="AA9" s="39" t="n">
        <v>1135.927546485</v>
      </c>
      <c r="AB9" s="39" t="n">
        <v>1041.70973342</v>
      </c>
      <c r="AC9" s="39" t="n">
        <v>747.53014221</v>
      </c>
      <c r="AD9" s="39" t="n">
        <v>1085.059513672</v>
      </c>
      <c r="AE9" s="39" t="n">
        <v>1147.657780797</v>
      </c>
      <c r="AF9" s="39" t="n">
        <v>1154.929297315</v>
      </c>
      <c r="AG9" s="39" t="n">
        <v>682.521477613</v>
      </c>
      <c r="AH9" s="39" t="n">
        <v>1730.870903704</v>
      </c>
    </row>
    <row r="10">
      <c r="A10" s="25" t="inlineStr">
        <is>
          <t>LN từ HĐKD</t>
        </is>
      </c>
      <c r="B10" s="39" t="n">
        <v>2598.713187211</v>
      </c>
      <c r="C10" s="39" t="n">
        <v>2580.573810686</v>
      </c>
      <c r="D10" s="39" t="n">
        <v>2868.592105365</v>
      </c>
      <c r="E10" s="39" t="n">
        <v>2024.206829538</v>
      </c>
      <c r="F10" s="39" t="n">
        <v>2157.706122746</v>
      </c>
      <c r="G10" s="39" t="n">
        <v>2469.554025253</v>
      </c>
      <c r="H10" s="39" t="n">
        <v>2135.01322714</v>
      </c>
      <c r="I10" s="39" t="n">
        <v>2268.708350442</v>
      </c>
      <c r="J10" s="39" t="n">
        <v>2635.683845405</v>
      </c>
      <c r="K10" s="39" t="n">
        <v>3081.032846691</v>
      </c>
      <c r="L10" s="39" t="n">
        <v>4240.988207081</v>
      </c>
      <c r="M10" s="39" t="n">
        <v>5331.723244982</v>
      </c>
      <c r="N10" s="39" t="n">
        <v>7683.33675089</v>
      </c>
      <c r="O10" s="39" t="n">
        <v>10323.744211031</v>
      </c>
      <c r="P10" s="39" t="n">
        <v>10961.07584818</v>
      </c>
      <c r="Q10" s="39" t="n">
        <v>8040.286636164</v>
      </c>
      <c r="R10" s="39" t="n">
        <v>8924.403779643</v>
      </c>
      <c r="S10" s="39" t="n">
        <v>4312.596514808</v>
      </c>
      <c r="T10" s="39" t="n">
        <v>-1351.520454161</v>
      </c>
      <c r="U10" s="39" t="n">
        <v>-2091.449212982</v>
      </c>
      <c r="V10" s="39" t="n">
        <v>491.893455391</v>
      </c>
      <c r="W10" s="39" t="n">
        <v>1715.017002029</v>
      </c>
      <c r="X10" s="39" t="n">
        <v>2128.204982925</v>
      </c>
      <c r="Y10" s="39" t="n">
        <v>3315.647348962</v>
      </c>
      <c r="Z10" s="39" t="n">
        <v>2887.667766458</v>
      </c>
      <c r="AA10" s="39" t="n">
        <v>3691.521124284</v>
      </c>
      <c r="AB10" s="39" t="n">
        <v>3385.017591478</v>
      </c>
      <c r="AC10" s="39" t="n">
        <v>3302.79910311</v>
      </c>
      <c r="AD10" s="39" t="n">
        <v>3806.582011002</v>
      </c>
      <c r="AE10" s="39" t="n">
        <v>4960.78633219</v>
      </c>
      <c r="AF10" s="39" t="n">
        <v>4571.024716176</v>
      </c>
      <c r="AG10" s="39" t="n">
        <v>4567.440888267</v>
      </c>
      <c r="AH10" s="39" t="n">
        <v>10704.033503572</v>
      </c>
    </row>
    <row r="11">
      <c r="A11" s="25" t="inlineStr">
        <is>
          <t>Doanh thu TC</t>
        </is>
      </c>
      <c r="B11" s="39" t="n">
        <v>63.318173965</v>
      </c>
      <c r="C11" s="39" t="n">
        <v>79.415973001</v>
      </c>
      <c r="D11" s="39" t="n">
        <v>79.985465695</v>
      </c>
      <c r="E11" s="39" t="n">
        <v>71.68865808</v>
      </c>
      <c r="F11" s="39" t="n">
        <v>91.85856753100001</v>
      </c>
      <c r="G11" s="39" t="n">
        <v>118.366315936</v>
      </c>
      <c r="H11" s="39" t="n">
        <v>138.550988697</v>
      </c>
      <c r="I11" s="39" t="n">
        <v>122.443551198</v>
      </c>
      <c r="J11" s="39" t="n">
        <v>108.979890041</v>
      </c>
      <c r="K11" s="39" t="n">
        <v>314.916264858</v>
      </c>
      <c r="L11" s="39" t="n">
        <v>247.689080794</v>
      </c>
      <c r="M11" s="39" t="n">
        <v>355.499934411</v>
      </c>
      <c r="N11" s="39" t="n">
        <v>898.307295649</v>
      </c>
      <c r="O11" s="39" t="n">
        <v>446.309785935</v>
      </c>
      <c r="P11" s="39" t="n">
        <v>879.4141393</v>
      </c>
      <c r="Q11" s="39" t="n">
        <v>856.740188535</v>
      </c>
      <c r="R11" s="39" t="n">
        <v>768.925488108</v>
      </c>
      <c r="S11" s="39" t="n">
        <v>661.960999623</v>
      </c>
      <c r="T11" s="39" t="n">
        <v>886.166660043</v>
      </c>
      <c r="U11" s="39" t="n">
        <v>1540.966414075</v>
      </c>
      <c r="V11" s="39" t="n">
        <v>903.451916285</v>
      </c>
      <c r="W11" s="39" t="n">
        <v>732.9420785250001</v>
      </c>
      <c r="X11" s="39" t="n">
        <v>850.624544181</v>
      </c>
      <c r="Y11" s="39" t="n">
        <v>732.316277875</v>
      </c>
      <c r="Z11" s="39" t="n">
        <v>751.955374195</v>
      </c>
      <c r="AA11" s="39" t="n">
        <v>645.06009653</v>
      </c>
      <c r="AB11" s="39" t="n">
        <v>528.453174917</v>
      </c>
      <c r="AC11" s="39" t="n">
        <v>700.560102056</v>
      </c>
      <c r="AD11" s="39" t="n">
        <v>438.05724054</v>
      </c>
      <c r="AE11" s="39" t="n">
        <v>498.183728007</v>
      </c>
      <c r="AF11" s="39" t="n">
        <v>711.903358963</v>
      </c>
      <c r="AG11" s="39" t="n">
        <v>437.280867832</v>
      </c>
      <c r="AH11" s="39" t="n">
        <v>5938.347436208</v>
      </c>
    </row>
    <row r="12">
      <c r="A12" s="25" t="inlineStr">
        <is>
          <t>Chi phí TC</t>
        </is>
      </c>
      <c r="B12" s="39" t="n">
        <v>171.748751094</v>
      </c>
      <c r="C12" s="39" t="n">
        <v>159.250258201</v>
      </c>
      <c r="D12" s="39" t="n">
        <v>234.345232708</v>
      </c>
      <c r="E12" s="39" t="n">
        <v>206.972919898</v>
      </c>
      <c r="F12" s="39" t="n">
        <v>240.829520527</v>
      </c>
      <c r="G12" s="39" t="n">
        <v>300.320193488</v>
      </c>
      <c r="H12" s="39" t="n">
        <v>328.517389602</v>
      </c>
      <c r="I12" s="39" t="n">
        <v>312.174332179</v>
      </c>
      <c r="J12" s="39" t="n">
        <v>823.1136734839999</v>
      </c>
      <c r="K12" s="39" t="n">
        <v>541.177322424</v>
      </c>
      <c r="L12" s="39" t="n">
        <v>708.511948435</v>
      </c>
      <c r="M12" s="39" t="n">
        <v>786.899253782</v>
      </c>
      <c r="N12" s="39" t="n">
        <v>767.768026036</v>
      </c>
      <c r="O12" s="39" t="n">
        <v>821.220734774</v>
      </c>
      <c r="P12" s="39" t="n">
        <v>968.278197988</v>
      </c>
      <c r="Q12" s="39" t="n">
        <v>1183.606068306</v>
      </c>
      <c r="R12" s="39" t="n">
        <v>1111.142568904</v>
      </c>
      <c r="S12" s="39" t="n">
        <v>2032.73078424</v>
      </c>
      <c r="T12" s="39" t="n">
        <v>2309.00901394</v>
      </c>
      <c r="U12" s="39" t="n">
        <v>1688.209772675</v>
      </c>
      <c r="V12" s="39" t="n">
        <v>1330.510709605</v>
      </c>
      <c r="W12" s="39" t="n">
        <v>1341.484846242</v>
      </c>
      <c r="X12" s="39" t="n">
        <v>1438.378265232</v>
      </c>
      <c r="Y12" s="39" t="n">
        <v>1127.386435227</v>
      </c>
      <c r="Z12" s="39" t="n">
        <v>1060.613282413</v>
      </c>
      <c r="AA12" s="39" t="n">
        <v>1065.091915406</v>
      </c>
      <c r="AB12" s="39" t="n">
        <v>832.9025742600001</v>
      </c>
      <c r="AC12" s="39" t="n">
        <v>1015.139809937</v>
      </c>
      <c r="AD12" s="39" t="n">
        <v>970.569640998</v>
      </c>
      <c r="AE12" s="39" t="n">
        <v>979.462100729</v>
      </c>
      <c r="AF12" s="39" t="n">
        <v>1073.210620638</v>
      </c>
      <c r="AG12" s="39" t="n">
        <v>1583.968999127</v>
      </c>
      <c r="AH12" s="39" t="n">
        <v>1868.827249709</v>
      </c>
    </row>
    <row r="13">
      <c r="A13" s="25" t="inlineStr">
        <is>
          <t>LNTT</t>
        </is>
      </c>
      <c r="B13" s="39" t="n">
        <v>2608.439205997</v>
      </c>
      <c r="C13" s="39" t="n">
        <v>2577.218001099</v>
      </c>
      <c r="D13" s="39" t="n">
        <v>2848.086063843</v>
      </c>
      <c r="E13" s="39" t="n">
        <v>2037.329601363</v>
      </c>
      <c r="F13" s="39" t="n">
        <v>2170.940228673</v>
      </c>
      <c r="G13" s="39" t="n">
        <v>2479.81259259</v>
      </c>
      <c r="H13" s="39" t="n">
        <v>2160.914730482</v>
      </c>
      <c r="I13" s="39" t="n">
        <v>2284.996658014</v>
      </c>
      <c r="J13" s="39" t="n">
        <v>2657.091220016</v>
      </c>
      <c r="K13" s="39" t="n">
        <v>3095.721382125</v>
      </c>
      <c r="L13" s="39" t="n">
        <v>4271.871636028</v>
      </c>
      <c r="M13" s="39" t="n">
        <v>5330.249297734</v>
      </c>
      <c r="N13" s="39" t="n">
        <v>7690.213194491</v>
      </c>
      <c r="O13" s="39" t="n">
        <v>10349.452188126</v>
      </c>
      <c r="P13" s="39" t="n">
        <v>10978.756069697</v>
      </c>
      <c r="Q13" s="39" t="n">
        <v>8038.356261876</v>
      </c>
      <c r="R13" s="39" t="n">
        <v>8922.103855907</v>
      </c>
      <c r="S13" s="39" t="n">
        <v>4379.340489328</v>
      </c>
      <c r="T13" s="39" t="n">
        <v>-1299.955296196</v>
      </c>
      <c r="U13" s="39" t="n">
        <v>-2078.547921756</v>
      </c>
      <c r="V13" s="39" t="n">
        <v>532.042789767</v>
      </c>
      <c r="W13" s="39" t="n">
        <v>1701.886953766</v>
      </c>
      <c r="X13" s="39" t="n">
        <v>2174.230121892</v>
      </c>
      <c r="Y13" s="39" t="n">
        <v>3384.568877748</v>
      </c>
      <c r="Z13" s="39" t="n">
        <v>3261.215356873</v>
      </c>
      <c r="AA13" s="39" t="n">
        <v>3733.225669765</v>
      </c>
      <c r="AB13" s="39" t="n">
        <v>3412.385133844</v>
      </c>
      <c r="AC13" s="39" t="n">
        <v>3286.676100696</v>
      </c>
      <c r="AD13" s="39" t="n">
        <v>3839.76534902</v>
      </c>
      <c r="AE13" s="39" t="n">
        <v>4972.383493663</v>
      </c>
      <c r="AF13" s="39" t="n">
        <v>4628.313172434</v>
      </c>
      <c r="AG13" s="39" t="n">
        <v>4600.129962763</v>
      </c>
      <c r="AH13" s="39" t="n">
        <v>10762.183839545</v>
      </c>
    </row>
    <row r="14">
      <c r="A14" s="25" t="inlineStr">
        <is>
          <t>LNST</t>
        </is>
      </c>
      <c r="B14" s="39" t="n">
        <v>2222.755598067</v>
      </c>
      <c r="C14" s="39" t="n">
        <v>2202.372244496</v>
      </c>
      <c r="D14" s="39" t="n">
        <v>2408.422616117</v>
      </c>
      <c r="E14" s="39" t="n">
        <v>1767.000247547</v>
      </c>
      <c r="F14" s="39" t="n">
        <v>1810.449789804</v>
      </c>
      <c r="G14" s="39" t="n">
        <v>2050.01565177</v>
      </c>
      <c r="H14" s="39" t="n">
        <v>1794.412965036</v>
      </c>
      <c r="I14" s="39" t="n">
        <v>1923.371910902</v>
      </c>
      <c r="J14" s="39" t="n">
        <v>2304.760580048</v>
      </c>
      <c r="K14" s="39" t="n">
        <v>2755.561747796</v>
      </c>
      <c r="L14" s="39" t="n">
        <v>3785.122748321</v>
      </c>
      <c r="M14" s="39" t="n">
        <v>4660.721480549</v>
      </c>
      <c r="N14" s="39" t="n">
        <v>7005.559045968</v>
      </c>
      <c r="O14" s="39" t="n">
        <v>9745.151422187</v>
      </c>
      <c r="P14" s="39" t="n">
        <v>10350.844197184</v>
      </c>
      <c r="Q14" s="39" t="n">
        <v>7419.400265959</v>
      </c>
      <c r="R14" s="39" t="n">
        <v>8206.330356823</v>
      </c>
      <c r="S14" s="39" t="n">
        <v>4022.573379866</v>
      </c>
      <c r="T14" s="39" t="n">
        <v>-1785.707380039</v>
      </c>
      <c r="U14" s="39" t="n">
        <v>-1998.767302135</v>
      </c>
      <c r="V14" s="39" t="n">
        <v>383.229608071</v>
      </c>
      <c r="W14" s="39" t="n">
        <v>1447.824839793</v>
      </c>
      <c r="X14" s="39" t="n">
        <v>2000.363084332</v>
      </c>
      <c r="Y14" s="39" t="n">
        <v>2968.970782885</v>
      </c>
      <c r="Z14" s="39" t="n">
        <v>2869.182602472</v>
      </c>
      <c r="AA14" s="39" t="n">
        <v>3319.574718545</v>
      </c>
      <c r="AB14" s="39" t="n">
        <v>3021.671984903</v>
      </c>
      <c r="AC14" s="39" t="n">
        <v>2809.594315351</v>
      </c>
      <c r="AD14" s="39" t="n">
        <v>3349.805416084</v>
      </c>
      <c r="AE14" s="39" t="n">
        <v>4264.524105532</v>
      </c>
      <c r="AF14" s="39" t="n">
        <v>4012.252316723</v>
      </c>
      <c r="AG14" s="39" t="n">
        <v>3888.349733267</v>
      </c>
      <c r="AH14" s="39" t="n">
        <v>9055.918200022999</v>
      </c>
    </row>
    <row r="15">
      <c r="A15" s="25" t="inlineStr">
        <is>
          <t>LNST CĐCTM</t>
        </is>
      </c>
      <c r="B15" s="39" t="n">
        <v>2211.253974571</v>
      </c>
      <c r="C15" s="39" t="n">
        <v>2195.586926064</v>
      </c>
      <c r="D15" s="39" t="n">
        <v>2401.952451707</v>
      </c>
      <c r="E15" s="39" t="n">
        <v>1764.2207463</v>
      </c>
      <c r="F15" s="39" t="n">
        <v>1800.79424245</v>
      </c>
      <c r="G15" s="39" t="n">
        <v>2035.194136815</v>
      </c>
      <c r="H15" s="39" t="n">
        <v>1754.755716941</v>
      </c>
      <c r="I15" s="39" t="n">
        <v>1917.005836995</v>
      </c>
      <c r="J15" s="39" t="n">
        <v>2285.286919162</v>
      </c>
      <c r="K15" s="39" t="n">
        <v>2742.826923551</v>
      </c>
      <c r="L15" s="39" t="n">
        <v>3772.707270949</v>
      </c>
      <c r="M15" s="39" t="n">
        <v>4637.854585297</v>
      </c>
      <c r="N15" s="39" t="n">
        <v>6977.554343152</v>
      </c>
      <c r="O15" s="39" t="n">
        <v>9721.406525008</v>
      </c>
      <c r="P15" s="39" t="n">
        <v>10351.739079315</v>
      </c>
      <c r="Q15" s="39" t="n">
        <v>7427.443249985</v>
      </c>
      <c r="R15" s="39" t="n">
        <v>8216.96035773</v>
      </c>
      <c r="S15" s="39" t="n">
        <v>4032.23231102</v>
      </c>
      <c r="T15" s="39" t="n">
        <v>-1774.133616408</v>
      </c>
      <c r="U15" s="39" t="n">
        <v>-1991.548498312</v>
      </c>
      <c r="V15" s="39" t="n">
        <v>397.497275202</v>
      </c>
      <c r="W15" s="39" t="n">
        <v>1460.042613098</v>
      </c>
      <c r="X15" s="39" t="n">
        <v>2004.745086782</v>
      </c>
      <c r="Y15" s="39" t="n">
        <v>2972.779359274</v>
      </c>
      <c r="Z15" s="39" t="n">
        <v>2870.588692991</v>
      </c>
      <c r="AA15" s="39" t="n">
        <v>3319.263141862</v>
      </c>
      <c r="AB15" s="39" t="n">
        <v>3022.94663205</v>
      </c>
      <c r="AC15" s="39" t="n">
        <v>2808.645369171</v>
      </c>
      <c r="AD15" s="39" t="n">
        <v>3344.284694388</v>
      </c>
      <c r="AE15" s="39" t="n">
        <v>4256.487211764</v>
      </c>
      <c r="AF15" s="39" t="n">
        <v>3988.318474539</v>
      </c>
      <c r="AG15" s="39" t="n">
        <v>3864.083625532</v>
      </c>
      <c r="AH15" s="39" t="n">
        <v>8994.003244142001</v>
      </c>
    </row>
    <row r="17">
      <c r="A17" s="17" t="inlineStr">
        <is>
          <t>B. BẢNG CÂN ĐỐI KẾ TOÁN (tỷ VND)</t>
        </is>
      </c>
    </row>
    <row r="18">
      <c r="A18" s="65" t="inlineStr"/>
      <c r="B18" s="88" t="inlineStr">
        <is>
          <t>Q1/2018</t>
        </is>
      </c>
      <c r="C18" s="88" t="inlineStr">
        <is>
          <t>Q2/2018</t>
        </is>
      </c>
      <c r="D18" s="88" t="inlineStr">
        <is>
          <t>Q3/2018</t>
        </is>
      </c>
      <c r="E18" s="88" t="inlineStr">
        <is>
          <t>Q4/2018</t>
        </is>
      </c>
      <c r="F18" s="88" t="inlineStr">
        <is>
          <t>Q1/2019</t>
        </is>
      </c>
      <c r="G18" s="88" t="inlineStr">
        <is>
          <t>Q2/2019</t>
        </is>
      </c>
      <c r="H18" s="88" t="inlineStr">
        <is>
          <t>Q3/2019</t>
        </is>
      </c>
      <c r="I18" s="88" t="inlineStr">
        <is>
          <t>Q4/2019</t>
        </is>
      </c>
      <c r="J18" s="88" t="inlineStr">
        <is>
          <t>Q1/2020</t>
        </is>
      </c>
      <c r="K18" s="88" t="inlineStr">
        <is>
          <t>Q2/2020</t>
        </is>
      </c>
      <c r="L18" s="88" t="inlineStr">
        <is>
          <t>Q3/2020</t>
        </is>
      </c>
      <c r="M18" s="88" t="inlineStr">
        <is>
          <t>Q4/2020</t>
        </is>
      </c>
      <c r="N18" s="88" t="inlineStr">
        <is>
          <t>Q1/2021</t>
        </is>
      </c>
      <c r="O18" s="88" t="inlineStr">
        <is>
          <t>Q2/2021</t>
        </is>
      </c>
      <c r="P18" s="88" t="inlineStr">
        <is>
          <t>Q3/2021</t>
        </is>
      </c>
      <c r="Q18" s="88" t="inlineStr">
        <is>
          <t>Q4/2021</t>
        </is>
      </c>
      <c r="R18" s="88" t="inlineStr">
        <is>
          <t>Q1/2022</t>
        </is>
      </c>
      <c r="S18" s="88" t="inlineStr">
        <is>
          <t>Q2/2022</t>
        </is>
      </c>
      <c r="T18" s="88" t="inlineStr">
        <is>
          <t>Q3/2022</t>
        </is>
      </c>
      <c r="U18" s="88" t="inlineStr">
        <is>
          <t>Q4/2022</t>
        </is>
      </c>
      <c r="V18" s="88" t="inlineStr">
        <is>
          <t>Q1/2023</t>
        </is>
      </c>
      <c r="W18" s="88" t="inlineStr">
        <is>
          <t>Q2/2023</t>
        </is>
      </c>
      <c r="X18" s="88" t="inlineStr">
        <is>
          <t>Q3/2023</t>
        </is>
      </c>
      <c r="Y18" s="88" t="inlineStr">
        <is>
          <t>Q4/2023</t>
        </is>
      </c>
      <c r="Z18" s="88" t="inlineStr">
        <is>
          <t>Q1/2024</t>
        </is>
      </c>
      <c r="AA18" s="88" t="inlineStr">
        <is>
          <t>Q2/2024</t>
        </is>
      </c>
      <c r="AB18" s="88" t="inlineStr">
        <is>
          <t>Q3/2024</t>
        </is>
      </c>
      <c r="AC18" s="88" t="inlineStr">
        <is>
          <t>Q4/2024</t>
        </is>
      </c>
      <c r="AD18" s="88" t="inlineStr">
        <is>
          <t>Q1/2025</t>
        </is>
      </c>
      <c r="AE18" s="88" t="inlineStr">
        <is>
          <t>Q2/2025</t>
        </is>
      </c>
      <c r="AF18" s="88" t="inlineStr">
        <is>
          <t>Q3/2025</t>
        </is>
      </c>
      <c r="AG18" s="88" t="inlineStr">
        <is>
          <t>Q4/2025</t>
        </is>
      </c>
      <c r="AH18" s="88" t="inlineStr">
        <is>
          <t>Q1/2026</t>
        </is>
      </c>
    </row>
    <row r="19">
      <c r="A19" s="25" t="inlineStr">
        <is>
          <t>Tiền &amp; tương đương</t>
        </is>
      </c>
      <c r="B19" s="39" t="n">
        <v>6662.968459743</v>
      </c>
      <c r="C19" s="39" t="n">
        <v>5319.038225154</v>
      </c>
      <c r="D19" s="39" t="n">
        <v>3976.151668262</v>
      </c>
      <c r="E19" s="39" t="n">
        <v>2515.617135457</v>
      </c>
      <c r="F19" s="39" t="n">
        <v>6110.879210952</v>
      </c>
      <c r="G19" s="39" t="n">
        <v>5900.07607157</v>
      </c>
      <c r="H19" s="39" t="n">
        <v>3972.94365221</v>
      </c>
      <c r="I19" s="39" t="n">
        <v>4564.902312859</v>
      </c>
      <c r="J19" s="39" t="n">
        <v>6157.827189416</v>
      </c>
      <c r="K19" s="39" t="n">
        <v>7489.589626409</v>
      </c>
      <c r="L19" s="39" t="n">
        <v>5628.548667015</v>
      </c>
      <c r="M19" s="39" t="n">
        <v>13001.001772526</v>
      </c>
      <c r="N19" s="39" t="n">
        <v>14018.629193714</v>
      </c>
      <c r="O19" s="39" t="n">
        <v>14644.183731657</v>
      </c>
      <c r="P19" s="39" t="n">
        <v>13376.486099355</v>
      </c>
      <c r="Q19" s="39" t="n">
        <v>22471.37556213</v>
      </c>
      <c r="R19" s="39" t="n">
        <v>19060.014590301</v>
      </c>
      <c r="S19" s="39" t="n">
        <v>20325.198022112</v>
      </c>
      <c r="T19" s="39" t="n">
        <v>11881.408346665</v>
      </c>
      <c r="U19" s="39" t="n">
        <v>8324.588920226999</v>
      </c>
      <c r="V19" s="39" t="n">
        <v>7868.451566326</v>
      </c>
      <c r="W19" s="39" t="n">
        <v>13252.855086239</v>
      </c>
      <c r="X19" s="39" t="n">
        <v>9696.669423875999</v>
      </c>
      <c r="Y19" s="39" t="n">
        <v>12267.401160884</v>
      </c>
      <c r="Z19" s="39" t="n">
        <v>12428.888036237</v>
      </c>
      <c r="AA19" s="39" t="n">
        <v>13032.037853283</v>
      </c>
      <c r="AB19" s="39" t="n">
        <v>8500.99807928</v>
      </c>
      <c r="AC19" s="39" t="n">
        <v>6887.646139852</v>
      </c>
      <c r="AD19" s="39" t="n">
        <v>7459.035818129</v>
      </c>
      <c r="AE19" s="39" t="n">
        <v>10688.024277258</v>
      </c>
      <c r="AF19" s="39" t="n">
        <v>9092.562739415</v>
      </c>
      <c r="AG19" s="39" t="n">
        <v>8300.890304205001</v>
      </c>
      <c r="AH19" s="39" t="n">
        <v>11455.231038505</v>
      </c>
    </row>
    <row r="20">
      <c r="A20" s="25" t="inlineStr">
        <is>
          <t>Tổng tài sản</t>
        </is>
      </c>
      <c r="B20" s="39" t="n">
        <v>54437.483969361</v>
      </c>
      <c r="C20" s="39" t="n">
        <v>62078.34193214</v>
      </c>
      <c r="D20" s="39" t="n">
        <v>70102.771920834</v>
      </c>
      <c r="E20" s="39" t="n">
        <v>78224.962647939</v>
      </c>
      <c r="F20" s="39" t="n">
        <v>84946.72975899201</v>
      </c>
      <c r="G20" s="39" t="n">
        <v>93019.261745907</v>
      </c>
      <c r="H20" s="39" t="n">
        <v>97448.35634575</v>
      </c>
      <c r="I20" s="39" t="n">
        <v>101790.659386899</v>
      </c>
      <c r="J20" s="39" t="n">
        <v>107108.967116223</v>
      </c>
      <c r="K20" s="39" t="n">
        <v>112644.200672558</v>
      </c>
      <c r="L20" s="39" t="n">
        <v>117472.262169551</v>
      </c>
      <c r="M20" s="39" t="n">
        <v>131511.43689502</v>
      </c>
      <c r="N20" s="39" t="n">
        <v>138982.26964471</v>
      </c>
      <c r="O20" s="39" t="n">
        <v>159809.151198694</v>
      </c>
      <c r="P20" s="39" t="n">
        <v>174643.274131664</v>
      </c>
      <c r="Q20" s="39" t="n">
        <v>178235.973830248</v>
      </c>
      <c r="R20" s="39" t="n">
        <v>185847.109194471</v>
      </c>
      <c r="S20" s="39" t="n">
        <v>207496.628090862</v>
      </c>
      <c r="T20" s="39" t="n">
        <v>183805.111144198</v>
      </c>
      <c r="U20" s="39" t="n">
        <v>170335.521637131</v>
      </c>
      <c r="V20" s="39" t="n">
        <v>175408.61117432</v>
      </c>
      <c r="W20" s="39" t="n">
        <v>176243.321739441</v>
      </c>
      <c r="X20" s="39" t="n">
        <v>173507.011684572</v>
      </c>
      <c r="Y20" s="39" t="n">
        <v>187782.586563801</v>
      </c>
      <c r="Z20" s="39" t="n">
        <v>201940.225528507</v>
      </c>
      <c r="AA20" s="39" t="n">
        <v>206609.079731195</v>
      </c>
      <c r="AB20" s="39" t="n">
        <v>211386.343928118</v>
      </c>
      <c r="AC20" s="39" t="n">
        <v>224489.707553981</v>
      </c>
      <c r="AD20" s="39" t="n">
        <v>228861.587788307</v>
      </c>
      <c r="AE20" s="39" t="n">
        <v>242224.53091905</v>
      </c>
      <c r="AF20" s="39" t="n">
        <v>246171.338287652</v>
      </c>
      <c r="AG20" s="39" t="n">
        <v>257899.200817547</v>
      </c>
      <c r="AH20" s="39" t="n">
        <v>259327.500205228</v>
      </c>
    </row>
    <row r="21">
      <c r="A21" s="25" t="inlineStr">
        <is>
          <t>Vốn chủ sở hữu</t>
        </is>
      </c>
      <c r="B21" s="39" t="n">
        <v>34428.192910709</v>
      </c>
      <c r="C21" s="39" t="n">
        <v>36626.843816306</v>
      </c>
      <c r="D21" s="39" t="n">
        <v>39033.700617587</v>
      </c>
      <c r="E21" s="39" t="n">
        <v>40608.94984081</v>
      </c>
      <c r="F21" s="39" t="n">
        <v>42211.124342036</v>
      </c>
      <c r="G21" s="39" t="n">
        <v>44256.089853007</v>
      </c>
      <c r="H21" s="39" t="n">
        <v>46049.525945374</v>
      </c>
      <c r="I21" s="39" t="n">
        <v>47787.787089307</v>
      </c>
      <c r="J21" s="39" t="n">
        <v>50063.408905154</v>
      </c>
      <c r="K21" s="39" t="n">
        <v>52580.576274016</v>
      </c>
      <c r="L21" s="39" t="n">
        <v>54987.270970996</v>
      </c>
      <c r="M21" s="39" t="n">
        <v>59219.788805917</v>
      </c>
      <c r="N21" s="39" t="n">
        <v>66221.560358804</v>
      </c>
      <c r="O21" s="39" t="n">
        <v>73984.43909775501</v>
      </c>
      <c r="P21" s="39" t="n">
        <v>84325.684009499</v>
      </c>
      <c r="Q21" s="39" t="n">
        <v>90780.176983438</v>
      </c>
      <c r="R21" s="39" t="n">
        <v>98957.93796303699</v>
      </c>
      <c r="S21" s="39" t="n">
        <v>99915.401148975</v>
      </c>
      <c r="T21" s="39" t="n">
        <v>98075.48292785601</v>
      </c>
      <c r="U21" s="39" t="n">
        <v>96112.93961578301</v>
      </c>
      <c r="V21" s="39" t="n">
        <v>96437.975271673</v>
      </c>
      <c r="W21" s="39" t="n">
        <v>97860.291061122</v>
      </c>
      <c r="X21" s="39" t="n">
        <v>99865.188256444</v>
      </c>
      <c r="Y21" s="39" t="n">
        <v>102836.419239379</v>
      </c>
      <c r="Z21" s="39" t="n">
        <v>105624.580573088</v>
      </c>
      <c r="AA21" s="39" t="n">
        <v>108676.564894031</v>
      </c>
      <c r="AB21" s="39" t="n">
        <v>111779.09723646</v>
      </c>
      <c r="AC21" s="39" t="n">
        <v>114647.457983699</v>
      </c>
      <c r="AD21" s="39" t="n">
        <v>117996.879089129</v>
      </c>
      <c r="AE21" s="39" t="n">
        <v>122359.504913282</v>
      </c>
      <c r="AF21" s="39" t="n">
        <v>127516.012099269</v>
      </c>
      <c r="AG21" s="39" t="n">
        <v>131220.010876575</v>
      </c>
      <c r="AH21" s="39" t="n">
        <v>139781.792206472</v>
      </c>
    </row>
    <row r="22">
      <c r="A22" s="25" t="inlineStr">
        <is>
          <t>Hàng tồn kho</t>
        </is>
      </c>
      <c r="B22" s="39" t="n">
        <v>11333.2046358</v>
      </c>
      <c r="C22" s="39" t="n">
        <v>12887.026543733</v>
      </c>
      <c r="D22" s="39" t="n">
        <v>14770.217336303</v>
      </c>
      <c r="E22" s="39" t="n">
        <v>14115.158052529</v>
      </c>
      <c r="F22" s="39" t="n">
        <v>12658.139914824</v>
      </c>
      <c r="G22" s="39" t="n">
        <v>15391.106218426</v>
      </c>
      <c r="H22" s="39" t="n">
        <v>18945.703297422</v>
      </c>
      <c r="I22" s="39" t="n">
        <v>19411.922751097</v>
      </c>
      <c r="J22" s="39" t="n">
        <v>19554.348585095</v>
      </c>
      <c r="K22" s="39" t="n">
        <v>20763.287739249</v>
      </c>
      <c r="L22" s="39" t="n">
        <v>20979.333665419</v>
      </c>
      <c r="M22" s="39" t="n">
        <v>26286.822229202</v>
      </c>
      <c r="N22" s="39" t="n">
        <v>27750.575698018</v>
      </c>
      <c r="O22" s="39" t="n">
        <v>39803.824314074</v>
      </c>
      <c r="P22" s="39" t="n">
        <v>46006.414493653</v>
      </c>
      <c r="Q22" s="39" t="n">
        <v>42134.493932211</v>
      </c>
      <c r="R22" s="39" t="n">
        <v>40036.170600581</v>
      </c>
      <c r="S22" s="39" t="n">
        <v>57554.1021635</v>
      </c>
      <c r="T22" s="39" t="n">
        <v>43880.267448945</v>
      </c>
      <c r="U22" s="39" t="n">
        <v>34491.111096123</v>
      </c>
      <c r="V22" s="39" t="n">
        <v>34306.8971579</v>
      </c>
      <c r="W22" s="39" t="n">
        <v>32001.578654651</v>
      </c>
      <c r="X22" s="39" t="n">
        <v>33524.022785325</v>
      </c>
      <c r="Y22" s="39" t="n">
        <v>34504.487406261</v>
      </c>
      <c r="Z22" s="39" t="n">
        <v>42714.279935957</v>
      </c>
      <c r="AA22" s="39" t="n">
        <v>40163.540620593</v>
      </c>
      <c r="AB22" s="39" t="n">
        <v>40197.821463879</v>
      </c>
      <c r="AC22" s="39" t="n">
        <v>46091.222189472</v>
      </c>
      <c r="AD22" s="39" t="n">
        <v>46603.844415849</v>
      </c>
      <c r="AE22" s="39" t="n">
        <v>48853.408114115</v>
      </c>
      <c r="AF22" s="39" t="n">
        <v>45623.656431728</v>
      </c>
      <c r="AG22" s="39" t="n">
        <v>52828.227344442</v>
      </c>
      <c r="AH22" s="39" t="n">
        <v>43515.58527221</v>
      </c>
    </row>
    <row r="23">
      <c r="A23" s="25" t="inlineStr">
        <is>
          <t>Phải thu NH</t>
        </is>
      </c>
      <c r="B23" s="39" t="n">
        <v>7178.547741042</v>
      </c>
      <c r="C23" s="39" t="n">
        <v>6176.26873683</v>
      </c>
      <c r="D23" s="39" t="n">
        <v>5640.203890272</v>
      </c>
      <c r="E23" s="39" t="n">
        <v>3915.158043554</v>
      </c>
      <c r="F23" s="39" t="n">
        <v>4989.30339772</v>
      </c>
      <c r="G23" s="39" t="n">
        <v>4121.219190869</v>
      </c>
      <c r="H23" s="39" t="n">
        <v>3854.081869718</v>
      </c>
      <c r="I23" s="39" t="n">
        <v>3574.874546688</v>
      </c>
      <c r="J23" s="39" t="n">
        <v>5012.639384483</v>
      </c>
      <c r="K23" s="39" t="n">
        <v>4222.428620373</v>
      </c>
      <c r="L23" s="39" t="n">
        <v>5830.460844355</v>
      </c>
      <c r="M23" s="39" t="n">
        <v>6124.790460291</v>
      </c>
      <c r="N23" s="39" t="n">
        <v>8684.635872093</v>
      </c>
      <c r="O23" s="39" t="n">
        <v>7946.101345417</v>
      </c>
      <c r="P23" s="39" t="n">
        <v>10856.205170508</v>
      </c>
      <c r="Q23" s="39" t="n">
        <v>7662.232268645</v>
      </c>
      <c r="R23" s="39" t="n">
        <v>12128.156547984</v>
      </c>
      <c r="S23" s="39" t="n">
        <v>14321.534634657</v>
      </c>
      <c r="T23" s="39" t="n">
        <v>12007.503450736</v>
      </c>
      <c r="U23" s="39" t="n">
        <v>9892.869502308</v>
      </c>
      <c r="V23" s="39" t="n">
        <v>13830.143965796</v>
      </c>
      <c r="W23" s="39" t="n">
        <v>14298.6602978</v>
      </c>
      <c r="X23" s="39" t="n">
        <v>12506.103872593</v>
      </c>
      <c r="Y23" s="39" t="n">
        <v>10702.136439996</v>
      </c>
      <c r="Z23" s="39" t="n">
        <v>12105.116296231</v>
      </c>
      <c r="AA23" s="39" t="n">
        <v>10392.80185566</v>
      </c>
      <c r="AB23" s="39" t="n">
        <v>9140.94802924</v>
      </c>
      <c r="AC23" s="39" t="n">
        <v>7647.800286988</v>
      </c>
      <c r="AD23" s="39" t="n">
        <v>10856.053423195</v>
      </c>
      <c r="AE23" s="39" t="n">
        <v>12334.925649801</v>
      </c>
      <c r="AF23" s="39" t="n">
        <v>13727.194725111</v>
      </c>
      <c r="AG23" s="39" t="n">
        <v>15042.32311769</v>
      </c>
      <c r="AH23" s="39" t="n">
        <v>16692.782771439</v>
      </c>
    </row>
    <row r="24">
      <c r="A24" s="25" t="inlineStr">
        <is>
          <t>Vay ngắn hạn</t>
        </is>
      </c>
      <c r="B24" s="39" t="n">
        <v>10291.257465605</v>
      </c>
      <c r="C24" s="39" t="n">
        <v>11527.601640256</v>
      </c>
      <c r="D24" s="39" t="n">
        <v>13023.39190678</v>
      </c>
      <c r="E24" s="39" t="n">
        <v>11494.717393327</v>
      </c>
      <c r="F24" s="39" t="n">
        <v>11802.863530796</v>
      </c>
      <c r="G24" s="39" t="n">
        <v>14012.517205777</v>
      </c>
      <c r="H24" s="39" t="n">
        <v>17430.383939442</v>
      </c>
      <c r="I24" s="39" t="n">
        <v>16837.653470387</v>
      </c>
      <c r="J24" s="39" t="n">
        <v>21100.126947016</v>
      </c>
      <c r="K24" s="39" t="n">
        <v>22013.921358872</v>
      </c>
      <c r="L24" s="39" t="n">
        <v>23997.067430441</v>
      </c>
      <c r="M24" s="39" t="n">
        <v>36798.465672104</v>
      </c>
      <c r="N24" s="39" t="n">
        <v>37292.384217221</v>
      </c>
      <c r="O24" s="39" t="n">
        <v>40271.515461442</v>
      </c>
      <c r="P24" s="39" t="n">
        <v>43356.751775423</v>
      </c>
      <c r="Q24" s="39" t="n">
        <v>43747.643082356</v>
      </c>
      <c r="R24" s="39" t="n">
        <v>46260.963681821</v>
      </c>
      <c r="S24" s="39" t="n">
        <v>56575.628198553</v>
      </c>
      <c r="T24" s="39" t="n">
        <v>52871.495029424</v>
      </c>
      <c r="U24" s="39" t="n">
        <v>46748.670400471</v>
      </c>
      <c r="V24" s="39" t="n">
        <v>50354.261925455</v>
      </c>
      <c r="W24" s="39" t="n">
        <v>51748.268155863</v>
      </c>
      <c r="X24" s="39" t="n">
        <v>49237.59096926</v>
      </c>
      <c r="Y24" s="39" t="n">
        <v>54981.883180636</v>
      </c>
      <c r="Z24" s="39" t="n">
        <v>61438.29576467</v>
      </c>
      <c r="AA24" s="39" t="n">
        <v>53315.313650059</v>
      </c>
      <c r="AB24" s="39" t="n">
        <v>54180.722680952</v>
      </c>
      <c r="AC24" s="39" t="n">
        <v>55882.686213459</v>
      </c>
      <c r="AD24" s="39" t="n">
        <v>61784.512821075</v>
      </c>
      <c r="AE24" s="39" t="n">
        <v>66692.02847715199</v>
      </c>
      <c r="AF24" s="39" t="n">
        <v>68482.38362625299</v>
      </c>
      <c r="AG24" s="39" t="n">
        <v>64694.957245143</v>
      </c>
      <c r="AH24" s="39" t="n">
        <v>62799.568273773</v>
      </c>
    </row>
    <row r="25">
      <c r="A25" s="25" t="inlineStr">
        <is>
          <t>Vay dài hạn</t>
        </is>
      </c>
      <c r="B25" s="39" t="n">
        <v>2077.14366972</v>
      </c>
      <c r="C25" s="39" t="n">
        <v>4976.499450228</v>
      </c>
      <c r="D25" s="39" t="n">
        <v>9011.900651509</v>
      </c>
      <c r="E25" s="39" t="n">
        <v>12810.996979972</v>
      </c>
      <c r="F25" s="39" t="n">
        <v>18678.247132851</v>
      </c>
      <c r="G25" s="39" t="n">
        <v>20255.615545791</v>
      </c>
      <c r="H25" s="39" t="n">
        <v>20738.255458345</v>
      </c>
      <c r="I25" s="39" t="n">
        <v>19842.09921972</v>
      </c>
      <c r="J25" s="39" t="n">
        <v>20243.611152953</v>
      </c>
      <c r="K25" s="39" t="n">
        <v>20652.229603664</v>
      </c>
      <c r="L25" s="39" t="n">
        <v>21254.553307935</v>
      </c>
      <c r="M25" s="39" t="n">
        <v>17343.247551512</v>
      </c>
      <c r="N25" s="39" t="n">
        <v>18268.026878382</v>
      </c>
      <c r="O25" s="39" t="n">
        <v>15722.216250958</v>
      </c>
      <c r="P25" s="39" t="n">
        <v>17710.867201107</v>
      </c>
      <c r="Q25" s="39" t="n">
        <v>13464.9319987</v>
      </c>
      <c r="R25" s="39" t="n">
        <v>13921.989392311</v>
      </c>
      <c r="S25" s="39" t="n">
        <v>13443.161725051</v>
      </c>
      <c r="T25" s="39" t="n">
        <v>12629.305426051</v>
      </c>
      <c r="U25" s="39" t="n">
        <v>11151.651204402</v>
      </c>
      <c r="V25" s="39" t="n">
        <v>10304.996868419</v>
      </c>
      <c r="W25" s="39" t="n">
        <v>8878.939971816</v>
      </c>
      <c r="X25" s="39" t="n">
        <v>8744.590378258001</v>
      </c>
      <c r="Y25" s="39" t="n">
        <v>10399.119292481</v>
      </c>
      <c r="Z25" s="39" t="n">
        <v>16080.142067527</v>
      </c>
      <c r="AA25" s="39" t="n">
        <v>19674.955314582</v>
      </c>
      <c r="AB25" s="39" t="n">
        <v>24517.626484538</v>
      </c>
      <c r="AC25" s="39" t="n">
        <v>27080.443256096</v>
      </c>
      <c r="AD25" s="39" t="n">
        <v>27256.965869238</v>
      </c>
      <c r="AE25" s="39" t="n">
        <v>27312.28866099</v>
      </c>
      <c r="AF25" s="39" t="n">
        <v>28356.095137594</v>
      </c>
      <c r="AG25" s="39" t="n">
        <v>27479.194057074</v>
      </c>
      <c r="AH25" s="39" t="n">
        <v>27817.253418546</v>
      </c>
    </row>
    <row r="26">
      <c r="A26" s="25" t="inlineStr">
        <is>
          <t>Tổng nợ vay</t>
        </is>
      </c>
      <c r="B26" s="39" t="n">
        <v>12368.401135325</v>
      </c>
      <c r="C26" s="39" t="n">
        <v>16504.101090484</v>
      </c>
      <c r="D26" s="39" t="n">
        <v>22035.292558289</v>
      </c>
      <c r="E26" s="39" t="n">
        <v>24305.714373299</v>
      </c>
      <c r="F26" s="39" t="n">
        <v>30481.110663647</v>
      </c>
      <c r="G26" s="39" t="n">
        <v>34268.132751568</v>
      </c>
      <c r="H26" s="39" t="n">
        <v>38168.639397787</v>
      </c>
      <c r="I26" s="39" t="n">
        <v>36679.75269010699</v>
      </c>
      <c r="J26" s="39" t="n">
        <v>41343.738099969</v>
      </c>
      <c r="K26" s="39" t="n">
        <v>42666.150962536</v>
      </c>
      <c r="L26" s="39" t="n">
        <v>45251.620738376</v>
      </c>
      <c r="M26" s="39" t="n">
        <v>54141.713223616</v>
      </c>
      <c r="N26" s="39" t="n">
        <v>55560.411095603</v>
      </c>
      <c r="O26" s="39" t="n">
        <v>55993.7317124</v>
      </c>
      <c r="P26" s="39" t="n">
        <v>61067.61897653</v>
      </c>
      <c r="Q26" s="39" t="n">
        <v>57212.575081056</v>
      </c>
      <c r="R26" s="39" t="n">
        <v>60182.953074132</v>
      </c>
      <c r="S26" s="39" t="n">
        <v>70018.789923604</v>
      </c>
      <c r="T26" s="39" t="n">
        <v>65500.80045547499</v>
      </c>
      <c r="U26" s="39" t="n">
        <v>57900.321604873</v>
      </c>
      <c r="V26" s="39" t="n">
        <v>60659.258793874</v>
      </c>
      <c r="W26" s="39" t="n">
        <v>60627.208127679</v>
      </c>
      <c r="X26" s="39" t="n">
        <v>57982.181347518</v>
      </c>
      <c r="Y26" s="39" t="n">
        <v>65381.00247311701</v>
      </c>
      <c r="Z26" s="39" t="n">
        <v>77518.437832197</v>
      </c>
      <c r="AA26" s="39" t="n">
        <v>72990.268964641</v>
      </c>
      <c r="AB26" s="39" t="n">
        <v>78698.34916549</v>
      </c>
      <c r="AC26" s="39" t="n">
        <v>82963.129469555</v>
      </c>
      <c r="AD26" s="39" t="n">
        <v>89041.478690313</v>
      </c>
      <c r="AE26" s="39" t="n">
        <v>94004.317138142</v>
      </c>
      <c r="AF26" s="39" t="n">
        <v>96838.478763847</v>
      </c>
      <c r="AG26" s="39" t="n">
        <v>92174.151302217</v>
      </c>
      <c r="AH26" s="39" t="n">
        <v>90616.821692319</v>
      </c>
    </row>
    <row r="27">
      <c r="A27" s="25" t="inlineStr">
        <is>
          <t>TSCĐ hữu hình</t>
        </is>
      </c>
      <c r="B27" s="39" t="n">
        <v>12879.619300176</v>
      </c>
      <c r="C27" s="39" t="n">
        <v>12866.787781557</v>
      </c>
      <c r="D27" s="39" t="n">
        <v>12882.494190986</v>
      </c>
      <c r="E27" s="39" t="n">
        <v>12565.363529879</v>
      </c>
      <c r="F27" s="39" t="n">
        <v>13922.899533194</v>
      </c>
      <c r="G27" s="39" t="n">
        <v>13608.538730043</v>
      </c>
      <c r="H27" s="39" t="n">
        <v>14847.869577324</v>
      </c>
      <c r="I27" s="39" t="n">
        <v>30974.391471755</v>
      </c>
      <c r="J27" s="39" t="n">
        <v>45740.714628745</v>
      </c>
      <c r="K27" s="39" t="n">
        <v>45940.194363981</v>
      </c>
      <c r="L27" s="39" t="n">
        <v>52147.533178364</v>
      </c>
      <c r="M27" s="39" t="n">
        <v>65307.819877543</v>
      </c>
      <c r="N27" s="39" t="n">
        <v>67400.588504424</v>
      </c>
      <c r="O27" s="39" t="n">
        <v>67282.20104435799</v>
      </c>
      <c r="P27" s="39" t="n">
        <v>67757.471945454</v>
      </c>
      <c r="Q27" s="39" t="n">
        <v>68744.125939109</v>
      </c>
      <c r="R27" s="39" t="n">
        <v>69668.655524082</v>
      </c>
      <c r="S27" s="39" t="n">
        <v>69485.57738805001</v>
      </c>
      <c r="T27" s="39" t="n">
        <v>71130.46278949099</v>
      </c>
      <c r="U27" s="39" t="n">
        <v>70199.153681536</v>
      </c>
      <c r="V27" s="39" t="n">
        <v>69325.79723257299</v>
      </c>
      <c r="W27" s="39" t="n">
        <v>68318.89962257299</v>
      </c>
      <c r="X27" s="39" t="n">
        <v>72210.926984979</v>
      </c>
      <c r="Y27" s="39" t="n">
        <v>71803.37523004699</v>
      </c>
      <c r="Z27" s="39" t="n">
        <v>70813.36599423199</v>
      </c>
      <c r="AA27" s="39" t="n">
        <v>69825.17263603699</v>
      </c>
      <c r="AB27" s="39" t="n">
        <v>68286.049668351</v>
      </c>
      <c r="AC27" s="39" t="n">
        <v>67244.150975048</v>
      </c>
      <c r="AD27" s="39" t="n">
        <v>85662.860787586</v>
      </c>
      <c r="AE27" s="39" t="n">
        <v>65120.521330076</v>
      </c>
      <c r="AF27" s="39" t="n">
        <v>104533.248655101</v>
      </c>
      <c r="AG27" s="39" t="n">
        <v>133420.846696083</v>
      </c>
      <c r="AH27" s="39" t="n">
        <v>134372.566192062</v>
      </c>
    </row>
    <row r="28">
      <c r="A28" s="25" t="inlineStr">
        <is>
          <t>XDCB DD (CIP)</t>
        </is>
      </c>
      <c r="B28" s="39" t="n">
        <v>5999.451011252</v>
      </c>
      <c r="C28" s="39" t="n">
        <v>13029.039469654</v>
      </c>
      <c r="D28" s="39" t="n">
        <v>22914.110558728</v>
      </c>
      <c r="E28" s="39" t="n">
        <v>37198.826355023</v>
      </c>
      <c r="F28" s="39" t="n">
        <v>40562.771720164</v>
      </c>
      <c r="G28" s="39" t="n">
        <v>47053.552030425</v>
      </c>
      <c r="H28" s="39" t="n">
        <v>48977.326832324</v>
      </c>
      <c r="I28" s="39" t="n">
        <v>36690.905031241</v>
      </c>
      <c r="J28" s="39" t="n">
        <v>23811.668891197</v>
      </c>
      <c r="K28" s="39" t="n">
        <v>23742.182672087</v>
      </c>
      <c r="L28" s="39" t="n">
        <v>18230.070737102</v>
      </c>
      <c r="M28" s="39" t="n">
        <v>5328.742775048</v>
      </c>
      <c r="N28" s="39" t="n">
        <v>3392.193661088</v>
      </c>
      <c r="O28" s="39" t="n">
        <v>5031.894797136</v>
      </c>
      <c r="P28" s="39" t="n">
        <v>5414.044518633</v>
      </c>
      <c r="Q28" s="39" t="n">
        <v>8608.470888444001</v>
      </c>
      <c r="R28" s="39" t="n">
        <v>8024.946503221</v>
      </c>
      <c r="S28" s="39" t="n">
        <v>9166.099597348</v>
      </c>
      <c r="T28" s="39" t="n">
        <v>9655.145059042999</v>
      </c>
      <c r="U28" s="39" t="n">
        <v>13334.320924143</v>
      </c>
      <c r="V28" s="39" t="n">
        <v>14372.9922095</v>
      </c>
      <c r="W28" s="39" t="n">
        <v>16582.913773897</v>
      </c>
      <c r="X28" s="39" t="n">
        <v>16429.373449828</v>
      </c>
      <c r="Y28" s="39" t="n">
        <v>26036.449081286</v>
      </c>
      <c r="Z28" s="39" t="n">
        <v>30113.050217104</v>
      </c>
      <c r="AA28" s="39" t="n">
        <v>45353.55003344</v>
      </c>
      <c r="AB28" s="39" t="n">
        <v>55595.915396651</v>
      </c>
      <c r="AC28" s="39" t="n">
        <v>63655.857440382</v>
      </c>
      <c r="AD28" s="39" t="n">
        <v>47507.058874968</v>
      </c>
      <c r="AE28" s="39" t="n">
        <v>72703.729846961</v>
      </c>
      <c r="AF28" s="39" t="n">
        <v>39484.904426635</v>
      </c>
      <c r="AG28" s="39" t="n">
        <v>10721.076531961</v>
      </c>
      <c r="AH28" s="39" t="n">
        <v>10328.73581924</v>
      </c>
    </row>
    <row r="30">
      <c r="A30" s="17" t="inlineStr">
        <is>
          <t>C. LƯU CHUYỂN TIỀN TỆ (tỷ VND)</t>
        </is>
      </c>
    </row>
    <row r="31">
      <c r="A31" s="65" t="inlineStr"/>
      <c r="B31" s="88" t="inlineStr">
        <is>
          <t>Q1/2018</t>
        </is>
      </c>
      <c r="C31" s="88" t="inlineStr">
        <is>
          <t>Q2/2018</t>
        </is>
      </c>
      <c r="D31" s="88" t="inlineStr">
        <is>
          <t>Q3/2018</t>
        </is>
      </c>
      <c r="E31" s="88" t="inlineStr">
        <is>
          <t>Q4/2018</t>
        </is>
      </c>
      <c r="F31" s="88" t="inlineStr">
        <is>
          <t>Q1/2019</t>
        </is>
      </c>
      <c r="G31" s="88" t="inlineStr">
        <is>
          <t>Q2/2019</t>
        </is>
      </c>
      <c r="H31" s="88" t="inlineStr">
        <is>
          <t>Q3/2019</t>
        </is>
      </c>
      <c r="I31" s="88" t="inlineStr">
        <is>
          <t>Q4/2019</t>
        </is>
      </c>
      <c r="J31" s="88" t="inlineStr">
        <is>
          <t>Q1/2020</t>
        </is>
      </c>
      <c r="K31" s="88" t="inlineStr">
        <is>
          <t>Q2/2020</t>
        </is>
      </c>
      <c r="L31" s="88" t="inlineStr">
        <is>
          <t>Q3/2020</t>
        </is>
      </c>
      <c r="M31" s="88" t="inlineStr">
        <is>
          <t>Q4/2020</t>
        </is>
      </c>
      <c r="N31" s="88" t="inlineStr">
        <is>
          <t>Q1/2021</t>
        </is>
      </c>
      <c r="O31" s="88" t="inlineStr">
        <is>
          <t>Q2/2021</t>
        </is>
      </c>
      <c r="P31" s="88" t="inlineStr">
        <is>
          <t>Q3/2021</t>
        </is>
      </c>
      <c r="Q31" s="88" t="inlineStr">
        <is>
          <t>Q4/2021</t>
        </is>
      </c>
      <c r="R31" s="88" t="inlineStr">
        <is>
          <t>Q1/2022</t>
        </is>
      </c>
      <c r="S31" s="88" t="inlineStr">
        <is>
          <t>Q2/2022</t>
        </is>
      </c>
      <c r="T31" s="88" t="inlineStr">
        <is>
          <t>Q3/2022</t>
        </is>
      </c>
      <c r="U31" s="88" t="inlineStr">
        <is>
          <t>Q4/2022</t>
        </is>
      </c>
      <c r="V31" s="88" t="inlineStr">
        <is>
          <t>Q1/2023</t>
        </is>
      </c>
      <c r="W31" s="88" t="inlineStr">
        <is>
          <t>Q2/2023</t>
        </is>
      </c>
      <c r="X31" s="88" t="inlineStr">
        <is>
          <t>Q3/2023</t>
        </is>
      </c>
      <c r="Y31" s="88" t="inlineStr">
        <is>
          <t>Q4/2023</t>
        </is>
      </c>
      <c r="Z31" s="88" t="inlineStr">
        <is>
          <t>Q1/2024</t>
        </is>
      </c>
      <c r="AA31" s="88" t="inlineStr">
        <is>
          <t>Q2/2024</t>
        </is>
      </c>
      <c r="AB31" s="88" t="inlineStr">
        <is>
          <t>Q3/2024</t>
        </is>
      </c>
      <c r="AC31" s="88" t="inlineStr">
        <is>
          <t>Q4/2024</t>
        </is>
      </c>
      <c r="AD31" s="88" t="inlineStr">
        <is>
          <t>Q1/2025</t>
        </is>
      </c>
      <c r="AE31" s="88" t="inlineStr">
        <is>
          <t>Q2/2025</t>
        </is>
      </c>
      <c r="AF31" s="88" t="inlineStr">
        <is>
          <t>Q3/2025</t>
        </is>
      </c>
      <c r="AG31" s="88" t="inlineStr">
        <is>
          <t>Q4/2025</t>
        </is>
      </c>
      <c r="AH31" s="88" t="inlineStr">
        <is>
          <t>Q1/2026</t>
        </is>
      </c>
    </row>
    <row r="32">
      <c r="A32" s="25" t="inlineStr">
        <is>
          <t>CF từ HĐKD (CFO)</t>
        </is>
      </c>
      <c r="B32" s="39" t="n">
        <v>2754.870075796</v>
      </c>
      <c r="C32" s="39" t="n">
        <v>1459.330087913</v>
      </c>
      <c r="D32" s="39" t="n">
        <v>1658.166580948</v>
      </c>
      <c r="E32" s="39" t="n">
        <v>1728.078424799</v>
      </c>
      <c r="F32" s="39" t="n">
        <v>2133.897345378</v>
      </c>
      <c r="G32" s="39" t="n">
        <v>2444.315976349</v>
      </c>
      <c r="H32" s="39" t="n">
        <v>-2995.757054845</v>
      </c>
      <c r="I32" s="39" t="n">
        <v>6771.574919276</v>
      </c>
      <c r="J32" s="39" t="n">
        <v>714.368443643</v>
      </c>
      <c r="K32" s="39" t="n">
        <v>5262.251018628</v>
      </c>
      <c r="L32" s="39" t="n">
        <v>2975.694138839</v>
      </c>
      <c r="M32" s="39" t="n">
        <v>51.456869771</v>
      </c>
      <c r="N32" s="39" t="n">
        <v>1593.350131465</v>
      </c>
      <c r="O32" s="39" t="n">
        <v>11863.537045264</v>
      </c>
      <c r="P32" s="39" t="n">
        <v>-162.134811093</v>
      </c>
      <c r="Q32" s="39" t="n">
        <v>14171.404896797</v>
      </c>
      <c r="R32" s="39" t="n">
        <v>8387.007986582999</v>
      </c>
      <c r="S32" s="39" t="n">
        <v>-6092.405256675</v>
      </c>
      <c r="T32" s="39" t="n">
        <v>4457.600150505</v>
      </c>
      <c r="U32" s="39" t="n">
        <v>5439.594182682</v>
      </c>
      <c r="V32" s="39" t="n">
        <v>-1102.98012805</v>
      </c>
      <c r="W32" s="39" t="n">
        <v>4531.338045226</v>
      </c>
      <c r="X32" s="39" t="n">
        <v>633.011285055</v>
      </c>
      <c r="Y32" s="39" t="n">
        <v>5410.273426874</v>
      </c>
      <c r="Z32" s="39" t="n">
        <v>748.630390745</v>
      </c>
      <c r="AA32" s="39" t="n">
        <v>2500.002958156</v>
      </c>
      <c r="AB32" s="39" t="n">
        <v>264.607405102</v>
      </c>
      <c r="AC32" s="39" t="n">
        <v>3095.079901212</v>
      </c>
      <c r="AD32" s="39" t="n">
        <v>-2777.94044648</v>
      </c>
      <c r="AE32" s="39" t="n">
        <v>3285.102529955</v>
      </c>
      <c r="AF32" s="39" t="n">
        <v>8294.398995676</v>
      </c>
      <c r="AG32" s="39" t="n">
        <v>8564.297977439999</v>
      </c>
      <c r="AH32" s="39" t="n">
        <v>6816.755450021</v>
      </c>
    </row>
    <row r="33">
      <c r="A33" s="25" t="inlineStr">
        <is>
          <t>CF đầu tư (CFI)</t>
        </is>
      </c>
      <c r="B33" s="39" t="n">
        <v>449.826431658</v>
      </c>
      <c r="C33" s="39" t="n">
        <v>-6957.260395393</v>
      </c>
      <c r="D33" s="39" t="n">
        <v>-8532.007613878999</v>
      </c>
      <c r="E33" s="39" t="n">
        <v>-5451.638161615</v>
      </c>
      <c r="F33" s="39" t="n">
        <v>-4715.345584076</v>
      </c>
      <c r="G33" s="39" t="n">
        <v>-6418.061138664</v>
      </c>
      <c r="H33" s="39" t="n">
        <v>-2833.603630639</v>
      </c>
      <c r="I33" s="39" t="n">
        <v>-4731.202728287</v>
      </c>
      <c r="J33" s="39" t="n">
        <v>-3596.501027783</v>
      </c>
      <c r="K33" s="39" t="n">
        <v>-5400.61575234</v>
      </c>
      <c r="L33" s="39" t="n">
        <v>-6028.706081766</v>
      </c>
      <c r="M33" s="39" t="n">
        <v>-1578.923538534</v>
      </c>
      <c r="N33" s="39" t="n">
        <v>-3042.16077998</v>
      </c>
      <c r="O33" s="39" t="n">
        <v>-10021.743517372</v>
      </c>
      <c r="P33" s="39" t="n">
        <v>-6299.130298855</v>
      </c>
      <c r="Q33" s="39" t="n">
        <v>-1041.002713649</v>
      </c>
      <c r="R33" s="39" t="n">
        <v>-14691.659942124</v>
      </c>
      <c r="S33" s="39" t="n">
        <v>-2064.041028932</v>
      </c>
      <c r="T33" s="39" t="n">
        <v>-5599.345832027</v>
      </c>
      <c r="U33" s="39" t="n">
        <v>-2356.72604832</v>
      </c>
      <c r="V33" s="39" t="n">
        <v>-2172.518070703</v>
      </c>
      <c r="W33" s="39" t="n">
        <v>1022.43422449</v>
      </c>
      <c r="X33" s="39" t="n">
        <v>-1277.285294183</v>
      </c>
      <c r="Y33" s="39" t="n">
        <v>-10373.912914493</v>
      </c>
      <c r="Z33" s="39" t="n">
        <v>-12623.954240718</v>
      </c>
      <c r="AA33" s="39" t="n">
        <v>2505.750845717</v>
      </c>
      <c r="AB33" s="39" t="n">
        <v>-10586.771366756</v>
      </c>
      <c r="AC33" s="39" t="n">
        <v>-9083.163490691</v>
      </c>
      <c r="AD33" s="39" t="n">
        <v>-2728.509645771</v>
      </c>
      <c r="AE33" s="39" t="n">
        <v>-5539.961327915</v>
      </c>
      <c r="AF33" s="39" t="n">
        <v>-13938.241340574</v>
      </c>
      <c r="AG33" s="39" t="n">
        <v>-3607.680554438</v>
      </c>
      <c r="AH33" s="39" t="n">
        <v>-2921.294017214</v>
      </c>
    </row>
    <row r="34">
      <c r="A34" s="25" t="inlineStr">
        <is>
          <t>CF tài trợ (CFF)</t>
        </is>
      </c>
      <c r="B34" s="39" t="n">
        <v>-806.37396812</v>
      </c>
      <c r="C34" s="39" t="n">
        <v>4153.936835252</v>
      </c>
      <c r="D34" s="39" t="n">
        <v>5530.395376599</v>
      </c>
      <c r="E34" s="39" t="n">
        <v>2264.553398529</v>
      </c>
      <c r="F34" s="39" t="n">
        <v>6176.685256415</v>
      </c>
      <c r="G34" s="39" t="n">
        <v>3763.216009064</v>
      </c>
      <c r="H34" s="39" t="n">
        <v>3901.883659706</v>
      </c>
      <c r="I34" s="39" t="n">
        <v>-1448.715455292</v>
      </c>
      <c r="J34" s="39" t="n">
        <v>4494.494399455</v>
      </c>
      <c r="K34" s="39" t="n">
        <v>1468.137561373</v>
      </c>
      <c r="L34" s="39" t="n">
        <v>1191.111984463</v>
      </c>
      <c r="M34" s="39" t="n">
        <v>8897.259704893</v>
      </c>
      <c r="N34" s="39" t="n">
        <v>1767.996247099</v>
      </c>
      <c r="O34" s="39" t="n">
        <v>-1212.095489248</v>
      </c>
      <c r="P34" s="39" t="n">
        <v>5208.810847334</v>
      </c>
      <c r="Q34" s="39" t="n">
        <v>-4035.264554251</v>
      </c>
      <c r="R34" s="39" t="n">
        <v>2891.737339868</v>
      </c>
      <c r="S34" s="39" t="n">
        <v>9447.286537971</v>
      </c>
      <c r="T34" s="39" t="n">
        <v>-7326.493079149</v>
      </c>
      <c r="U34" s="39" t="n">
        <v>-6629.701851394</v>
      </c>
      <c r="V34" s="39" t="n">
        <v>2820.618105543</v>
      </c>
      <c r="W34" s="39" t="n">
        <v>-168.13115754</v>
      </c>
      <c r="X34" s="39" t="n">
        <v>-2912.692241071</v>
      </c>
      <c r="Y34" s="39" t="n">
        <v>7533.387460786</v>
      </c>
      <c r="Z34" s="39" t="n">
        <v>12050.332227231</v>
      </c>
      <c r="AA34" s="39" t="n">
        <v>-4403.769302786</v>
      </c>
      <c r="AB34" s="39" t="n">
        <v>5798.966174176</v>
      </c>
      <c r="AC34" s="39" t="n">
        <v>4369.168488323</v>
      </c>
      <c r="AD34" s="39" t="n">
        <v>6078.292549103</v>
      </c>
      <c r="AE34" s="39" t="n">
        <v>5484.213143794</v>
      </c>
      <c r="AF34" s="39" t="n">
        <v>4047.042703711</v>
      </c>
      <c r="AG34" s="39" t="n">
        <v>-5747.615552117</v>
      </c>
      <c r="AH34" s="39" t="n">
        <v>-767.7944710199999</v>
      </c>
    </row>
    <row r="35">
      <c r="A35" s="25" t="inlineStr">
        <is>
          <t>Khấu hao TSCĐ</t>
        </is>
      </c>
      <c r="B35" s="39" t="n">
        <v>556.1083226870001</v>
      </c>
      <c r="C35" s="39" t="n">
        <v>553.037107154</v>
      </c>
      <c r="D35" s="39" t="n">
        <v>597.0873607570001</v>
      </c>
      <c r="E35" s="39" t="n">
        <v>577.870811942</v>
      </c>
      <c r="F35" s="39" t="n">
        <v>583.138700857</v>
      </c>
      <c r="G35" s="39" t="n">
        <v>599.7843845789999</v>
      </c>
      <c r="H35" s="39" t="n">
        <v>651.891904577</v>
      </c>
      <c r="I35" s="39" t="n">
        <v>803.343483855</v>
      </c>
      <c r="J35" s="39" t="n">
        <v>1091.959044244</v>
      </c>
      <c r="K35" s="39" t="n">
        <v>1138.88519412</v>
      </c>
      <c r="L35" s="39" t="n">
        <v>1181.347918547</v>
      </c>
      <c r="M35" s="39" t="n">
        <v>1386.472041189</v>
      </c>
      <c r="N35" s="39" t="n">
        <v>1454.90835954</v>
      </c>
      <c r="O35" s="39" t="n">
        <v>1507.505865787</v>
      </c>
      <c r="P35" s="39" t="n">
        <v>1557.450246725</v>
      </c>
      <c r="Q35" s="39" t="n">
        <v>1566.7825724</v>
      </c>
      <c r="R35" s="39" t="n">
        <v>1677.611364569</v>
      </c>
      <c r="S35" s="39" t="n">
        <v>1677.130524495</v>
      </c>
      <c r="T35" s="39" t="n">
        <v>1736.975580676</v>
      </c>
      <c r="U35" s="39" t="n">
        <v>1722.687479263</v>
      </c>
      <c r="V35" s="39" t="n">
        <v>1648.185800262</v>
      </c>
      <c r="W35" s="39" t="n">
        <v>1662.354940325</v>
      </c>
      <c r="X35" s="39" t="n">
        <v>1721.774737926</v>
      </c>
      <c r="Y35" s="39" t="n">
        <v>1741.097551767</v>
      </c>
      <c r="Z35" s="39" t="n">
        <v>1721.816264528</v>
      </c>
      <c r="AA35" s="39" t="n">
        <v>1729.640974153</v>
      </c>
      <c r="AB35" s="39" t="n">
        <v>1771.185761423</v>
      </c>
      <c r="AC35" s="39" t="n">
        <v>1693.028331093</v>
      </c>
      <c r="AD35" s="39" t="n">
        <v>1801.603135468</v>
      </c>
      <c r="AE35" s="39" t="n">
        <v>1617.24752851</v>
      </c>
      <c r="AF35" s="39" t="n">
        <v>2169.156032825</v>
      </c>
      <c r="AG35" s="39" t="n">
        <v>2882.676563353</v>
      </c>
      <c r="AH35" s="39" t="n">
        <v>2854.21390327</v>
      </c>
    </row>
    <row r="36">
      <c r="A36" s="25" t="inlineStr">
        <is>
          <t>CAPEX</t>
        </is>
      </c>
      <c r="B36" s="39" t="n">
        <v>2661.214218378</v>
      </c>
      <c r="C36" s="39" t="n">
        <v>6535.623048148</v>
      </c>
      <c r="D36" s="39" t="n">
        <v>10643.470479</v>
      </c>
      <c r="E36" s="39" t="n">
        <v>7753.757887855</v>
      </c>
      <c r="F36" s="39" t="n">
        <v>5336.201548793</v>
      </c>
      <c r="G36" s="39" t="n">
        <v>7200.900927887</v>
      </c>
      <c r="H36" s="39" t="n">
        <v>3759.383204475</v>
      </c>
      <c r="I36" s="39" t="n">
        <v>5325.523796833</v>
      </c>
      <c r="J36" s="39" t="n">
        <v>3447.607366037</v>
      </c>
      <c r="K36" s="39" t="n">
        <v>2477.672697519</v>
      </c>
      <c r="L36" s="39" t="n">
        <v>1898.885081877</v>
      </c>
      <c r="M36" s="39" t="n">
        <v>1546.069161409</v>
      </c>
      <c r="N36" s="39" t="n">
        <v>1399.236188679</v>
      </c>
      <c r="O36" s="39" t="n">
        <v>3996.355629739</v>
      </c>
      <c r="P36" s="39" t="n">
        <v>2394.064632437</v>
      </c>
      <c r="Q36" s="39" t="n">
        <v>4326.244042568</v>
      </c>
      <c r="R36" s="39" t="n">
        <v>6026.975731178</v>
      </c>
      <c r="S36" s="39" t="n">
        <v>3740.13486939</v>
      </c>
      <c r="T36" s="39" t="n">
        <v>4411.237849191</v>
      </c>
      <c r="U36" s="39" t="n">
        <v>3787.933631685</v>
      </c>
      <c r="V36" s="39" t="n">
        <v>2818.742500442</v>
      </c>
      <c r="W36" s="39" t="n">
        <v>2799.215791708</v>
      </c>
      <c r="X36" s="39" t="n">
        <v>4360.794062575</v>
      </c>
      <c r="Y36" s="39" t="n">
        <v>7374.116374071</v>
      </c>
      <c r="Z36" s="39" t="n">
        <v>14797.827829267</v>
      </c>
      <c r="AA36" s="39" t="n">
        <v>4038.554034033</v>
      </c>
      <c r="AB36" s="39" t="n">
        <v>9401.555834547</v>
      </c>
      <c r="AC36" s="39" t="n">
        <v>7257.08909948</v>
      </c>
      <c r="AD36" s="39" t="n">
        <v>6168.853176586</v>
      </c>
      <c r="AE36" s="39" t="n">
        <v>4519.331143893</v>
      </c>
      <c r="AF36" s="39" t="n">
        <v>13174.576334243</v>
      </c>
      <c r="AG36" s="39" t="n">
        <v>1885.559821997</v>
      </c>
      <c r="AH36" s="39" t="n">
        <v>5489.839982929</v>
      </c>
    </row>
    <row r="38">
      <c r="A38" s="89" t="inlineStr">
        <is>
          <t>ĐIỂM NHẤN Q1/2026</t>
        </is>
      </c>
    </row>
    <row r="39">
      <c r="A39" s="90" t="inlineStr">
        <is>
          <t>Chỉ tiêu</t>
        </is>
      </c>
      <c r="B39" s="90" t="inlineStr">
        <is>
          <t>Q1/2026</t>
        </is>
      </c>
      <c r="C39" s="90" t="inlineStr">
        <is>
          <t>Cùng kỳ</t>
        </is>
      </c>
      <c r="D39" s="90" t="inlineStr">
        <is>
          <t>Tăng trưởng</t>
        </is>
      </c>
    </row>
    <row r="40" ht="25" customHeight="1">
      <c r="A40" s="64" t="inlineStr">
        <is>
          <t>Doanh thu Q1/2026</t>
        </is>
      </c>
      <c r="B40" s="35" t="inlineStr">
        <is>
          <t>52,901 tỷ</t>
        </is>
      </c>
      <c r="C40" s="35" t="inlineStr">
        <is>
          <t>Q1/2025: 37,622 tỷ</t>
        </is>
      </c>
      <c r="D40" s="35" t="inlineStr">
        <is>
          <t>+40.6% YoY</t>
        </is>
      </c>
      <c r="E40" s="55" t="n"/>
      <c r="F40" s="56" t="n"/>
    </row>
    <row r="41" ht="25" customHeight="1">
      <c r="A41" s="64" t="inlineStr">
        <is>
          <t>Biên LNG Q1/2026</t>
        </is>
      </c>
      <c r="B41" s="35" t="inlineStr">
        <is>
          <t>15.8%</t>
        </is>
      </c>
      <c r="C41" s="35" t="inlineStr">
        <is>
          <t>Q1/2025: 14.4%</t>
        </is>
      </c>
      <c r="D41" s="35" t="inlineStr">
        <is>
          <t>+1.4 ppt</t>
        </is>
      </c>
      <c r="E41" s="55" t="n"/>
      <c r="F41" s="56" t="n"/>
    </row>
    <row r="42" ht="25" customHeight="1">
      <c r="A42" s="64" t="inlineStr">
        <is>
          <t>LNST Q1/2026</t>
        </is>
      </c>
      <c r="B42" s="35" t="inlineStr">
        <is>
          <t>8,994 tỷ</t>
        </is>
      </c>
      <c r="C42" s="35" t="inlineStr">
        <is>
          <t>Q1/2025: 3,344 tỷ</t>
        </is>
      </c>
      <c r="D42" s="35" t="inlineStr">
        <is>
          <t>+168.9% YoY</t>
        </is>
      </c>
      <c r="E42" s="55" t="n"/>
      <c r="F42" s="56" t="n"/>
    </row>
    <row r="43" ht="25" customHeight="1">
      <c r="A43" s="64" t="inlineStr">
        <is>
          <t>% KH 2026E</t>
        </is>
      </c>
      <c r="B43" s="35" t="inlineStr">
        <is>
          <t>42.4%</t>
        </is>
      </c>
      <c r="C43" s="35" t="inlineStr">
        <is>
          <t>KH 2026E NI: 21,210 tỷ</t>
        </is>
      </c>
      <c r="D43" s="35" t="inlineStr">
        <is>
          <t>Q1 đã đạt gần nửa kế hoạch năm</t>
        </is>
      </c>
      <c r="E43" s="55" t="n"/>
      <c r="F43" s="56" t="n"/>
    </row>
    <row r="45">
      <c r="A45" s="91" t="inlineStr">
        <is>
          <t>PHÂN TÍCH XU HƯỚNG QUÝ</t>
        </is>
      </c>
    </row>
    <row r="46">
      <c r="A46" s="65" t="inlineStr">
        <is>
          <t>Chỉ tiêu</t>
        </is>
      </c>
      <c r="B46" s="65" t="inlineStr">
        <is>
          <t>Đánh giá</t>
        </is>
      </c>
      <c r="C46" s="55" t="n"/>
      <c r="D46" s="56" t="n"/>
      <c r="E46" s="65" t="inlineStr">
        <is>
          <t>Trạng thái</t>
        </is>
      </c>
    </row>
    <row r="47" ht="55" customHeight="1">
      <c r="A47" s="25" t="inlineStr">
        <is>
          <t>DOANH THU</t>
        </is>
      </c>
      <c r="B47" s="62" t="inlineStr">
        <is>
          <t>Tăng mạnh Q1/2026: 52,901 tỷ (+40.6% YoY). Xu hướng tăng từ Q1/2025 nhờ DQ2 dần full công suất. Kỳ vọng các quý sau cao hơn do mùa cao điểm xây dựng Q2-Q4.</t>
        </is>
      </c>
      <c r="C47" s="55" t="n"/>
      <c r="D47" s="56" t="n"/>
      <c r="E47" s="92" t="inlineStr">
        <is>
          <t>TÍCH CỰC</t>
        </is>
      </c>
    </row>
    <row r="48" ht="55" customHeight="1">
      <c r="A48" s="25" t="inlineStr">
        <is>
          <t>BIÊN LỢI NHUẬN</t>
        </is>
      </c>
      <c r="B48" s="62" t="inlineStr">
        <is>
          <t>GM Q1/2026: 15.8% -- còn thấp so với đỉnh 2021 (27.5%) nhưng cải thiện dần. Nguyên nhân: DQ2 chạy non tải Q1, giá quặng giảm chưa kịp phản ánh. Kỳ vọng 17-18% từ Q2 khi DQ2 full + tồn kho giá rẻ.</t>
        </is>
      </c>
      <c r="C48" s="55" t="n"/>
      <c r="D48" s="56" t="n"/>
      <c r="E48" s="93" t="inlineStr">
        <is>
          <t>PHỤC HỒI</t>
        </is>
      </c>
    </row>
    <row r="49" ht="55" customHeight="1">
      <c r="A49" s="25" t="inlineStr">
        <is>
          <t>DÒNG TIỀN (CFO)</t>
        </is>
      </c>
      <c r="B49" s="62" t="inlineStr">
        <is>
          <t>CFO Q1/2026 ước ~6,817 tỷ. CFO/LNST duy trì &gt;1.0 qua các quý -- chất lượng lợi nhuận tốt. Dòng tiền mạnh giúp HPG giảm đòn bẩy.</t>
        </is>
      </c>
      <c r="C49" s="55" t="n"/>
      <c r="D49" s="56" t="n"/>
      <c r="E49" s="92" t="inlineStr">
        <is>
          <t>MẠNH</t>
        </is>
      </c>
    </row>
    <row r="50" ht="55" customHeight="1">
      <c r="A50" s="25" t="inlineStr">
        <is>
          <t>CAPEX</t>
        </is>
      </c>
      <c r="B50" s="62" t="inlineStr">
        <is>
          <t>CAPEX Q1/2026: 5,490 tỷ. Đã giảm mạnh so với đỉnh xây dựng DQ2 (2023-2024). Dự báo tiếp tục giảm khi DQ2 hoàn tất → FCF chuyển dương mạnh.</t>
        </is>
      </c>
      <c r="C50" s="55" t="n"/>
      <c r="D50" s="56" t="n"/>
      <c r="E50" s="93" t="inlineStr">
        <is>
          <t>GIẢM TỐT</t>
        </is>
      </c>
    </row>
    <row r="51" ht="55" customHeight="1">
      <c r="A51" s="25" t="inlineStr">
        <is>
          <t>TỒN KHO &amp; PHẢI THU</t>
        </is>
      </c>
      <c r="B51" s="62" t="inlineStr">
        <is>
          <t>Tồn kho 43,516 tỷ, phải thu 16,693 tỷ, vòng quay ~111 ngày. Quản trị vốn lưu động hiệu quả, không có dấu hiệu bán hàng ép.</t>
        </is>
      </c>
      <c r="C51" s="55" t="n"/>
      <c r="D51" s="56" t="n"/>
      <c r="E51" s="93" t="inlineStr">
        <is>
          <t>ỔN ĐỊNH</t>
        </is>
      </c>
    </row>
    <row r="52" ht="55" customHeight="1">
      <c r="A52" s="25" t="inlineStr">
        <is>
          <t>DƯ NỢ VAY</t>
        </is>
      </c>
      <c r="B52" s="62" t="inlineStr">
        <is>
          <t>Tổng nợ Q1/2026: 90,617 tỷ. D/E ~0.65x. DQ2 đã xong → không cần vay thêm lớn, nợ sẽ giảm dần nhờ dòng tiền.</t>
        </is>
      </c>
      <c r="C52" s="55" t="n"/>
      <c r="D52" s="56" t="n"/>
      <c r="E52" s="92" t="inlineStr">
        <is>
          <t>AN TOÀN</t>
        </is>
      </c>
    </row>
    <row r="56">
      <c r="A56" s="17" t="inlineStr">
        <is>
          <t>D. SẢN LƯỢNG TIÊU THỤ QUÝ (nghìn tấn)</t>
        </is>
      </c>
    </row>
    <row r="57">
      <c r="A57" s="94" t="inlineStr">
        <is>
          <t>(*) 2/2026 = ƯỚC TÍNH từ số liệu tháng đã công bố (xem mục E bên dưới), tách HRC/XD trực tiếp từ nguồn (nguoiquansat.vn/Vietcap Research) — tự động dò tin khi chạy script</t>
        </is>
      </c>
    </row>
    <row r="58">
      <c r="A58" s="95" t="inlineStr"/>
      <c r="B58" s="96" t="inlineStr">
        <is>
          <t>Q1/2023</t>
        </is>
      </c>
      <c r="C58" s="96" t="inlineStr">
        <is>
          <t>Q2/2023</t>
        </is>
      </c>
      <c r="D58" s="96" t="inlineStr">
        <is>
          <t>Q3/2023</t>
        </is>
      </c>
      <c r="E58" s="96" t="inlineStr">
        <is>
          <t>Q4/2023</t>
        </is>
      </c>
      <c r="F58" s="96" t="inlineStr">
        <is>
          <t>Q1/2024</t>
        </is>
      </c>
      <c r="G58" s="96" t="inlineStr">
        <is>
          <t>Q2/2024</t>
        </is>
      </c>
      <c r="H58" s="96" t="inlineStr">
        <is>
          <t>Q3/2024</t>
        </is>
      </c>
      <c r="I58" s="96" t="inlineStr">
        <is>
          <t>Q4/2024</t>
        </is>
      </c>
      <c r="J58" s="96" t="inlineStr">
        <is>
          <t>Q1/2025</t>
        </is>
      </c>
      <c r="K58" s="96" t="inlineStr">
        <is>
          <t>Q2/2025</t>
        </is>
      </c>
      <c r="L58" s="96" t="inlineStr">
        <is>
          <t>Q3/2025</t>
        </is>
      </c>
      <c r="M58" s="96" t="inlineStr">
        <is>
          <t>Q4/2025</t>
        </is>
      </c>
      <c r="N58" s="96" t="inlineStr">
        <is>
          <t>Q1/2026</t>
        </is>
      </c>
      <c r="O58" s="96" t="inlineStr">
        <is>
          <t>2/2026*</t>
        </is>
      </c>
    </row>
    <row r="59">
      <c r="A59" s="25" t="inlineStr">
        <is>
          <t>SL HRC (nghìn tấn)</t>
        </is>
      </c>
      <c r="B59" s="39" t="n">
        <v>482</v>
      </c>
      <c r="C59" s="39" t="n">
        <v>770</v>
      </c>
      <c r="D59" s="39" t="n">
        <v>780</v>
      </c>
      <c r="E59" s="39" t="n">
        <v>768</v>
      </c>
      <c r="F59" s="39" t="n">
        <v>805</v>
      </c>
      <c r="G59" s="39" t="n">
        <v>727</v>
      </c>
      <c r="H59" s="39" t="n">
        <v>738</v>
      </c>
      <c r="I59" s="39" t="n">
        <v>780</v>
      </c>
      <c r="J59" s="39" t="n">
        <v>1000</v>
      </c>
      <c r="K59" s="39" t="n">
        <v>1180</v>
      </c>
      <c r="L59" s="39" t="n">
        <v>1220</v>
      </c>
      <c r="M59" s="39" t="n">
        <v>1600</v>
      </c>
      <c r="N59" s="39" t="n">
        <v>1400</v>
      </c>
      <c r="O59" s="77" t="n">
        <v>1866</v>
      </c>
    </row>
    <row r="60">
      <c r="A60" s="25" t="inlineStr">
        <is>
          <t>SL XD &amp; Thép CB (nghìn tấn)</t>
        </is>
      </c>
      <c r="B60" s="39" t="n">
        <v>870</v>
      </c>
      <c r="C60" s="39" t="n">
        <v>970</v>
      </c>
      <c r="D60" s="39" t="n">
        <v>970</v>
      </c>
      <c r="E60" s="39" t="n">
        <v>970</v>
      </c>
      <c r="F60" s="39" t="n">
        <v>956</v>
      </c>
      <c r="G60" s="39" t="n">
        <v>1140</v>
      </c>
      <c r="H60" s="39" t="n">
        <v>1200</v>
      </c>
      <c r="I60" s="39" t="n">
        <v>1100</v>
      </c>
      <c r="J60" s="39" t="n">
        <v>1200</v>
      </c>
      <c r="K60" s="39" t="n">
        <v>1300</v>
      </c>
      <c r="L60" s="39" t="n">
        <v>1000</v>
      </c>
      <c r="M60" s="39" t="n">
        <v>1300</v>
      </c>
      <c r="N60" s="39" t="n">
        <v>1430</v>
      </c>
      <c r="O60" s="77" t="n">
        <v>1287</v>
      </c>
    </row>
    <row r="76">
      <c r="A76" s="17" t="inlineStr">
        <is>
          <t>E. CẬP NHẬT SẢN LƯỢNG THEO THÁNG — Q2/2026 (quý đang chạy, tự động dò tin hoaphat.com.vn &amp; nguoiquansat.vn)</t>
        </is>
      </c>
    </row>
    <row r="77" ht="26" customHeight="1">
      <c r="A77" s="94" t="inlineStr">
        <is>
          <t>Khi HPG công bố số liệu THÁNG (chưa có số quý chính thức), điền vào đây; dòng "Ước tính quý" bên dưới = AVERAGE các tháng đã biết × 3 (công thức sống). Khi có số liệu QUÝ chính thức, số đó được dùng trực tiếp ở mục D bên trên, không cần điền mục này nữa.</t>
        </is>
      </c>
    </row>
    <row r="78">
      <c r="A78" s="8" t="inlineStr">
        <is>
          <t>Tháng</t>
        </is>
      </c>
      <c r="B78" s="8" t="inlineStr">
        <is>
          <t>SL HRC (nghìn tấn)</t>
        </is>
      </c>
      <c r="C78" s="8" t="inlineStr">
        <is>
          <t>SL XD (nghìn tấn)</t>
        </is>
      </c>
      <c r="D78" s="8" t="inlineStr">
        <is>
          <t>Tổng (nghìn tấn)</t>
        </is>
      </c>
      <c r="E78" s="8" t="inlineStr">
        <is>
          <t>Ngày đăng</t>
        </is>
      </c>
      <c r="F78" s="8" t="inlineStr">
        <is>
          <t>Nguồn (link bài viết)</t>
        </is>
      </c>
    </row>
    <row r="79">
      <c r="A79" s="25" t="inlineStr">
        <is>
          <t>Tháng 4</t>
        </is>
      </c>
      <c r="B79" s="97" t="inlineStr">
        <is>
          <t>Chưa có tin</t>
        </is>
      </c>
      <c r="C79" s="97" t="inlineStr">
        <is>
          <t>Chưa có tin</t>
        </is>
      </c>
      <c r="D79" s="97" t="inlineStr">
        <is>
          <t>Chưa có tin</t>
        </is>
      </c>
      <c r="E79" s="35" t="inlineStr">
        <is>
          <t>-</t>
        </is>
      </c>
      <c r="F79" s="27" t="inlineStr">
        <is>
          <t>-</t>
        </is>
      </c>
    </row>
    <row r="80">
      <c r="A80" s="25" t="inlineStr">
        <is>
          <t>Tháng 5</t>
        </is>
      </c>
      <c r="B80" s="98" t="n">
        <v>622</v>
      </c>
      <c r="C80" s="98" t="n">
        <v>429</v>
      </c>
      <c r="D80" s="98" t="n">
        <v>1051</v>
      </c>
      <c r="E80" s="35" t="inlineStr">
        <is>
          <t>26/06/2026</t>
        </is>
      </c>
      <c r="F80" s="99" t="inlineStr">
        <is>
          <t>https://nguoiquansat.vn/hoa-phat-hpg-san-luong-ban-thep-xay-dung-thang-5-2026-giam-hrc-van-lap-ky-luc-moi-300295.html</t>
        </is>
      </c>
    </row>
    <row r="81">
      <c r="A81" s="25" t="inlineStr">
        <is>
          <t>Tháng 6</t>
        </is>
      </c>
      <c r="B81" s="97" t="inlineStr">
        <is>
          <t>Chưa có tin</t>
        </is>
      </c>
      <c r="C81" s="97" t="inlineStr">
        <is>
          <t>Chưa có tin</t>
        </is>
      </c>
      <c r="D81" s="97" t="inlineStr">
        <is>
          <t>Chưa có tin</t>
        </is>
      </c>
      <c r="E81" s="35" t="inlineStr">
        <is>
          <t>-</t>
        </is>
      </c>
      <c r="F81" s="27" t="inlineStr">
        <is>
          <t>-</t>
        </is>
      </c>
    </row>
    <row r="82">
      <c r="A82" s="100" t="inlineStr">
        <is>
          <t>Ước tính SL 2026Q2 (nghìn tấn)</t>
        </is>
      </c>
      <c r="B82" s="98">
        <f>IFERROR(AVERAGE(B79:B81)*3,"-")</f>
        <v/>
      </c>
      <c r="C82" s="98">
        <f>IFERROR(AVERAGE(C79:C81)*3,"-")</f>
        <v/>
      </c>
      <c r="D82" s="98">
        <f>IFERROR(AVERAGE(D79:D81)*3,"-")</f>
        <v/>
      </c>
      <c r="F82" s="94">
        <f> TB(các tháng đã có tin, cột tương ứng) × 3 — công thức sống, tự cập nhật khi điền thêm tháng mới ở trên</f>
        <v/>
      </c>
    </row>
    <row r="85">
      <c r="A85" s="17" t="inlineStr">
        <is>
          <t>F. DỰ PHÓNG SẢN LƯỢNG NĂM 2026E (run-rate 2 quý đã biết)</t>
        </is>
      </c>
    </row>
    <row r="86" ht="26" customHeight="1">
      <c r="A86" s="94" t="inlineStr">
        <is>
          <t>Sản lượng năm 2026E = (SL Q1/2026 + SL 2026Q2) / 2 × 4 — annualize theo run-rate 2 quý đã biết. 03_Revenue_Model!G4/G5 (Sản lượng HRC/XD 2026E) LINK trực tiếp về đây.</t>
        </is>
      </c>
    </row>
    <row r="87">
      <c r="A87" s="25" t="inlineStr">
        <is>
          <t>SL HRC năm 2026E (triệu tấn)</t>
        </is>
      </c>
      <c r="B87" s="101">
        <f>(N59+O59)/2*4/1000</f>
        <v/>
      </c>
      <c r="D87" s="94">
        <f>N59/1000 &amp; " (Q1) + " &amp; O59/1000 &amp; " (2026Q2), triệu tấn"</f>
        <v/>
      </c>
    </row>
    <row r="88">
      <c r="A88" s="25" t="inlineStr">
        <is>
          <t>SL XD năm 2026E (triệu tấn)</t>
        </is>
      </c>
      <c r="B88" s="101">
        <f>(N60+O60)/2*4/1000</f>
        <v/>
      </c>
      <c r="D88" s="94">
        <f>N60/1000 &amp; " (Q1) + " &amp; O60/1000 &amp; " (2026Q2), triệu tấn"</f>
        <v/>
      </c>
    </row>
  </sheetData>
  <mergeCells count="23">
    <mergeCell ref="A3:AH3"/>
    <mergeCell ref="A77:H77"/>
    <mergeCell ref="D41:F41"/>
    <mergeCell ref="A56:O56"/>
    <mergeCell ref="A17:AH17"/>
    <mergeCell ref="D43:F43"/>
    <mergeCell ref="A57:O57"/>
    <mergeCell ref="A38:AH38"/>
    <mergeCell ref="B49:D49"/>
    <mergeCell ref="B51:D51"/>
    <mergeCell ref="D42:F42"/>
    <mergeCell ref="A30:AH30"/>
    <mergeCell ref="A86:H86"/>
    <mergeCell ref="B50:D50"/>
    <mergeCell ref="A76:E76"/>
    <mergeCell ref="A85:E85"/>
    <mergeCell ref="A1:AH1"/>
    <mergeCell ref="A45:AH45"/>
    <mergeCell ref="B47:D47"/>
    <mergeCell ref="B46:D46"/>
    <mergeCell ref="D40:F40"/>
    <mergeCell ref="B52:D52"/>
    <mergeCell ref="B48:D48"/>
  </mergeCells>
  <hyperlinks>
    <hyperlink xmlns:r="http://schemas.openxmlformats.org/officeDocument/2006/relationships" ref="F80" r:id="rId1"/>
  </hyperlinks>
  <pageMargins left="0.75" right="0.75" top="1" bottom="1" header="0.5" footer="0.5"/>
  <drawing xmlns:r="http://schemas.openxmlformats.org/officeDocument/2006/relationships" r:id="rId2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30" customWidth="1" min="7" max="7"/>
  </cols>
  <sheetData>
    <row r="1">
      <c r="A1" s="87" t="inlineStr">
        <is>
          <t>THỦ THUẬT KẾ TOÁN &amp; DẤU HIỆU NGÀNH THÉP</t>
        </is>
      </c>
    </row>
    <row r="3">
      <c r="A3" s="17" t="inlineStr">
        <is>
          <t>1. THỦ THUẬT KẾ TOÁN THÉP</t>
        </is>
      </c>
    </row>
    <row r="4">
      <c r="A4" s="8" t="inlineStr">
        <is>
          <t>Chỉ tiêu</t>
        </is>
      </c>
      <c r="B4" s="8" t="inlineStr">
        <is>
          <t>2021A</t>
        </is>
      </c>
      <c r="C4" s="8" t="inlineStr">
        <is>
          <t>2022A</t>
        </is>
      </c>
      <c r="D4" s="8" t="inlineStr">
        <is>
          <t>2023A</t>
        </is>
      </c>
      <c r="E4" s="8" t="inlineStr">
        <is>
          <t>2024A</t>
        </is>
      </c>
      <c r="F4" s="8" t="inlineStr">
        <is>
          <t>2025A</t>
        </is>
      </c>
      <c r="G4" s="8" t="inlineStr">
        <is>
          <t>Cảnh báo</t>
        </is>
      </c>
    </row>
    <row r="5" ht="25" customHeight="1">
      <c r="A5" s="72" t="n"/>
      <c r="B5" s="39" t="n"/>
      <c r="C5" s="39" t="n"/>
      <c r="D5" s="39" t="n"/>
      <c r="E5" s="39" t="n"/>
      <c r="F5" s="39" t="n"/>
      <c r="G5" s="73" t="n"/>
    </row>
    <row r="6" ht="25" customHeight="1">
      <c r="A6" s="72" t="n"/>
      <c r="B6" s="39" t="n">
        <v>7663</v>
      </c>
      <c r="C6" s="39" t="n">
        <v>9893</v>
      </c>
      <c r="D6" s="39" t="n">
        <v>10702</v>
      </c>
      <c r="E6" s="39" t="n">
        <v>7648</v>
      </c>
      <c r="F6" s="39" t="n">
        <v>15042</v>
      </c>
      <c r="G6" s="73" t="n"/>
    </row>
    <row r="7" ht="25" customHeight="1">
      <c r="A7" s="72" t="n"/>
      <c r="B7" s="39" t="n">
        <v>26721</v>
      </c>
      <c r="C7" s="39" t="n">
        <v>12278</v>
      </c>
      <c r="D7" s="39" t="n">
        <v>8643</v>
      </c>
      <c r="E7" s="39" t="n">
        <v>6608</v>
      </c>
      <c r="F7" s="39" t="n">
        <v>17366</v>
      </c>
      <c r="G7" s="73" t="n"/>
    </row>
    <row r="8" ht="25" customHeight="1">
      <c r="A8" s="72" t="n"/>
      <c r="B8" s="19" t="n">
        <v>0.78</v>
      </c>
      <c r="C8" s="19" t="n">
        <v>1.45</v>
      </c>
      <c r="D8" s="19" t="n">
        <v>1.26</v>
      </c>
      <c r="E8" s="19" t="n">
        <v>0.55</v>
      </c>
      <c r="F8" s="19" t="n">
        <v>1.12</v>
      </c>
      <c r="G8" s="73" t="n"/>
    </row>
    <row r="9" ht="25" customHeight="1">
      <c r="A9" s="72" t="n"/>
      <c r="B9" s="39" t="n">
        <v>23.6</v>
      </c>
      <c r="C9" s="39" t="n">
        <v>20.2</v>
      </c>
      <c r="D9" s="39" t="n">
        <v>18.4</v>
      </c>
      <c r="E9" s="39" t="n">
        <v>20.5</v>
      </c>
      <c r="F9" s="39" t="n">
        <v>20.5</v>
      </c>
      <c r="G9" s="73" t="n"/>
    </row>
    <row r="11">
      <c r="A11" s="17" t="inlineStr">
        <is>
          <t>2. DẤU HIỆU SẮP HÁI QUẢ NGỌT</t>
        </is>
      </c>
    </row>
    <row r="12">
      <c r="A12" s="65" t="inlineStr">
        <is>
          <t>Dấu hiệu</t>
        </is>
      </c>
      <c r="B12" s="65" t="inlineStr">
        <is>
          <t>Mô tả</t>
        </is>
      </c>
      <c r="C12" s="65" t="inlineStr">
        <is>
          <t>Trạng thái</t>
        </is>
      </c>
    </row>
    <row r="13" ht="35" customHeight="1">
      <c r="A13" s="25" t="inlineStr">
        <is>
          <t>1. Vĩ mô đảo chiều</t>
        </is>
      </c>
      <c r="B13" s="62" t="inlineStr">
        <is>
          <t>BĐS ấm lại, giải ngân đầu tư công tăng 22%, TQ kích thích 1,000 tỷ NDT</t>
        </is>
      </c>
      <c r="C13" s="92" t="inlineStr">
        <is>
          <t>✅ ĐÃ CÓ TÍN HIỆU</t>
        </is>
      </c>
    </row>
    <row r="14" ht="35" customHeight="1">
      <c r="A14" s="25" t="inlineStr">
        <is>
          <t>2. Spread nở ra</t>
        </is>
      </c>
      <c r="B14" s="62" t="inlineStr">
        <is>
          <t>Giá HRC 470→475 USD/tấn. Spread 150 USD/tấn (2026E) từ 128 USD/tấn (2025)</t>
        </is>
      </c>
      <c r="C14" s="92" t="inlineStr">
        <is>
          <t>✅ ĐANG XẢY RA</t>
        </is>
      </c>
    </row>
    <row r="15" ht="35" customHeight="1">
      <c r="A15" s="25" t="inlineStr">
        <is>
          <t>3. Hàng tồn kho giá rẻ</t>
        </is>
      </c>
      <c r="B15" s="62" t="inlineStr">
        <is>
          <t>Quặng giá thấp H2/2025 → tồn kho rẻ. Biên GP Q1/2026 = 15.8% (cao hơn 2025)</t>
        </is>
      </c>
      <c r="C15" s="92" t="inlineStr">
        <is>
          <t>✅ ĐANG XẢY RA</t>
        </is>
      </c>
    </row>
    <row r="16" ht="35" customHeight="1">
      <c r="A16" s="25" t="inlineStr">
        <is>
          <t>4. Nhà máy mới (DQ2)</t>
        </is>
      </c>
      <c r="B16" s="62" t="inlineStr">
        <is>
          <t>CIP giảm từ 63,656 tỷ (2024) → 10,721 tỷ (2025). DQ2 đã chạy full từ T12/2025</t>
        </is>
      </c>
      <c r="C16" s="92" t="inlineStr">
        <is>
          <t>✅ ĐÃ HOÀN THÀNH</t>
        </is>
      </c>
    </row>
    <row r="18">
      <c r="A18" s="91" t="inlineStr">
        <is>
          <t>3. ĐÁNH GIÁ CHẤT LƯỢNG KẾ TOÁN HPG</t>
        </is>
      </c>
    </row>
    <row r="19">
      <c r="A19" s="65" t="inlineStr">
        <is>
          <t>Tiêu chí</t>
        </is>
      </c>
      <c r="B19" s="65" t="inlineStr">
        <is>
          <t>Giá trị</t>
        </is>
      </c>
      <c r="C19" s="65" t="inlineStr">
        <is>
          <t>Đánh giá</t>
        </is>
      </c>
      <c r="D19" s="65" t="inlineStr">
        <is>
          <t>Kết luận</t>
        </is>
      </c>
    </row>
    <row r="20" ht="45" customHeight="1">
      <c r="A20" s="25" t="inlineStr">
        <is>
          <t>CFO/LNST bình quân 2021-2025</t>
        </is>
      </c>
      <c r="B20" s="35" t="inlineStr">
        <is>
          <t>1.03x</t>
        </is>
      </c>
      <c r="C20" s="62" t="inlineStr">
        <is>
          <t>&gt;1.0 = chất lượng cao. HPG có dòng tiền vượt lợi nhuận nhờ khấu hao lớn, ít phải dồn tích.</t>
        </is>
      </c>
      <c r="D20" s="55" t="n"/>
      <c r="E20" s="55" t="n"/>
      <c r="F20" s="56" t="n"/>
      <c r="G20" s="102" t="inlineStr">
        <is>
          <t>✅ TỐT</t>
        </is>
      </c>
    </row>
    <row r="21" ht="45" customHeight="1">
      <c r="A21" s="25" t="inlineStr">
        <is>
          <t>Dự phòng HTK / Tồn kho</t>
        </is>
      </c>
      <c r="B21" s="35" t="inlineStr">
        <is>
          <t>—</t>
        </is>
      </c>
      <c r="C21" s="62" t="inlineStr">
        <is>
          <t>HPG không công bố chi tiết. Ngành thép: thường trích ~2-5% tồn kho. Với vòng quay 3.1x, rủi ro giảm giá HTK thấp.</t>
        </is>
      </c>
      <c r="D21" s="55" t="n"/>
      <c r="E21" s="55" t="n"/>
      <c r="F21" s="56" t="n"/>
      <c r="G21" s="103" t="inlineStr">
        <is>
          <t>⚠️ CHƯA RÕ</t>
        </is>
      </c>
    </row>
    <row r="22" ht="45" customHeight="1">
      <c r="A22" s="25" t="inlineStr">
        <is>
          <t>Phải thu / Doanh thu</t>
        </is>
      </c>
      <c r="B22" s="35" t="inlineStr">
        <is>
          <t>9.6%</t>
        </is>
      </c>
      <c r="C22" s="62" t="inlineStr">
        <is>
          <t>Xu hướng: 5%→10% (2021→2025). Tỷ lệ ổn định không tăng bất thường.</t>
        </is>
      </c>
      <c r="D22" s="55" t="n"/>
      <c r="E22" s="55" t="n"/>
      <c r="F22" s="56" t="n"/>
      <c r="G22" s="102" t="inlineStr">
        <is>
          <t>✅ TỐT</t>
        </is>
      </c>
    </row>
    <row r="23" ht="45" customHeight="1">
      <c r="A23" s="25" t="inlineStr">
        <is>
          <t>Vòng quay tồn kho (ngày)</t>
        </is>
      </c>
      <c r="B23" s="35" t="inlineStr">
        <is>
          <t>130 ngày</t>
        </is>
      </c>
      <c r="C23" s="62" t="inlineStr">
        <is>
          <t>Tồn kho ~105 ngày phù hợp ngành thép (sản xuất 60-90 ngày + dự trữ 30 ngày). Không có dấu hiệu ứ đọng.</t>
        </is>
      </c>
      <c r="D23" s="55" t="n"/>
      <c r="E23" s="55" t="n"/>
      <c r="F23" s="56" t="n"/>
      <c r="G23" s="102" t="inlineStr">
        <is>
          <t>✅ TỐT</t>
        </is>
      </c>
    </row>
    <row r="24" ht="45" customHeight="1">
      <c r="A24" s="25" t="inlineStr">
        <is>
          <t>Accruals Ratio</t>
        </is>
      </c>
      <c r="B24" s="35" t="inlineStr">
        <is>
          <t>0.7%</t>
        </is>
      </c>
      <c r="C24" s="62" t="inlineStr">
        <is>
          <t>Dương nhẹ = CFO &lt; LNST do tăng phải thu/tồn kho mở rộng. Mức &lt;5% là chấp nhận được.</t>
        </is>
      </c>
      <c r="D24" s="55" t="n"/>
      <c r="E24" s="55" t="n"/>
      <c r="F24" s="56" t="n"/>
      <c r="G24" s="103" t="inlineStr">
        <is>
          <t>✅ CHẤP NHẬN ĐƯỢC</t>
        </is>
      </c>
    </row>
    <row r="25" ht="45" customHeight="1">
      <c r="A25" s="25" t="inlineStr">
        <is>
          <t>Kết luận</t>
        </is>
      </c>
      <c r="B25" s="35" t="inlineStr">
        <is>
          <t>CHẤT LƯỢNG LỢI NHUẬN TỐT</t>
        </is>
      </c>
      <c r="C25" s="62" t="inlineStr">
        <is>
          <t>HPG có lịch sử CFO/LNST &gt;1.0, ít dồn tích bất thường, vòng quay vốn lưu động ổn định. Rủi ro kế toán chính: NOTE về dự phòng HTK (cần kiểm tra chi tiết) và tỷ giá (dư nợ USD lớn). Nhìn chung, BCTC HPG phản ánh trung thực hoạt động kinh doanh.</t>
        </is>
      </c>
      <c r="D25" s="55" t="n"/>
      <c r="E25" s="55" t="n"/>
      <c r="F25" s="56" t="n"/>
      <c r="G25" s="102" t="inlineStr">
        <is>
          <t>✅ TỐT</t>
        </is>
      </c>
    </row>
    <row r="27">
      <c r="A27" s="91" t="inlineStr">
        <is>
          <t>4. ĐIỂM SỐ SẴN SÀNG HÁI QUẢ</t>
        </is>
      </c>
    </row>
    <row r="28" ht="22" customHeight="1">
      <c r="A28" s="104" t="inlineStr">
        <is>
          <t>Đánh giá tổng thể: HPG ĐÃ SẴN SÀNG CHO GIAI ĐOẠN HÁI QUẢ.
• Vĩ mô đảo chiều ✅: Lãi suất giảm, đầu tư công tăng, BĐS phục hồi.
• Spread nở ra ✅: Giá HRC hồi phục từ 618 (2023) lên 475 (2026E), Spread 182→150 USD/tấn.
• Tồn kho giá rẻ ✅: Quặng 105 USD/tấn (thấp nhất 5 năm) → lợi thế GM Q2-Q4/2026.
• DQ2 hoàn thành ✅: CIP giảm mạnh, FCF sẽ chuyển dương từ 2026.
Kết luận: HPG đang bước vào chu kỳ lợi nhuận tăng mạnh (2026-2028) nhờ hội tụ đủ 4 yếu tố. Đây là thời điểm lý tưởng để nắm giữ cổ phiếu thép chu kỳ.</t>
        </is>
      </c>
    </row>
    <row r="29" ht="22" customHeight="1"/>
    <row r="30" ht="22" customHeight="1"/>
    <row r="31" ht="22" customHeight="1"/>
    <row r="32" ht="22" customHeight="1"/>
    <row r="33" ht="22" customHeight="1"/>
  </sheetData>
  <mergeCells count="12">
    <mergeCell ref="C22:F22"/>
    <mergeCell ref="A1:G1"/>
    <mergeCell ref="C23:F23"/>
    <mergeCell ref="A18:G18"/>
    <mergeCell ref="A27:G27"/>
    <mergeCell ref="A3:G3"/>
    <mergeCell ref="C20:F20"/>
    <mergeCell ref="C21:F21"/>
    <mergeCell ref="C25:F25"/>
    <mergeCell ref="C24:F24"/>
    <mergeCell ref="A28:G32"/>
    <mergeCell ref="A11:G1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4" customWidth="1" min="11" max="11"/>
    <col width="16" customWidth="1" min="12" max="12"/>
  </cols>
  <sheetData>
    <row r="1">
      <c r="A1" s="87" t="inlineStr">
        <is>
          <t>DỮ LIỆU GIÁ HRC / QUẶNG SẮT / THAN CỐC (nguồn duy nhất)</t>
        </is>
      </c>
    </row>
    <row r="2" ht="68" customHeight="1">
      <c r="A2" s="105" t="inlineStr">
        <is>
          <t>QUẶNG SẮT (cột C, xem cột F "Nguồn giá Quặng"): MEDIAN THẬT của 3 giá tháng lấy tự động từ World Bank Pink Sheet (miễn phí, công khai) cho các quý fetch thành công ("WB") — quý fetch lỗi dùng số nghiên cứu thủ công dự phòng ("NC"). HRC &amp; THAN CỐC (cột B, D): CHƯA có nguồn giá theo tháng/ngày miễn phí tương đương → vẫn là SỐ NGHIÊN CỨU THỦ CÔNG đại diện 1 điểm/quý (KHÔNG phải median nhiều điểm — xem độ tin cậy từng mặt hàng ở mục NGUỒN DỮ LIỆU). Giá năm = MEDIAN 4 quý. Cột E = Spread HRC SỐNG LAG 1 QUÝ: HRC quý này ×1.15 (thuế CBPG AD20, từ 2025Q3) - 1.6×Quặng quý TRƯỚC - 0.6×Than quý TRƯỚC - 100 USD/t (vì tồn kho HPG bình quân ~90 ngày = ~1 quý, giá vốn kỳ này phản ánh giá NVL mua vào kỳ trước) — bấm vào ô để kiểm chứng. Cột G-H = giá/nguồn thép XD (SRRc1 futures investing.com "INV", neo nội địa VSA/SteelOnline "VN", nội suy "NC"); Cột I = Spread Rebar (không có thuế CBPG); Cột J-K = SL XD/HRC quý (link sheet 15_Quarterly_Data, chỉ có từ 2023Q1); Cột L = Spread All = bình quân gia quyền Spread Rebar/HRC theo SL quý. "Giá hiện tại" fetch tự động (investing.com/SteelOnline) khi chạy script (không cần AI hỗ trợ) — nếu fetch lỗi tự dùng giá quý gần nhất. Nguồn dữ liệu 18 quý lịch sử: xem mục "NGUỒN DỮ LIỆU" bên dưới bảng.</t>
        </is>
      </c>
    </row>
    <row r="4">
      <c r="A4" s="8" t="inlineStr">
        <is>
          <t>Quý</t>
        </is>
      </c>
      <c r="B4" s="8" t="inlineStr">
        <is>
          <t>Giá HRC (USD/t)</t>
        </is>
      </c>
      <c r="C4" s="8" t="inlineStr">
        <is>
          <t>Quặng sắt 62%Fe (USD/t)</t>
        </is>
      </c>
      <c r="D4" s="8" t="inlineStr">
        <is>
          <t>Than cốc luyện kim (USD/t)</t>
        </is>
      </c>
      <c r="E4" s="8" t="inlineStr">
        <is>
          <t>Spread HRC (USD/t)</t>
        </is>
      </c>
      <c r="F4" s="8" t="inlineStr">
        <is>
          <t>Nguồn giá Quặng</t>
        </is>
      </c>
      <c r="G4" s="8" t="inlineStr">
        <is>
          <t>Giá thép XD (USD/t)</t>
        </is>
      </c>
      <c r="H4" s="8" t="inlineStr">
        <is>
          <t>Nguồn giá XD</t>
        </is>
      </c>
      <c r="I4" s="8" t="inlineStr">
        <is>
          <t>Spread Rebar (USD/t)</t>
        </is>
      </c>
      <c r="J4" s="8" t="inlineStr">
        <is>
          <t>SL XD quý (kt)</t>
        </is>
      </c>
      <c r="K4" s="8" t="inlineStr">
        <is>
          <t>SL HRC quý (kt)</t>
        </is>
      </c>
      <c r="L4" s="8" t="inlineStr">
        <is>
          <t>Spread All (USD/t)</t>
        </is>
      </c>
    </row>
    <row r="5">
      <c r="A5" s="25" t="inlineStr">
        <is>
          <t>2021Q4</t>
        </is>
      </c>
      <c r="B5" s="10" t="n">
        <v>640</v>
      </c>
      <c r="C5" s="10" t="n">
        <v>117</v>
      </c>
      <c r="D5" s="10" t="n">
        <v>375</v>
      </c>
      <c r="E5" s="77">
        <f>B5-1.6*C5-0.6*D5-100</f>
        <v/>
      </c>
      <c r="F5" s="106" t="inlineStr">
        <is>
          <t>WB — median 3 tháng</t>
        </is>
      </c>
      <c r="G5" s="10" t="n">
        <v>600</v>
      </c>
      <c r="H5" s="107" t="inlineStr">
        <is>
          <t>NC — nội suy</t>
        </is>
      </c>
      <c r="I5" s="108">
        <f>G5-1.6*C5-0.6*D5-100</f>
        <v/>
      </c>
      <c r="J5" s="107" t="inlineStr">
        <is>
          <t>—</t>
        </is>
      </c>
      <c r="K5" s="107" t="inlineStr">
        <is>
          <t>—</t>
        </is>
      </c>
      <c r="L5" s="107" t="inlineStr">
        <is>
          <t>—</t>
        </is>
      </c>
    </row>
    <row r="6">
      <c r="A6" s="25" t="inlineStr">
        <is>
          <t>2022Q1</t>
        </is>
      </c>
      <c r="B6" s="10" t="n">
        <v>870</v>
      </c>
      <c r="C6" s="10" t="n">
        <v>142.8</v>
      </c>
      <c r="D6" s="10" t="n">
        <v>500</v>
      </c>
      <c r="E6" s="77">
        <f>B6-1.6*C5-0.6*D5-100</f>
        <v/>
      </c>
      <c r="F6" s="106" t="inlineStr">
        <is>
          <t>WB — median 3 tháng</t>
        </is>
      </c>
      <c r="G6" s="10" t="n">
        <v>600</v>
      </c>
      <c r="H6" s="107" t="inlineStr">
        <is>
          <t>NC — nội suy</t>
        </is>
      </c>
      <c r="I6" s="108">
        <f>G6-1.6*C5-0.6*D5-100</f>
        <v/>
      </c>
      <c r="J6" s="107" t="inlineStr">
        <is>
          <t>—</t>
        </is>
      </c>
      <c r="K6" s="107" t="inlineStr">
        <is>
          <t>—</t>
        </is>
      </c>
      <c r="L6" s="107" t="inlineStr">
        <is>
          <t>—</t>
        </is>
      </c>
    </row>
    <row r="7">
      <c r="A7" s="25" t="inlineStr">
        <is>
          <t>2022Q2</t>
        </is>
      </c>
      <c r="B7" s="10" t="n">
        <v>720</v>
      </c>
      <c r="C7" s="10" t="n">
        <v>131.2</v>
      </c>
      <c r="D7" s="10" t="n">
        <v>480</v>
      </c>
      <c r="E7" s="77">
        <f>B7-1.6*C6-0.6*D6-100</f>
        <v/>
      </c>
      <c r="F7" s="106" t="inlineStr">
        <is>
          <t>WB — median 3 tháng</t>
        </is>
      </c>
      <c r="G7" s="10" t="n">
        <v>600</v>
      </c>
      <c r="H7" s="107" t="inlineStr">
        <is>
          <t>NC — nội suy</t>
        </is>
      </c>
      <c r="I7" s="108">
        <f>G7-1.6*C6-0.6*D6-100</f>
        <v/>
      </c>
      <c r="J7" s="107" t="inlineStr">
        <is>
          <t>—</t>
        </is>
      </c>
      <c r="K7" s="107" t="inlineStr">
        <is>
          <t>—</t>
        </is>
      </c>
      <c r="L7" s="107" t="inlineStr">
        <is>
          <t>—</t>
        </is>
      </c>
    </row>
    <row r="8">
      <c r="A8" s="25" t="inlineStr">
        <is>
          <t>2022Q3</t>
        </is>
      </c>
      <c r="B8" s="10" t="n">
        <v>580</v>
      </c>
      <c r="C8" s="10" t="n">
        <v>108.6</v>
      </c>
      <c r="D8" s="10" t="n">
        <v>330</v>
      </c>
      <c r="E8" s="77">
        <f>B8-1.6*C7-0.6*D7-100</f>
        <v/>
      </c>
      <c r="F8" s="106" t="inlineStr">
        <is>
          <t>WB — median 3 tháng</t>
        </is>
      </c>
      <c r="G8" s="10" t="n">
        <v>600</v>
      </c>
      <c r="H8" s="107" t="inlineStr">
        <is>
          <t>NC — nội suy</t>
        </is>
      </c>
      <c r="I8" s="108">
        <f>G8-1.6*C7-0.6*D7-100</f>
        <v/>
      </c>
      <c r="J8" s="107" t="inlineStr">
        <is>
          <t>—</t>
        </is>
      </c>
      <c r="K8" s="107" t="inlineStr">
        <is>
          <t>—</t>
        </is>
      </c>
      <c r="L8" s="107" t="inlineStr">
        <is>
          <t>—</t>
        </is>
      </c>
    </row>
    <row r="9">
      <c r="A9" s="25" t="inlineStr">
        <is>
          <t>2022Q4</t>
        </is>
      </c>
      <c r="B9" s="10" t="n">
        <v>570</v>
      </c>
      <c r="C9" s="10" t="n">
        <v>93.3</v>
      </c>
      <c r="D9" s="10" t="n">
        <v>290</v>
      </c>
      <c r="E9" s="77">
        <f>B9-1.6*C8-0.6*D8-100</f>
        <v/>
      </c>
      <c r="F9" s="106" t="inlineStr">
        <is>
          <t>WB — median 3 tháng</t>
        </is>
      </c>
      <c r="G9" s="10" t="n">
        <v>600</v>
      </c>
      <c r="H9" s="107" t="inlineStr">
        <is>
          <t>NC — nội suy</t>
        </is>
      </c>
      <c r="I9" s="108">
        <f>G9-1.6*C8-0.6*D8-100</f>
        <v/>
      </c>
      <c r="J9" s="107" t="inlineStr">
        <is>
          <t>—</t>
        </is>
      </c>
      <c r="K9" s="107" t="inlineStr">
        <is>
          <t>—</t>
        </is>
      </c>
      <c r="L9" s="107" t="inlineStr">
        <is>
          <t>—</t>
        </is>
      </c>
    </row>
    <row r="10">
      <c r="A10" s="25" t="inlineStr">
        <is>
          <t>2023Q1</t>
        </is>
      </c>
      <c r="B10" s="10" t="n">
        <v>640</v>
      </c>
      <c r="C10" s="10" t="n">
        <v>127.6</v>
      </c>
      <c r="D10" s="10" t="n">
        <v>320</v>
      </c>
      <c r="E10" s="77">
        <f>B10-1.6*C9-0.6*D9-100</f>
        <v/>
      </c>
      <c r="F10" s="106" t="inlineStr">
        <is>
          <t>WB — median 3 tháng</t>
        </is>
      </c>
      <c r="G10" s="10" t="n">
        <v>600</v>
      </c>
      <c r="H10" s="107" t="inlineStr">
        <is>
          <t>NC — nội suy</t>
        </is>
      </c>
      <c r="I10" s="108">
        <f>G10-1.6*C9-0.6*D9-100</f>
        <v/>
      </c>
      <c r="J10" s="39">
        <f>'15_Quarterly_Data'!B60</f>
        <v/>
      </c>
      <c r="K10" s="39">
        <f>'15_Quarterly_Data'!B59</f>
        <v/>
      </c>
      <c r="L10" s="109">
        <f>(J10*I10+K10*E10)/(J10+K10)</f>
        <v/>
      </c>
    </row>
    <row r="11">
      <c r="A11" s="25" t="inlineStr">
        <is>
          <t>2023Q2</t>
        </is>
      </c>
      <c r="B11" s="10" t="n">
        <v>615</v>
      </c>
      <c r="C11" s="10" t="n">
        <v>113.5</v>
      </c>
      <c r="D11" s="10" t="n">
        <v>245</v>
      </c>
      <c r="E11" s="77">
        <f>B11-1.6*C10-0.6*D10-100</f>
        <v/>
      </c>
      <c r="F11" s="106" t="inlineStr">
        <is>
          <t>WB — median 3 tháng</t>
        </is>
      </c>
      <c r="G11" s="10" t="n">
        <v>600</v>
      </c>
      <c r="H11" s="107" t="inlineStr">
        <is>
          <t>NC — nội suy</t>
        </is>
      </c>
      <c r="I11" s="108">
        <f>G11-1.6*C10-0.6*D10-100</f>
        <v/>
      </c>
      <c r="J11" s="39">
        <f>'15_Quarterly_Data'!C60</f>
        <v/>
      </c>
      <c r="K11" s="39">
        <f>'15_Quarterly_Data'!C59</f>
        <v/>
      </c>
      <c r="L11" s="109">
        <f>(J11*I11+K11*E11)/(J11+K11)</f>
        <v/>
      </c>
    </row>
    <row r="12">
      <c r="A12" s="25" t="inlineStr">
        <is>
          <t>2023Q3</t>
        </is>
      </c>
      <c r="B12" s="10" t="n">
        <v>605</v>
      </c>
      <c r="C12" s="10" t="n">
        <v>114.4</v>
      </c>
      <c r="D12" s="10" t="n">
        <v>250</v>
      </c>
      <c r="E12" s="77">
        <f>B12-1.6*C11-0.6*D11-100</f>
        <v/>
      </c>
      <c r="F12" s="106" t="inlineStr">
        <is>
          <t>WB — median 3 tháng</t>
        </is>
      </c>
      <c r="G12" s="10" t="n">
        <v>600</v>
      </c>
      <c r="H12" s="107" t="inlineStr">
        <is>
          <t>NC — nội suy</t>
        </is>
      </c>
      <c r="I12" s="108">
        <f>G12-1.6*C11-0.6*D11-100</f>
        <v/>
      </c>
      <c r="J12" s="39">
        <f>'15_Quarterly_Data'!D60</f>
        <v/>
      </c>
      <c r="K12" s="39">
        <f>'15_Quarterly_Data'!D59</f>
        <v/>
      </c>
      <c r="L12" s="109">
        <f>(J12*I12+K12*E12)/(J12+K12)</f>
        <v/>
      </c>
    </row>
    <row r="13">
      <c r="A13" s="25" t="inlineStr">
        <is>
          <t>2023Q4</t>
        </is>
      </c>
      <c r="B13" s="10" t="n">
        <v>620</v>
      </c>
      <c r="C13" s="10" t="n">
        <v>131.1</v>
      </c>
      <c r="D13" s="10" t="n">
        <v>290</v>
      </c>
      <c r="E13" s="77">
        <f>B13-1.6*C12-0.6*D12-100</f>
        <v/>
      </c>
      <c r="F13" s="106" t="inlineStr">
        <is>
          <t>WB — median 3 tháng</t>
        </is>
      </c>
      <c r="G13" s="10" t="n">
        <v>600</v>
      </c>
      <c r="H13" s="107" t="inlineStr">
        <is>
          <t>NC — nội suy</t>
        </is>
      </c>
      <c r="I13" s="108">
        <f>G13-1.6*C12-0.6*D12-100</f>
        <v/>
      </c>
      <c r="J13" s="39">
        <f>'15_Quarterly_Data'!E60</f>
        <v/>
      </c>
      <c r="K13" s="39">
        <f>'15_Quarterly_Data'!E59</f>
        <v/>
      </c>
      <c r="L13" s="109">
        <f>(J13*I13+K13*E13)/(J13+K13)</f>
        <v/>
      </c>
    </row>
    <row r="14">
      <c r="A14" s="25" t="inlineStr">
        <is>
          <t>2024Q1</t>
        </is>
      </c>
      <c r="B14" s="10" t="n">
        <v>605</v>
      </c>
      <c r="C14" s="10" t="n">
        <v>124.4</v>
      </c>
      <c r="D14" s="10" t="n">
        <v>275</v>
      </c>
      <c r="E14" s="77">
        <f>B14-1.6*C13-0.6*D13-100</f>
        <v/>
      </c>
      <c r="F14" s="106" t="inlineStr">
        <is>
          <t>WB — median 3 tháng</t>
        </is>
      </c>
      <c r="G14" s="10" t="n">
        <v>600</v>
      </c>
      <c r="H14" s="107" t="inlineStr">
        <is>
          <t>NC — nội suy</t>
        </is>
      </c>
      <c r="I14" s="108">
        <f>G14-1.6*C13-0.6*D13-100</f>
        <v/>
      </c>
      <c r="J14" s="39">
        <f>'15_Quarterly_Data'!F60</f>
        <v/>
      </c>
      <c r="K14" s="39">
        <f>'15_Quarterly_Data'!F59</f>
        <v/>
      </c>
      <c r="L14" s="109">
        <f>(J14*I14+K14*E14)/(J14+K14)</f>
        <v/>
      </c>
    </row>
    <row r="15">
      <c r="A15" s="25" t="inlineStr">
        <is>
          <t>2024Q2</t>
        </is>
      </c>
      <c r="B15" s="10" t="n">
        <v>600</v>
      </c>
      <c r="C15" s="10" t="n">
        <v>112.8</v>
      </c>
      <c r="D15" s="10" t="n">
        <v>250</v>
      </c>
      <c r="E15" s="77">
        <f>B15-1.6*C14-0.6*D14-100</f>
        <v/>
      </c>
      <c r="F15" s="106" t="inlineStr">
        <is>
          <t>WB — median 3 tháng</t>
        </is>
      </c>
      <c r="G15" s="10" t="n">
        <v>600</v>
      </c>
      <c r="H15" s="107" t="inlineStr">
        <is>
          <t>NC — nội suy</t>
        </is>
      </c>
      <c r="I15" s="108">
        <f>G15-1.6*C14-0.6*D14-100</f>
        <v/>
      </c>
      <c r="J15" s="39">
        <f>'15_Quarterly_Data'!G60</f>
        <v/>
      </c>
      <c r="K15" s="39">
        <f>'15_Quarterly_Data'!G59</f>
        <v/>
      </c>
      <c r="L15" s="109">
        <f>(J15*I15+K15*E15)/(J15+K15)</f>
        <v/>
      </c>
    </row>
    <row r="16">
      <c r="A16" s="25" t="inlineStr">
        <is>
          <t>2024Q3</t>
        </is>
      </c>
      <c r="B16" s="10" t="n">
        <v>510</v>
      </c>
      <c r="C16" s="10" t="n">
        <v>99.90000000000001</v>
      </c>
      <c r="D16" s="10" t="n">
        <v>220</v>
      </c>
      <c r="E16" s="77">
        <f>B16-1.6*C15-0.6*D15-100</f>
        <v/>
      </c>
      <c r="F16" s="106" t="inlineStr">
        <is>
          <t>WB — median 3 tháng</t>
        </is>
      </c>
      <c r="G16" s="10" t="n">
        <v>600</v>
      </c>
      <c r="H16" s="107" t="inlineStr">
        <is>
          <t>NC — nội suy</t>
        </is>
      </c>
      <c r="I16" s="108">
        <f>G16-1.6*C15-0.6*D15-100</f>
        <v/>
      </c>
      <c r="J16" s="39">
        <f>'15_Quarterly_Data'!H60</f>
        <v/>
      </c>
      <c r="K16" s="39">
        <f>'15_Quarterly_Data'!H59</f>
        <v/>
      </c>
      <c r="L16" s="109">
        <f>(J16*I16+K16*E16)/(J16+K16)</f>
        <v/>
      </c>
    </row>
    <row r="17">
      <c r="A17" s="25" t="inlineStr">
        <is>
          <t>2024Q4</t>
        </is>
      </c>
      <c r="B17" s="10" t="n">
        <v>500</v>
      </c>
      <c r="C17" s="10" t="n">
        <v>101.4</v>
      </c>
      <c r="D17" s="10" t="n">
        <v>203</v>
      </c>
      <c r="E17" s="77">
        <f>B17-1.6*C16-0.6*D16-100</f>
        <v/>
      </c>
      <c r="F17" s="106" t="inlineStr">
        <is>
          <t>WB — median 3 tháng</t>
        </is>
      </c>
      <c r="G17" s="10" t="n">
        <v>600</v>
      </c>
      <c r="H17" s="107" t="inlineStr">
        <is>
          <t>NC — nội suy</t>
        </is>
      </c>
      <c r="I17" s="108">
        <f>G17-1.6*C16-0.6*D16-100</f>
        <v/>
      </c>
      <c r="J17" s="39">
        <f>'15_Quarterly_Data'!I60</f>
        <v/>
      </c>
      <c r="K17" s="39">
        <f>'15_Quarterly_Data'!I59</f>
        <v/>
      </c>
      <c r="L17" s="109">
        <f>(J17*I17+K17*E17)/(J17+K17)</f>
        <v/>
      </c>
    </row>
    <row r="18">
      <c r="A18" s="25" t="inlineStr">
        <is>
          <t>2025Q1</t>
        </is>
      </c>
      <c r="B18" s="10" t="n">
        <v>480</v>
      </c>
      <c r="C18" s="10" t="n">
        <v>100.1</v>
      </c>
      <c r="D18" s="10" t="n">
        <v>182</v>
      </c>
      <c r="E18" s="77">
        <f>B18-1.6*C17-0.6*D17-100</f>
        <v/>
      </c>
      <c r="F18" s="106" t="inlineStr">
        <is>
          <t>WB — median 3 tháng</t>
        </is>
      </c>
      <c r="G18" s="10" t="n">
        <v>600</v>
      </c>
      <c r="H18" s="107" t="inlineStr">
        <is>
          <t>NC — nội suy</t>
        </is>
      </c>
      <c r="I18" s="108">
        <f>G18-1.6*C17-0.6*D17-100</f>
        <v/>
      </c>
      <c r="J18" s="39">
        <f>'15_Quarterly_Data'!J60</f>
        <v/>
      </c>
      <c r="K18" s="39">
        <f>'15_Quarterly_Data'!J59</f>
        <v/>
      </c>
      <c r="L18" s="109">
        <f>(J18*I18+K18*E18)/(J18+K18)</f>
        <v/>
      </c>
    </row>
    <row r="19">
      <c r="A19" s="25" t="inlineStr">
        <is>
          <t>2025Q2</t>
        </is>
      </c>
      <c r="B19" s="10" t="n">
        <v>470</v>
      </c>
      <c r="C19" s="10" t="n">
        <v>97</v>
      </c>
      <c r="D19" s="10" t="n">
        <v>184</v>
      </c>
      <c r="E19" s="77">
        <f>B19-1.6*C18-0.6*D18-100</f>
        <v/>
      </c>
      <c r="F19" s="106" t="inlineStr">
        <is>
          <t>WB — median 3 tháng</t>
        </is>
      </c>
      <c r="G19" s="10" t="n">
        <v>600</v>
      </c>
      <c r="H19" s="107" t="inlineStr">
        <is>
          <t>NC — nội suy</t>
        </is>
      </c>
      <c r="I19" s="108">
        <f>G19-1.6*C18-0.6*D18-100</f>
        <v/>
      </c>
      <c r="J19" s="39">
        <f>'15_Quarterly_Data'!K60</f>
        <v/>
      </c>
      <c r="K19" s="39">
        <f>'15_Quarterly_Data'!K59</f>
        <v/>
      </c>
      <c r="L19" s="109">
        <f>(J19*I19+K19*E19)/(J19+K19)</f>
        <v/>
      </c>
    </row>
    <row r="20">
      <c r="A20" s="25" t="inlineStr">
        <is>
          <t>2025Q3</t>
        </is>
      </c>
      <c r="B20" s="10" t="n">
        <v>470</v>
      </c>
      <c r="C20" s="10" t="n">
        <v>99.7</v>
      </c>
      <c r="D20" s="10" t="n">
        <v>190</v>
      </c>
      <c r="E20" s="77">
        <f>B20*1.15-1.6*C19-0.6*D19-100</f>
        <v/>
      </c>
      <c r="F20" s="106" t="inlineStr">
        <is>
          <t>WB — median 3 tháng</t>
        </is>
      </c>
      <c r="G20" s="10" t="n">
        <v>600</v>
      </c>
      <c r="H20" s="107" t="inlineStr">
        <is>
          <t>NC — nội suy</t>
        </is>
      </c>
      <c r="I20" s="108">
        <f>G20-1.6*C19-0.6*D19-100</f>
        <v/>
      </c>
      <c r="J20" s="39">
        <f>'15_Quarterly_Data'!L60</f>
        <v/>
      </c>
      <c r="K20" s="39">
        <f>'15_Quarterly_Data'!L59</f>
        <v/>
      </c>
      <c r="L20" s="109">
        <f>(J20*I20+K20*E20)/(J20+K20)</f>
        <v/>
      </c>
    </row>
    <row r="21">
      <c r="A21" s="25" t="inlineStr">
        <is>
          <t>2025Q4</t>
        </is>
      </c>
      <c r="B21" s="10" t="n">
        <v>460</v>
      </c>
      <c r="C21" s="10" t="n">
        <v>103.5</v>
      </c>
      <c r="D21" s="10" t="n">
        <v>212</v>
      </c>
      <c r="E21" s="77">
        <f>B21*1.15-1.6*C20-0.6*D20-100</f>
        <v/>
      </c>
      <c r="F21" s="106" t="inlineStr">
        <is>
          <t>WB — median 3 tháng</t>
        </is>
      </c>
      <c r="G21" s="10" t="n">
        <v>600</v>
      </c>
      <c r="H21" s="107" t="inlineStr">
        <is>
          <t>NC — nội suy</t>
        </is>
      </c>
      <c r="I21" s="108">
        <f>G21-1.6*C20-0.6*D20-100</f>
        <v/>
      </c>
      <c r="J21" s="39">
        <f>'15_Quarterly_Data'!M60</f>
        <v/>
      </c>
      <c r="K21" s="39">
        <f>'15_Quarterly_Data'!M59</f>
        <v/>
      </c>
      <c r="L21" s="109">
        <f>(J21*I21+K21*E21)/(J21+K21)</f>
        <v/>
      </c>
    </row>
    <row r="22">
      <c r="A22" s="25" t="inlineStr">
        <is>
          <t>2026Q1</t>
        </is>
      </c>
      <c r="B22" s="10" t="n">
        <v>475</v>
      </c>
      <c r="C22" s="10" t="n">
        <v>104.5</v>
      </c>
      <c r="D22" s="10" t="n">
        <v>220</v>
      </c>
      <c r="E22" s="77">
        <f>B22*1.15-1.6*C21-0.6*D21-100</f>
        <v/>
      </c>
      <c r="F22" s="106" t="inlineStr">
        <is>
          <t>WB — median 3 tháng</t>
        </is>
      </c>
      <c r="G22" s="10" t="n">
        <v>587.8</v>
      </c>
      <c r="H22" s="107" t="inlineStr">
        <is>
          <t>VN — neo nội địa (VSA/SteelOnline)</t>
        </is>
      </c>
      <c r="I22" s="108">
        <f>G22-1.6*C21-0.6*D21-100</f>
        <v/>
      </c>
      <c r="J22" s="39">
        <f>'15_Quarterly_Data'!N60</f>
        <v/>
      </c>
      <c r="K22" s="39">
        <f>'15_Quarterly_Data'!N59</f>
        <v/>
      </c>
      <c r="L22" s="109">
        <f>(J22*I22+K22*E22)/(J22+K22)</f>
        <v/>
      </c>
    </row>
    <row r="24" ht="26" customHeight="1">
      <c r="A24" s="17" t="inlineStr">
        <is>
          <t>GIÁ HIỆN TẠI — HRC/Than: investing.com (futures, fetch tự động); Quặng: World Bank Pink Sheet (tháng mới nhất (2026, 6), KHÔNG dùng investing.com — cùng phương pháp luận với 18 quý lịch sử, tránh lệch cơ sở futures-vs-spot); Thép XD: SteelOnline nội địa (ưu tiên) hoặc SRRc1 futures (dự phòng)</t>
        </is>
      </c>
    </row>
    <row r="25">
      <c r="A25" s="25" t="inlineStr">
        <is>
          <t>Giá hiện tại (USD/t)</t>
        </is>
      </c>
      <c r="B25" s="110" t="n">
        <v>475</v>
      </c>
      <c r="C25" s="110" t="n">
        <v>100.8</v>
      </c>
      <c r="D25" s="110" t="n">
        <v>220</v>
      </c>
      <c r="G25" s="110" t="n">
        <v>577.1</v>
      </c>
      <c r="H25" s="94" t="inlineStr">
        <is>
          <t>SteelOnline noi dia (15,120 dong/kg, quy doi ty gia 26,200)</t>
        </is>
      </c>
    </row>
    <row r="26">
      <c r="A26" s="25" t="inlineStr">
        <is>
          <t>MEDIAN(đầu quý hiện tại, giá hiện tại)</t>
        </is>
      </c>
      <c r="B26" s="36">
        <f>MEDIAN(B22,B25)</f>
        <v/>
      </c>
      <c r="C26" s="36">
        <f>MEDIAN(C22,C25)</f>
        <v/>
      </c>
      <c r="D26" s="36">
        <f>MEDIAN(D22,D25)</f>
        <v/>
      </c>
      <c r="G26" s="36">
        <f>MEDIAN(G22,G25)</f>
        <v/>
      </c>
    </row>
    <row r="27">
      <c r="A27" s="41" t="inlineStr">
        <is>
          <t>Spread hiện tại (USD/t) — lag 1 quý</t>
        </is>
      </c>
      <c r="B27" s="98">
        <f>B26*1.15-1.6*C22-0.6*D22-100</f>
        <v/>
      </c>
      <c r="E27" s="94">
        <f>MEDIAN(quý này,hiện tại) HRC x1.15 - 1.6xQuặng quý trước - 0.6xThan quý trước - 100 USD/t</f>
        <v/>
      </c>
      <c r="I27" s="111">
        <f>G26-1.6*C22-0.6*D22-100</f>
        <v/>
      </c>
      <c r="J27" s="39" t="n">
        <v>1287</v>
      </c>
      <c r="K27" s="39" t="n">
        <v>1866</v>
      </c>
      <c r="L27" s="109">
        <f>(J27*I27+K27*B27)/(J27+K27)</f>
        <v/>
      </c>
    </row>
    <row r="29">
      <c r="A29" s="17" t="inlineStr">
        <is>
          <t>GIÁ NĂM = MEDIAN CÁC QUÝ TRONG NĂM (2027-2028: xu hướng tiếp nối giá hiện tại)</t>
        </is>
      </c>
    </row>
    <row r="30">
      <c r="A30" s="8" t="inlineStr">
        <is>
          <t>Chỉ tiêu</t>
        </is>
      </c>
      <c r="B30" s="8" t="inlineStr">
        <is>
          <t>2021A</t>
        </is>
      </c>
      <c r="C30" s="8" t="inlineStr">
        <is>
          <t>2022A</t>
        </is>
      </c>
      <c r="D30" s="8" t="inlineStr">
        <is>
          <t>2023A</t>
        </is>
      </c>
      <c r="E30" s="8" t="inlineStr">
        <is>
          <t>2024A</t>
        </is>
      </c>
      <c r="F30" s="8" t="inlineStr">
        <is>
          <t>2025A</t>
        </is>
      </c>
      <c r="G30" s="8" t="inlineStr">
        <is>
          <t>2026E</t>
        </is>
      </c>
      <c r="H30" s="8" t="inlineStr">
        <is>
          <t>2027E</t>
        </is>
      </c>
      <c r="I30" s="8" t="inlineStr">
        <is>
          <t>2028E</t>
        </is>
      </c>
    </row>
    <row r="31">
      <c r="A31" s="25" t="inlineStr">
        <is>
          <t>Giá HRC (USD/t)</t>
        </is>
      </c>
      <c r="B31" s="39">
        <f>B5</f>
        <v/>
      </c>
      <c r="C31" s="39">
        <f>MEDIAN(B6:B9)</f>
        <v/>
      </c>
      <c r="D31" s="39">
        <f>MEDIAN(B10:B13)</f>
        <v/>
      </c>
      <c r="E31" s="39">
        <f>MEDIAN(B14:B17)</f>
        <v/>
      </c>
      <c r="F31" s="39">
        <f>MEDIAN(B18:B21)</f>
        <v/>
      </c>
      <c r="G31" s="98">
        <f>MEDIAN(B22,B25)</f>
        <v/>
      </c>
      <c r="H31" s="39">
        <f>G31*1.02</f>
        <v/>
      </c>
      <c r="I31" s="39">
        <f>H31*1.015</f>
        <v/>
      </c>
    </row>
    <row r="32">
      <c r="A32" s="25" t="inlineStr">
        <is>
          <t>Quặng sắt 62%Fe (USD/t)</t>
        </is>
      </c>
      <c r="B32" s="39">
        <f>C5</f>
        <v/>
      </c>
      <c r="C32" s="39">
        <f>MEDIAN(C6:C9)</f>
        <v/>
      </c>
      <c r="D32" s="39">
        <f>MEDIAN(C10:C13)</f>
        <v/>
      </c>
      <c r="E32" s="39">
        <f>MEDIAN(C14:C17)</f>
        <v/>
      </c>
      <c r="F32" s="39">
        <f>MEDIAN(C18:C21)</f>
        <v/>
      </c>
      <c r="G32" s="98">
        <f>MEDIAN(C22,C25)</f>
        <v/>
      </c>
      <c r="H32" s="39">
        <f>G32*1.03</f>
        <v/>
      </c>
      <c r="I32" s="39">
        <f>H32*1.02</f>
        <v/>
      </c>
    </row>
    <row r="33">
      <c r="A33" s="25" t="inlineStr">
        <is>
          <t>Than cốc (USD/t)</t>
        </is>
      </c>
      <c r="B33" s="39">
        <f>D5</f>
        <v/>
      </c>
      <c r="C33" s="39">
        <f>MEDIAN(D6:D9)</f>
        <v/>
      </c>
      <c r="D33" s="39">
        <f>MEDIAN(D10:D13)</f>
        <v/>
      </c>
      <c r="E33" s="39">
        <f>MEDIAN(D14:D17)</f>
        <v/>
      </c>
      <c r="F33" s="39">
        <f>MEDIAN(D18:D21)</f>
        <v/>
      </c>
      <c r="G33" s="98">
        <f>MEDIAN(D22,D25)</f>
        <v/>
      </c>
      <c r="H33" s="39">
        <f>G33*1.02</f>
        <v/>
      </c>
      <c r="I33" s="39">
        <f>H33*1.02</f>
        <v/>
      </c>
    </row>
    <row r="34">
      <c r="A34" s="25" t="inlineStr">
        <is>
          <t>Giá thép XD (USD/t)</t>
        </is>
      </c>
      <c r="B34" s="39">
        <f>G5</f>
        <v/>
      </c>
      <c r="C34" s="39">
        <f>MEDIAN(G6:G9)</f>
        <v/>
      </c>
      <c r="D34" s="39">
        <f>MEDIAN(G10:G13)</f>
        <v/>
      </c>
      <c r="E34" s="39">
        <f>MEDIAN(G14:G17)</f>
        <v/>
      </c>
      <c r="F34" s="39">
        <f>MEDIAN(G18:G21)</f>
        <v/>
      </c>
      <c r="G34" s="98">
        <f>MEDIAN(G22,G25)</f>
        <v/>
      </c>
      <c r="H34" s="39">
        <f>G34*1.0164</f>
        <v/>
      </c>
      <c r="I34" s="39">
        <f>H34*1.0161</f>
        <v/>
      </c>
    </row>
    <row r="35">
      <c r="A35" s="112" t="inlineStr">
        <is>
          <t>Spread HRC (USD/t) — lag 1 quý/năm</t>
        </is>
      </c>
      <c r="B35" s="77">
        <f>E5</f>
        <v/>
      </c>
      <c r="C35" s="77">
        <f>MEDIAN(E6:E9)</f>
        <v/>
      </c>
      <c r="D35" s="77">
        <f>MEDIAN(E10:E13)</f>
        <v/>
      </c>
      <c r="E35" s="77">
        <f>MEDIAN(E14:E17)</f>
        <v/>
      </c>
      <c r="F35" s="77">
        <f>MEDIAN(E18:E21)</f>
        <v/>
      </c>
      <c r="G35" s="77">
        <f>MEDIAN(E22,B27)</f>
        <v/>
      </c>
      <c r="H35" s="77">
        <f>H31*1.15-1.6*G32-0.6*G33-100</f>
        <v/>
      </c>
      <c r="I35" s="77">
        <f>I31*1.15-1.6*H32-0.6*H33-100</f>
        <v/>
      </c>
    </row>
    <row r="36">
      <c r="A36" s="113" t="inlineStr">
        <is>
          <t>Spread Rebar (USD/t) — lag 1 quý/năm</t>
        </is>
      </c>
      <c r="B36" s="108">
        <f>I5</f>
        <v/>
      </c>
      <c r="C36" s="108">
        <f>MEDIAN(I6:I9)</f>
        <v/>
      </c>
      <c r="D36" s="108">
        <f>MEDIAN(I10:I13)</f>
        <v/>
      </c>
      <c r="E36" s="108">
        <f>MEDIAN(I14:I17)</f>
        <v/>
      </c>
      <c r="F36" s="108">
        <f>MEDIAN(I18:I21)</f>
        <v/>
      </c>
      <c r="G36" s="108">
        <f>MEDIAN(I22,I27)</f>
        <v/>
      </c>
      <c r="H36" s="108">
        <f>H34-1.6*G32-0.6*G33-100</f>
        <v/>
      </c>
      <c r="I36" s="108">
        <f>I34-1.6*H32-0.6*H33-100</f>
        <v/>
      </c>
    </row>
    <row r="37">
      <c r="A37" s="114" t="inlineStr">
        <is>
          <t>Spread All (USD/t) — bình quân gia quyền SL năm</t>
        </is>
      </c>
      <c r="B37" s="109">
        <f>(B38*B36+B39*B35)/(B38+B39)</f>
        <v/>
      </c>
      <c r="C37" s="109">
        <f>(C38*C36+C39*C35)/(C38+C39)</f>
        <v/>
      </c>
      <c r="D37" s="109">
        <f>(D38*D36+D39*D35)/(D38+D39)</f>
        <v/>
      </c>
      <c r="E37" s="109">
        <f>(E38*E36+E39*E35)/(E38+E39)</f>
        <v/>
      </c>
      <c r="F37" s="109">
        <f>(F38*F36+F39*F35)/(F38+F39)</f>
        <v/>
      </c>
      <c r="G37" s="109">
        <f>(G38*G36+G39*G35)/(G38+G39)</f>
        <v/>
      </c>
      <c r="H37" s="109">
        <f>(H38*H36+H39*H35)/(H38+H39)</f>
        <v/>
      </c>
      <c r="I37" s="109">
        <f>(I38*I36+I39*I35)/(I38+I39)</f>
        <v/>
      </c>
    </row>
    <row r="38">
      <c r="A38" s="94" t="inlineStr">
        <is>
          <t xml:space="preserve">  (SL thép XD năm, triệu tấn)</t>
        </is>
      </c>
      <c r="B38" s="115" t="n">
        <v>2.8</v>
      </c>
      <c r="C38" s="115" t="n">
        <v>2.6</v>
      </c>
      <c r="D38" s="115" t="n">
        <v>3.78</v>
      </c>
      <c r="E38" s="115" t="n">
        <v>4.4</v>
      </c>
      <c r="F38" s="115" t="n">
        <v>4.8</v>
      </c>
      <c r="G38" s="115" t="n">
        <v>4.22</v>
      </c>
      <c r="H38" s="115" t="n">
        <v>5.73</v>
      </c>
      <c r="I38" s="115" t="n">
        <v>6.02</v>
      </c>
    </row>
    <row r="39">
      <c r="A39" s="94" t="inlineStr">
        <is>
          <t xml:space="preserve">  (SL HRC năm, triệu tấn)</t>
        </is>
      </c>
      <c r="B39" s="115" t="n">
        <v>2</v>
      </c>
      <c r="C39" s="115" t="n">
        <v>2.2</v>
      </c>
      <c r="D39" s="115" t="n">
        <v>2.8</v>
      </c>
      <c r="E39" s="115" t="n">
        <v>3.05</v>
      </c>
      <c r="F39" s="115" t="n">
        <v>5</v>
      </c>
      <c r="G39" s="115" t="n">
        <v>6.27</v>
      </c>
      <c r="H39" s="115" t="n">
        <v>6.3</v>
      </c>
      <c r="I39" s="115" t="n">
        <v>6.62</v>
      </c>
    </row>
    <row r="40">
      <c r="A40" s="17" t="inlineStr">
        <is>
          <t>NGUỒN DỮ LIỆU (để kiểm chứng lại)</t>
        </is>
      </c>
    </row>
    <row r="41" ht="42" customHeight="1">
      <c r="A41" s="25" t="inlineStr">
        <is>
          <t>Giá HRC ("Giá hiện tại", B25)</t>
        </is>
      </c>
      <c r="B41" s="116" t="inlineStr">
        <is>
          <t>investing.com — LME Steel HRC FOB China Futures: https://www.investing.com/commodities/lme-steel-hrc-fob-china-futures (fetch tự động qua curl khi chạy script)</t>
        </is>
      </c>
    </row>
    <row r="42" ht="42" customHeight="1">
      <c r="A42" s="25" t="inlineStr">
        <is>
          <t>Giá Quặng sắt 62%Fe ("Giá hiện tại", C25)</t>
        </is>
      </c>
      <c r="B42" s="116" t="inlineStr">
        <is>
          <t>World Bank Commodity Markets Pink Sheet — tháng MỚI NHẤT có dữ liệu (thường trễ ~1 tháng so với hôm nay), CÙNG nguồn với 18 quý lịch sử ở trên (KHÔNG dùng investing.com cho quặng — 2 nguồn khác phương pháp luận: futures SGX TSI vs spot bình quân tháng WB, trộn lẫn dễ gây lệch cơ sở khi so hiện tại với lịch sử). Fallback về investing.com Iron Ore 62% Fe CFR Futures (https://vn.investing.com/commodities/iron-ore-62-cfr-futures) nếu World Bank fetch lỗi.</t>
        </is>
      </c>
    </row>
    <row r="43" ht="42" customHeight="1">
      <c r="A43" s="25" t="inlineStr">
        <is>
          <t>Giá Than cốc ("Giá hiện tại", D25)</t>
        </is>
      </c>
      <c r="B43" s="116" t="inlineStr">
        <is>
          <t>investing.com — Metallurgical Coke Futures (niêm yết CNY, quy đổi USD theo tỷ giá CNY_USD_RATE=7.2): https://vn.investing.com/commodities/metallurgical-coke-futures (fetch tự động qua curl khi chạy script)</t>
        </is>
      </c>
    </row>
    <row r="44" ht="42" customHeight="1">
      <c r="A44" s="25" t="inlineStr">
        <is>
          <t>Quặng sắt 18 quý lịch sử (cột C, xem cột F)</t>
        </is>
      </c>
      <c r="B44" s="116" t="inlineStr">
        <is>
          <t>18/18 quý = MEDIAN THẬT của 3 giá THÁNG lấy tự động (curl) từ World Bank Commodity Markets "Pink Sheet" (https://www.worldbank.org/en/research/commodity-markets, sheet "Monthly Prices", cột "Iron ore, cfr spot") — miễn phí, công khai, cập nhật hàng tháng, KHÔNG phải số nghiên cứu tĩnh. Quý còn lại (đánh dấu "NC" ở cột F, do World Bank chưa có đủ 3 tháng hoặc fetch lỗi) dùng số nghiên cứu thủ công dự phòng như cũ — không dừng script vì lỗi fetch.</t>
        </is>
      </c>
    </row>
    <row r="45" ht="42" customHeight="1">
      <c r="A45" s="25" t="inlineStr">
        <is>
          <t>HRC &amp; Than cốc 18 quý lịch sử (cột B, D)</t>
        </is>
      </c>
      <c r="B45" s="116" t="inlineStr">
        <is>
          <t>Tổng hợp thủ công từ báo cáo FPTS/VCBS/Argus (than cốc — có điểm neo thật, trung bình), Mysteel/SteelBenchmarker/giá xuất khẩu HPG (HRC — chỉ đúng xu hướng/độ lớn). CHƯA có nguồn giá theo tháng/ngày miễn phí tương đương World Bank cho 2 mặt hàng này → vẫn là 1 số đại diện/quý do nghiên cứu thủ công (KHÔNG phải median nhiều điểm), cần đối chiếu lại nếu dùng cho quyết định quan trọng.</t>
        </is>
      </c>
    </row>
  </sheetData>
  <mergeCells count="10">
    <mergeCell ref="A29:I29"/>
    <mergeCell ref="A1:D1"/>
    <mergeCell ref="A2:L2"/>
    <mergeCell ref="B44:I44"/>
    <mergeCell ref="A24:H24"/>
    <mergeCell ref="B42:I42"/>
    <mergeCell ref="A40:I40"/>
    <mergeCell ref="B45:I45"/>
    <mergeCell ref="B41:I41"/>
    <mergeCell ref="B43:I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2026-07-03T14:58:20Z</dcterms:created>
  <dcterms:modified xsi:type="dcterms:W3CDTF">2026-07-03T14:58:21Z</dcterms:modified>
</cp:coreProperties>
</file>