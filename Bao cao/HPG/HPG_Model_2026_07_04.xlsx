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04/07/2026 15:29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 t="n">
        <v>15.1</v>
      </c>
      <c r="H6" s="12" t="n">
        <v>14.3</v>
      </c>
      <c r="I6" s="12" t="n">
        <v>12.1</v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11.6</v>
      </c>
      <c r="H7" s="10" t="n">
        <v>10.8</v>
      </c>
      <c r="I7" s="10" t="n">
        <v>8.6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1.64x (TTM 2018-2025)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8.43x (TTM 2018-2025)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10.3x (TTM 2018-2025)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26296</v>
      </c>
      <c r="H25" s="10" t="n">
        <v>26822</v>
      </c>
      <c r="I25" s="10" t="n">
        <v>27358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82742</v>
      </c>
      <c r="H26" s="39" t="n">
        <v>85598</v>
      </c>
      <c r="I26" s="39" t="n">
        <v>81654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152742</v>
      </c>
      <c r="H28" s="39" t="n">
        <v>163598</v>
      </c>
      <c r="I28" s="39" t="n">
        <v>168654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26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26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26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3" t="inlineStr">
        <is>
          <t>Đang phát triển — sẽ thay thế tỷ trọng 70% khi hoàn thiện</t>
        </is>
      </c>
      <c r="C7" s="54" t="n"/>
      <c r="D7" s="55" t="n"/>
    </row>
    <row r="10">
      <c r="A10" s="56" t="inlineStr">
        <is>
          <t>Giá mục tiêu (có trọng số)</t>
        </is>
      </c>
      <c r="B10" s="52" t="n">
        <v>1</v>
      </c>
      <c r="C10" s="57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8" t="inlineStr">
        <is>
          <t>Upside (%)</t>
        </is>
      </c>
      <c r="C13" s="59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0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0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0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0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0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0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0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0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0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0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0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0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0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0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0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0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0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0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0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0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0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0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0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0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0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0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0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0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0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0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0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0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0" t="n">
        <v>2026</v>
      </c>
      <c r="B34" s="35" t="n">
        <v>1</v>
      </c>
      <c r="C34" s="19" t="n">
        <v>9.300000000000001</v>
      </c>
      <c r="D34" s="22" t="n">
        <v>1.41</v>
      </c>
      <c r="E34" s="19" t="n">
        <v>8.6</v>
      </c>
      <c r="F34" s="35" t="inlineStr">
        <is>
          <t>Q1-2026</t>
        </is>
      </c>
      <c r="G34" s="19" t="n">
        <v>9.300000000000001</v>
      </c>
      <c r="H34" s="19" t="n"/>
    </row>
    <row r="35">
      <c r="A35" s="60" t="n">
        <v>2026</v>
      </c>
      <c r="B35" s="35" t="n">
        <v>2</v>
      </c>
      <c r="C35" s="19" t="n">
        <v>9.300000000000001</v>
      </c>
      <c r="D35" s="22" t="n">
        <v>1.41</v>
      </c>
      <c r="E35" s="19" t="n">
        <v>8.6</v>
      </c>
      <c r="F35" s="35" t="inlineStr">
        <is>
          <t>Q2-2026</t>
        </is>
      </c>
      <c r="G35" s="19" t="n"/>
      <c r="H35" s="19" t="n">
        <v>9.300000000000001</v>
      </c>
    </row>
    <row r="36">
      <c r="A36" s="60" t="n">
        <v>2026</v>
      </c>
      <c r="B36" s="35" t="n">
        <v>3</v>
      </c>
      <c r="C36" s="19" t="n">
        <v>9.300000000000001</v>
      </c>
      <c r="D36" s="22" t="n">
        <v>1.41</v>
      </c>
      <c r="E36" s="19" t="n">
        <v>8.6</v>
      </c>
      <c r="F36" s="35" t="inlineStr">
        <is>
          <t>Q3-2026</t>
        </is>
      </c>
      <c r="G36" s="19" t="n"/>
      <c r="H36" s="19" t="n">
        <v>9.300000000000001</v>
      </c>
    </row>
    <row r="37">
      <c r="A37" s="60" t="n">
        <v>2026</v>
      </c>
      <c r="B37" s="35" t="n">
        <v>4</v>
      </c>
      <c r="C37" s="19" t="n">
        <v>9.300000000000001</v>
      </c>
      <c r="D37" s="22" t="n">
        <v>1.41</v>
      </c>
      <c r="E37" s="19" t="n">
        <v>8.6</v>
      </c>
      <c r="F37" s="35" t="inlineStr">
        <is>
          <t>Q4-2026</t>
        </is>
      </c>
      <c r="G37" s="19" t="n"/>
      <c r="H37" s="19" t="n">
        <v>9.300000000000001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1" t="inlineStr">
        <is>
          <t>Thuế CBPG HRC khổ hẹp 19.38-27.83% + AD chống lẩn tránh HRC rộng 27.83% (17/04/2026). Ổn định chính trị VN.</t>
        </is>
      </c>
      <c r="C2" s="62" t="inlineStr">
        <is>
          <t>Tích cực</t>
        </is>
      </c>
    </row>
    <row r="3">
      <c r="A3" s="25" t="inlineStr">
        <is>
          <t>Kinh tế</t>
        </is>
      </c>
      <c r="B3" s="61" t="inlineStr">
        <is>
          <t>GDP VN 2026E ~6.5%. Đầu tư công tăng mạnh (cao tốc, Long Thành). LS giảm.</t>
        </is>
      </c>
      <c r="C3" s="62" t="inlineStr">
        <is>
          <t>Tích cực</t>
        </is>
      </c>
    </row>
    <row r="4">
      <c r="A4" s="25" t="inlineStr">
        <is>
          <t>Xã hội</t>
        </is>
      </c>
      <c r="B4" s="61" t="inlineStr">
        <is>
          <t>Đô thị hoá ~38%. Nhu cầu nhà ở &amp; hạ tầng tăng.</t>
        </is>
      </c>
      <c r="C4" s="62" t="inlineStr">
        <is>
          <t>Tích cực</t>
        </is>
      </c>
    </row>
    <row r="5">
      <c r="A5" s="25" t="inlineStr">
        <is>
          <t>Công nghệ</t>
        </is>
      </c>
      <c r="B5" s="61" t="inlineStr">
        <is>
          <t>DQ2 BOF hiện đại, tự động hoá cao. Tiết kiệm 15-20% chi phí so với cũ.</t>
        </is>
      </c>
      <c r="C5" s="62" t="inlineStr">
        <is>
          <t>Tích cực</t>
        </is>
      </c>
    </row>
    <row r="6">
      <c r="A6" s="25" t="inlineStr">
        <is>
          <t>Môi trường</t>
        </is>
      </c>
      <c r="B6" s="61" t="inlineStr">
        <is>
          <t>Áp lực giảm phát thải. HPG đầu tư lọc bụi, xử lý nước thải theo chuẩn quốc tế.</t>
        </is>
      </c>
      <c r="C6" s="63" t="inlineStr">
        <is>
          <t>Trung tính</t>
        </is>
      </c>
    </row>
    <row r="7">
      <c r="A7" s="25" t="inlineStr">
        <is>
          <t>Pháp lý khác</t>
        </is>
      </c>
      <c r="B7" s="61" t="inlineStr">
        <is>
          <t>NĐ 153 trái phiếu siết chặt. Room tín dụng ngân hàng mở rộng.</t>
        </is>
      </c>
      <c r="C7" s="63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4" t="inlineStr">
        <is>
          <t>Tiêu chí</t>
        </is>
      </c>
      <c r="B10" s="64" t="inlineStr">
        <is>
          <t>Trạng thái</t>
        </is>
      </c>
      <c r="C10" s="64" t="inlineStr">
        <is>
          <t>Xu hướng</t>
        </is>
      </c>
      <c r="D10" s="64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5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4" t="n"/>
      <c r="D16" s="55" t="n"/>
    </row>
    <row r="18">
      <c r="A18" s="17" t="inlineStr">
        <is>
          <t>THỊ TRƯỜNG MỤC TIÊU (TAM)</t>
        </is>
      </c>
    </row>
    <row r="19">
      <c r="A19" s="64" t="inlineStr">
        <is>
          <t>Chỉ tiêu</t>
        </is>
      </c>
      <c r="B19" s="64" t="inlineStr">
        <is>
          <t>Giá trị</t>
        </is>
      </c>
      <c r="C19" s="64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550</v>
      </c>
      <c r="C2" s="6" t="n">
        <v>420</v>
      </c>
      <c r="D2" s="6" t="n">
        <v>461.5</v>
      </c>
      <c r="E2" s="6" t="inlineStr">
        <is>
          <t>Trung tính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100.8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180</v>
      </c>
      <c r="C4" s="6" t="n">
        <v>260</v>
      </c>
      <c r="D4" s="6" t="n">
        <v>226.8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25500</v>
      </c>
      <c r="C5" s="6" t="n">
        <v>27000</v>
      </c>
      <c r="D5" s="6" t="n">
        <v>26296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6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6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6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6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6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6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3" t="inlineStr">
        <is>
          <t>1</t>
        </is>
      </c>
      <c r="B2" s="61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2" t="inlineStr">
        <is>
          <t>Mạnh</t>
        </is>
      </c>
    </row>
    <row r="3" ht="60" customHeight="1">
      <c r="A3" s="63" t="inlineStr">
        <is>
          <t>2</t>
        </is>
      </c>
      <c r="B3" s="61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2" t="inlineStr">
        <is>
          <t>Mạnh</t>
        </is>
      </c>
    </row>
    <row r="4" ht="60" customHeight="1">
      <c r="A4" s="63" t="inlineStr">
        <is>
          <t>3</t>
        </is>
      </c>
      <c r="B4" s="61" t="inlineStr">
        <is>
          <t>Moat: Chi phí thấp nhất ngành (lò cao BOF công suất lớn). Quy mô 16M tấn. Mạng lưới phân phối rộng. Khó sao chép do CAPEX khổng lồ (DQ2 ~$3 tỷ).</t>
        </is>
      </c>
      <c r="C4" s="62" t="inlineStr">
        <is>
          <t>Rộng</t>
        </is>
      </c>
    </row>
    <row r="5" ht="60" customHeight="1">
      <c r="A5" s="63" t="inlineStr">
        <is>
          <t>4</t>
        </is>
      </c>
      <c r="B5" s="61" t="inlineStr">
        <is>
          <t>Tài chính: D/E 0.65x an toàn. ROE TTM 16.5%. FCF cải thiện nhờ DQ2 vận hành. Biên LNG phục hồi từ 10.9% (2023) lên ~15.1% (2026E).</t>
        </is>
      </c>
      <c r="C5" s="63" t="inlineStr">
        <is>
          <t>Tốt</t>
        </is>
      </c>
    </row>
    <row r="6" ht="60" customHeight="1">
      <c r="A6" s="63" t="inlineStr">
        <is>
          <t>5</t>
        </is>
      </c>
      <c r="B6" s="61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3" t="inlineStr">
        <is>
          <t>Trung bình</t>
        </is>
      </c>
    </row>
    <row r="7" ht="60" customHeight="1">
      <c r="A7" s="63" t="inlineStr">
        <is>
          <t>6</t>
        </is>
      </c>
      <c r="B7" s="61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2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4" t="inlineStr">
        <is>
          <t>Bước</t>
        </is>
      </c>
      <c r="B10" s="64" t="inlineStr">
        <is>
          <t>Mô tả</t>
        </is>
      </c>
      <c r="C10" s="64" t="inlineStr">
        <is>
          <t>Biên ước tính</t>
        </is>
      </c>
      <c r="D10" s="64" t="inlineStr">
        <is>
          <t>Ai chi phối</t>
        </is>
      </c>
      <c r="E10" s="64" t="inlineStr">
        <is>
          <t>Vị trí HPG</t>
        </is>
      </c>
    </row>
    <row r="11">
      <c r="A11" s="35" t="inlineStr">
        <is>
          <t>1</t>
        </is>
      </c>
      <c r="B11" s="61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1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1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1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1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1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4" t="inlineStr">
        <is>
          <t>Loại Moat</t>
        </is>
      </c>
      <c r="B18" s="64" t="inlineStr">
        <is>
          <t>Mức độ</t>
        </is>
      </c>
      <c r="C18" s="64" t="inlineStr">
        <is>
          <t>Bằng chứng định lượng</t>
        </is>
      </c>
      <c r="D18" s="64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1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1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1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1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1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7" t="inlineStr">
        <is>
          <t>WIDE MOAT | ROIC ~10.5% &gt; WACC ~9.0% → Tạo giá trị</t>
        </is>
      </c>
      <c r="C24" s="54" t="n"/>
      <c r="D24" s="54" t="n"/>
      <c r="E24" s="54" t="n"/>
      <c r="F24" s="54" t="n"/>
      <c r="G24" s="55" t="n"/>
    </row>
    <row r="26">
      <c r="A26" s="17" t="inlineStr">
        <is>
          <t>CHI TIẾT TẦNG 5: MA TRẬN RỦI RO &amp; CATALYST</t>
        </is>
      </c>
    </row>
    <row r="27">
      <c r="A27" s="64" t="inlineStr">
        <is>
          <t>Rủi ro</t>
        </is>
      </c>
      <c r="B27" s="64" t="inlineStr">
        <is>
          <t>Loại</t>
        </is>
      </c>
      <c r="C27" s="64" t="inlineStr">
        <is>
          <t>Xác suất</t>
        </is>
      </c>
      <c r="D27" s="64" t="inlineStr">
        <is>
          <t>Tác động</t>
        </is>
      </c>
      <c r="E27" s="64" t="inlineStr">
        <is>
          <t>Leading Indicator</t>
        </is>
      </c>
      <c r="F27" s="64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4" t="inlineStr">
        <is>
          <t>Catalyst</t>
        </is>
      </c>
      <c r="B34" s="64" t="inlineStr">
        <is>
          <t>Mô tả</t>
        </is>
      </c>
      <c r="C34" s="64" t="inlineStr">
        <is>
          <t>Thời điểm</t>
        </is>
      </c>
      <c r="D34" s="64" t="inlineStr">
        <is>
          <t>Tác động giá</t>
        </is>
      </c>
      <c r="E34" s="64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8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8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8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8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8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8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8">
        <f>(I10/F10)^(1/3)-1</f>
        <v/>
      </c>
    </row>
    <row r="11">
      <c r="A11" s="25" t="inlineStr">
        <is>
          <t>D/E (x)</t>
        </is>
      </c>
      <c r="B11" s="69">
        <f>('02_Assumptions'!B11-'02_Assumptions'!B12)/'02_Assumptions'!B13</f>
        <v/>
      </c>
      <c r="C11" s="69">
        <f>('02_Assumptions'!C11-'02_Assumptions'!C12)/'02_Assumptions'!C13</f>
        <v/>
      </c>
      <c r="D11" s="69">
        <f>('02_Assumptions'!D11-'02_Assumptions'!D12)/'02_Assumptions'!D13</f>
        <v/>
      </c>
      <c r="E11" s="69">
        <f>('02_Assumptions'!E11-'02_Assumptions'!E12)/'02_Assumptions'!E13</f>
        <v/>
      </c>
      <c r="F11" s="69">
        <f>('02_Assumptions'!F11-'02_Assumptions'!F12)/'02_Assumptions'!F13</f>
        <v/>
      </c>
      <c r="G11" s="69">
        <f>('02_Assumptions'!G11-'02_Assumptions'!G12)/'02_Assumptions'!G13</f>
        <v/>
      </c>
      <c r="H11" s="69">
        <f>('02_Assumptions'!H11-'02_Assumptions'!H12)/'02_Assumptions'!H13</f>
        <v/>
      </c>
      <c r="I11" s="69">
        <f>('02_Assumptions'!I11-'02_Assumptions'!I12)/'02_Assumptions'!I13</f>
        <v/>
      </c>
      <c r="J11" s="68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8">
        <f>(I12/F12)^(1/3)-1</f>
        <v/>
      </c>
    </row>
    <row r="13">
      <c r="A13" s="25" t="inlineStr">
        <is>
          <t>P/B (x)</t>
        </is>
      </c>
      <c r="B13" s="69">
        <f>('02_Assumptions'!$B$2*'02_Assumptions'!$B$3/1000)/'02_Assumptions'!B13</f>
        <v/>
      </c>
      <c r="C13" s="69">
        <f>('02_Assumptions'!$B$2*'02_Assumptions'!$B$3/1000)/'02_Assumptions'!C13</f>
        <v/>
      </c>
      <c r="D13" s="69">
        <f>('02_Assumptions'!$B$2*'02_Assumptions'!$B$3/1000)/'02_Assumptions'!D13</f>
        <v/>
      </c>
      <c r="E13" s="69">
        <f>('02_Assumptions'!$B$2*'02_Assumptions'!$B$3/1000)/'02_Assumptions'!E13</f>
        <v/>
      </c>
      <c r="F13" s="69">
        <f>('02_Assumptions'!$B$2*'02_Assumptions'!$B$3/1000)/'02_Assumptions'!F13</f>
        <v/>
      </c>
      <c r="G13" s="69">
        <f>('02_Assumptions'!$B$2*'02_Assumptions'!$B$3/1000)/'02_Assumptions'!G13</f>
        <v/>
      </c>
      <c r="H13" s="69">
        <f>('02_Assumptions'!$B$2*'02_Assumptions'!$B$3/1000)/'02_Assumptions'!H13</f>
        <v/>
      </c>
      <c r="I13" s="69">
        <f>('02_Assumptions'!$B$2*'02_Assumptions'!$B$3/1000)/'02_Assumptions'!I13</f>
        <v/>
      </c>
      <c r="J13" s="68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8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8">
        <f>(I15/F15)^(1/3)-1</f>
        <v/>
      </c>
    </row>
    <row r="17">
      <c r="A17" s="70" t="inlineStr">
        <is>
          <t>KẾ HOẠCH ĐHĐCĐ 2026 vs THỰC HIỆN 2025</t>
        </is>
      </c>
    </row>
    <row r="18">
      <c r="A18" s="64" t="inlineStr">
        <is>
          <t>Chỉ tiêu</t>
        </is>
      </c>
      <c r="B18" s="64" t="inlineStr">
        <is>
          <t>KH 2025</t>
        </is>
      </c>
      <c r="C18" s="64" t="inlineStr">
        <is>
          <t>TH 2025</t>
        </is>
      </c>
      <c r="D18" s="64" t="inlineStr">
        <is>
          <t>% hoàn thành</t>
        </is>
      </c>
      <c r="E18" s="64" t="inlineStr">
        <is>
          <t>KH 2026</t>
        </is>
      </c>
      <c r="F18" s="64" t="inlineStr">
        <is>
          <t>Q1/2026</t>
        </is>
      </c>
      <c r="G18" s="64" t="inlineStr">
        <is>
          <t>% KH năm</t>
        </is>
      </c>
    </row>
    <row r="19" ht="25" customHeight="1">
      <c r="A19" s="63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3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4" t="inlineStr">
        <is>
          <t>Chỉ tiêu</t>
        </is>
      </c>
      <c r="B22" s="64" t="inlineStr">
        <is>
          <t>2021A</t>
        </is>
      </c>
      <c r="C22" s="64" t="inlineStr">
        <is>
          <t>2022A</t>
        </is>
      </c>
      <c r="D22" s="64" t="inlineStr">
        <is>
          <t>2023A</t>
        </is>
      </c>
      <c r="E22" s="64" t="inlineStr">
        <is>
          <t>2024A</t>
        </is>
      </c>
      <c r="F22" s="64" t="inlineStr">
        <is>
          <t>2025A</t>
        </is>
      </c>
      <c r="G22" s="64" t="inlineStr">
        <is>
          <t>Nhận xét</t>
        </is>
      </c>
    </row>
    <row r="23" ht="30" customHeight="1">
      <c r="A23" s="71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2" t="n"/>
    </row>
    <row r="24" ht="30" customHeight="1">
      <c r="A24" s="71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2" t="n"/>
    </row>
    <row r="25" ht="30" customHeight="1">
      <c r="A25" s="71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2" t="n"/>
    </row>
    <row r="26" ht="30" customHeight="1">
      <c r="A26" s="71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2" t="n"/>
    </row>
    <row r="28">
      <c r="A28" s="17" t="inlineStr">
        <is>
          <t>BRIDGE ANALYSIS 2025A → 2026E</t>
        </is>
      </c>
    </row>
    <row r="29">
      <c r="A29" s="64" t="inlineStr">
        <is>
          <t>Chỉ tiêu</t>
        </is>
      </c>
      <c r="B29" s="64" t="inlineStr">
        <is>
          <t>Giá trị</t>
        </is>
      </c>
      <c r="C29" s="64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3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+35,330 tỷ</t>
        </is>
      </c>
      <c r="C31" s="73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3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191,446 tỷ</t>
        </is>
      </c>
      <c r="C33" s="73" t="inlineStr">
        <is>
          <t>KH ĐHĐCĐ: 210,000 tỷ</t>
        </is>
      </c>
    </row>
    <row r="34" ht="22" customHeight="1">
      <c r="A34" s="27" t="inlineStr"/>
      <c r="B34" s="35" t="inlineStr"/>
      <c r="C34" s="73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3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3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3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15.1%</t>
        </is>
      </c>
      <c r="C38" s="73" t="inlineStr">
        <is>
          <t>Spread trend từ Q1/2026</t>
        </is>
      </c>
    </row>
    <row r="39" ht="22" customHeight="1">
      <c r="A39" s="27" t="inlineStr"/>
      <c r="B39" s="35" t="inlineStr"/>
      <c r="C39" s="73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3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+6,813 tỷ</t>
        </is>
      </c>
      <c r="C41" s="73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3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22,266 tỷ</t>
        </is>
      </c>
      <c r="C43" s="73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4" t="inlineStr">
        <is>
          <t>PHÂN TÍCH NGÀNH THÉP — HPG (Skill: thep)</t>
        </is>
      </c>
      <c r="B1" s="54" t="n"/>
      <c r="C1" s="54" t="n"/>
      <c r="D1" s="54" t="n"/>
      <c r="E1" s="54" t="n"/>
      <c r="F1" s="54" t="n"/>
      <c r="G1" s="54" t="n"/>
      <c r="H1" s="54" t="n"/>
      <c r="I1" s="55" t="n"/>
    </row>
    <row r="2">
      <c r="A2" s="75" t="inlineStr">
        <is>
          <t>Phân loại: phan-loai-nganh → Nhóm 7: Thép (HPG, HSG, NKG, TVN)</t>
        </is>
      </c>
    </row>
    <row r="3">
      <c r="A3" s="75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7">
        <f>'17_Gia_Hang_Hoa'!B31</f>
        <v/>
      </c>
      <c r="C7" s="57">
        <f>'17_Gia_Hang_Hoa'!C31</f>
        <v/>
      </c>
      <c r="D7" s="57">
        <f>'17_Gia_Hang_Hoa'!D31</f>
        <v/>
      </c>
      <c r="E7" s="57">
        <f>'17_Gia_Hang_Hoa'!E31</f>
        <v/>
      </c>
      <c r="F7" s="57">
        <f>'17_Gia_Hang_Hoa'!F31</f>
        <v/>
      </c>
      <c r="G7" s="57">
        <f>'17_Gia_Hang_Hoa'!G31</f>
        <v/>
      </c>
      <c r="H7" s="57">
        <f>'17_Gia_Hang_Hoa'!H31</f>
        <v/>
      </c>
      <c r="I7" s="57">
        <f>'17_Gia_Hang_Hoa'!I31</f>
        <v/>
      </c>
    </row>
    <row r="8">
      <c r="A8" s="25" t="inlineStr">
        <is>
          <t>Giá quặng sắt 62%Fe (USD/tấn)</t>
        </is>
      </c>
      <c r="B8" s="57">
        <f>'17_Gia_Hang_Hoa'!B32</f>
        <v/>
      </c>
      <c r="C8" s="57">
        <f>'17_Gia_Hang_Hoa'!C32</f>
        <v/>
      </c>
      <c r="D8" s="57">
        <f>'17_Gia_Hang_Hoa'!D32</f>
        <v/>
      </c>
      <c r="E8" s="57">
        <f>'17_Gia_Hang_Hoa'!E32</f>
        <v/>
      </c>
      <c r="F8" s="57">
        <f>'17_Gia_Hang_Hoa'!F32</f>
        <v/>
      </c>
      <c r="G8" s="57">
        <f>'17_Gia_Hang_Hoa'!G32</f>
        <v/>
      </c>
      <c r="H8" s="57">
        <f>'17_Gia_Hang_Hoa'!H32</f>
        <v/>
      </c>
      <c r="I8" s="57">
        <f>'17_Gia_Hang_Hoa'!I32</f>
        <v/>
      </c>
    </row>
    <row r="9">
      <c r="A9" s="25" t="inlineStr">
        <is>
          <t>Giá than cốc (USD/tấn)</t>
        </is>
      </c>
      <c r="B9" s="57">
        <f>'17_Gia_Hang_Hoa'!B33</f>
        <v/>
      </c>
      <c r="C9" s="57">
        <f>'17_Gia_Hang_Hoa'!C33</f>
        <v/>
      </c>
      <c r="D9" s="57">
        <f>'17_Gia_Hang_Hoa'!D33</f>
        <v/>
      </c>
      <c r="E9" s="57">
        <f>'17_Gia_Hang_Hoa'!E33</f>
        <v/>
      </c>
      <c r="F9" s="57">
        <f>'17_Gia_Hang_Hoa'!F33</f>
        <v/>
      </c>
      <c r="G9" s="57">
        <f>'17_Gia_Hang_Hoa'!G33</f>
        <v/>
      </c>
      <c r="H9" s="57">
        <f>'17_Gia_Hang_Hoa'!H33</f>
        <v/>
      </c>
      <c r="I9" s="57">
        <f>'17_Gia_Hang_Hoa'!I33</f>
        <v/>
      </c>
    </row>
    <row r="10">
      <c r="A10" s="25" t="inlineStr">
        <is>
          <t>Spread thép (USD/tấn)</t>
        </is>
      </c>
      <c r="B10" s="76">
        <f>'17_Gia_Hang_Hoa'!B35</f>
        <v/>
      </c>
      <c r="C10" s="76">
        <f>'17_Gia_Hang_Hoa'!C35</f>
        <v/>
      </c>
      <c r="D10" s="76">
        <f>'17_Gia_Hang_Hoa'!D35</f>
        <v/>
      </c>
      <c r="E10" s="76">
        <f>'17_Gia_Hang_Hoa'!E35</f>
        <v/>
      </c>
      <c r="F10" s="76">
        <f>'17_Gia_Hang_Hoa'!F35</f>
        <v/>
      </c>
      <c r="G10" s="76">
        <f>'17_Gia_Hang_Hoa'!G35</f>
        <v/>
      </c>
      <c r="H10" s="76">
        <f>'17_Gia_Hang_Hoa'!H35</f>
        <v/>
      </c>
      <c r="I10" s="76">
        <f>'17_Gia_Hang_Hoa'!I35</f>
        <v/>
      </c>
    </row>
    <row r="11">
      <c r="A11" s="25" t="inlineStr">
        <is>
          <t>Spread / Giá HRC (%)</t>
        </is>
      </c>
      <c r="B11" s="77">
        <f>B10/B7*100</f>
        <v/>
      </c>
      <c r="C11" s="77">
        <f>C10/C7*100</f>
        <v/>
      </c>
      <c r="D11" s="77">
        <f>D10/D7*100</f>
        <v/>
      </c>
      <c r="E11" s="77">
        <f>E10/E7*100</f>
        <v/>
      </c>
      <c r="F11" s="77">
        <f>F10/F7*100</f>
        <v/>
      </c>
      <c r="G11" s="77">
        <f>G10/G7*100</f>
        <v/>
      </c>
      <c r="H11" s="77">
        <f>H10/H7*100</f>
        <v/>
      </c>
      <c r="I11" s="77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78">
        <f>'03_Revenue_Model'!B4</f>
        <v/>
      </c>
      <c r="C14" s="78">
        <f>'03_Revenue_Model'!C4</f>
        <v/>
      </c>
      <c r="D14" s="78">
        <f>'03_Revenue_Model'!D4</f>
        <v/>
      </c>
      <c r="E14" s="78">
        <f>'03_Revenue_Model'!E4</f>
        <v/>
      </c>
      <c r="F14" s="78">
        <f>'03_Revenue_Model'!F4</f>
        <v/>
      </c>
      <c r="G14" s="78">
        <f>'03_Revenue_Model'!G4</f>
        <v/>
      </c>
      <c r="H14" s="78">
        <f>'03_Revenue_Model'!H4</f>
        <v/>
      </c>
      <c r="I14" s="78">
        <f>'03_Revenue_Model'!I4</f>
        <v/>
      </c>
    </row>
    <row r="15">
      <c r="A15" s="25" t="inlineStr">
        <is>
          <t>Sản lượng thép XD HPG (triệu tấn)</t>
        </is>
      </c>
      <c r="B15" s="78">
        <f>'03_Revenue_Model'!B5</f>
        <v/>
      </c>
      <c r="C15" s="78">
        <f>'03_Revenue_Model'!C5</f>
        <v/>
      </c>
      <c r="D15" s="78">
        <f>'03_Revenue_Model'!D5</f>
        <v/>
      </c>
      <c r="E15" s="78">
        <f>'03_Revenue_Model'!E5</f>
        <v/>
      </c>
      <c r="F15" s="78">
        <f>'03_Revenue_Model'!F5</f>
        <v/>
      </c>
      <c r="G15" s="78">
        <f>'03_Revenue_Model'!G5</f>
        <v/>
      </c>
      <c r="H15" s="78">
        <f>'03_Revenue_Model'!H5</f>
        <v/>
      </c>
      <c r="I15" s="78">
        <f>'03_Revenue_Model'!I5</f>
        <v/>
      </c>
    </row>
    <row r="16">
      <c r="A16" s="25" t="inlineStr">
        <is>
          <t>Tổng sản lượng HPG (triệu tấn)</t>
        </is>
      </c>
      <c r="B16" s="78">
        <f>B14+B15</f>
        <v/>
      </c>
      <c r="C16" s="78">
        <f>C14+C15</f>
        <v/>
      </c>
      <c r="D16" s="78">
        <f>D14+D15</f>
        <v/>
      </c>
      <c r="E16" s="78">
        <f>E14+E15</f>
        <v/>
      </c>
      <c r="F16" s="78">
        <f>F14+F15</f>
        <v/>
      </c>
      <c r="G16" s="78">
        <f>G14+G15</f>
        <v/>
      </c>
      <c r="H16" s="78">
        <f>H14+H15</f>
        <v/>
      </c>
      <c r="I16" s="78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4" t="n"/>
      <c r="D21" s="54" t="n"/>
      <c r="E21" s="54" t="n"/>
      <c r="F21" s="54" t="n"/>
      <c r="G21" s="54" t="n"/>
      <c r="H21" s="54" t="n"/>
      <c r="I21" s="55" t="n"/>
    </row>
    <row r="22" ht="30" customHeight="1">
      <c r="A22" s="25" t="inlineStr">
        <is>
          <t>Đầu ra</t>
        </is>
      </c>
      <c r="B22" s="61" t="inlineStr">
        <is>
          <t>Giá HRC phụ thuộc nhu cầu TQ, thuế CBPG 27.8% bảo vệ thị trường nội địa</t>
        </is>
      </c>
      <c r="C22" s="54" t="n"/>
      <c r="D22" s="54" t="n"/>
      <c r="E22" s="54" t="n"/>
      <c r="F22" s="54" t="n"/>
      <c r="G22" s="54" t="n"/>
      <c r="H22" s="54" t="n"/>
      <c r="I22" s="55" t="n"/>
    </row>
    <row r="23" ht="30" customHeight="1">
      <c r="A23" s="25" t="inlineStr">
        <is>
          <t>Đầu vào</t>
        </is>
      </c>
      <c r="B23" s="61" t="inlineStr">
        <is>
          <t>Quặng sắt (62%Fe) và than cốc chiếm ~60% giá thành. HPG tự chủ 50% quặng</t>
        </is>
      </c>
      <c r="C23" s="54" t="n"/>
      <c r="D23" s="54" t="n"/>
      <c r="E23" s="54" t="n"/>
      <c r="F23" s="54" t="n"/>
      <c r="G23" s="54" t="n"/>
      <c r="H23" s="54" t="n"/>
      <c r="I23" s="55" t="n"/>
    </row>
    <row r="24" ht="30" customHeight="1">
      <c r="A24" s="25" t="inlineStr">
        <is>
          <t>Vĩ mô</t>
        </is>
      </c>
      <c r="B24" s="61" t="inlineStr">
        <is>
          <t>GDP VN ~6.5%, đầu tư công cao tốc Bắc-Nam + Long Thành kéo nhu cầu thép</t>
        </is>
      </c>
      <c r="C24" s="54" t="n"/>
      <c r="D24" s="54" t="n"/>
      <c r="E24" s="54" t="n"/>
      <c r="F24" s="54" t="n"/>
      <c r="G24" s="54" t="n"/>
      <c r="H24" s="54" t="n"/>
      <c r="I24" s="55" t="n"/>
    </row>
    <row r="25" ht="30" customHeight="1">
      <c r="A25" s="25" t="inlineStr">
        <is>
          <t>Cạnh tranh</t>
        </is>
      </c>
      <c r="B25" s="61" t="inlineStr">
        <is>
          <t>HPG dẫn đầu thị phần HRC (~70%) và thép XD (~40%). Đối thủ: HSG, NKG</t>
        </is>
      </c>
      <c r="C25" s="54" t="n"/>
      <c r="D25" s="54" t="n"/>
      <c r="E25" s="54" t="n"/>
      <c r="F25" s="54" t="n"/>
      <c r="G25" s="54" t="n"/>
      <c r="H25" s="54" t="n"/>
      <c r="I25" s="55" t="n"/>
    </row>
    <row r="26" ht="30" customHeight="1">
      <c r="A26" s="25" t="inlineStr">
        <is>
          <t>Rủi ro</t>
        </is>
      </c>
      <c r="B26" s="61" t="inlineStr">
        <is>
          <t>Giá HRC giảm, quặng/than tăng, tỷ giá USD, BĐS suy thoái</t>
        </is>
      </c>
      <c r="C26" s="54" t="n"/>
      <c r="D26" s="54" t="n"/>
      <c r="E26" s="54" t="n"/>
      <c r="F26" s="54" t="n"/>
      <c r="G26" s="54" t="n"/>
      <c r="H26" s="54" t="n"/>
      <c r="I26" s="55" t="n"/>
    </row>
    <row r="27" ht="30" customHeight="1">
      <c r="A27" s="25" t="inlineStr">
        <is>
          <t>Định giá</t>
        </is>
      </c>
      <c r="B27" s="61" t="inlineStr">
        <is>
          <t>P/B là công cụ chính (mua 0.7-1.0x, bán 2.0-2.5x). P/E là bẫy chu kỳ</t>
        </is>
      </c>
      <c r="C27" s="54" t="n"/>
      <c r="D27" s="54" t="n"/>
      <c r="E27" s="54" t="n"/>
      <c r="F27" s="54" t="n"/>
      <c r="G27" s="54" t="n"/>
      <c r="H27" s="54" t="n"/>
      <c r="I27" s="55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6">
        <f>365/B32</f>
        <v/>
      </c>
      <c r="C33" s="76">
        <f>365/C32</f>
        <v/>
      </c>
      <c r="D33" s="76">
        <f>365/D32</f>
        <v/>
      </c>
      <c r="E33" s="76">
        <f>365/E32</f>
        <v/>
      </c>
      <c r="F33" s="76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9.300000000000001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1.41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4" t="inlineStr">
        <is>
          <t>Năm</t>
        </is>
      </c>
      <c r="B49" s="64" t="inlineStr">
        <is>
          <t>2019</t>
        </is>
      </c>
      <c r="C49" s="64" t="inlineStr">
        <is>
          <t>2020</t>
        </is>
      </c>
      <c r="D49" s="64" t="inlineStr">
        <is>
          <t>2021</t>
        </is>
      </c>
      <c r="E49" s="64" t="inlineStr">
        <is>
          <t>2022</t>
        </is>
      </c>
      <c r="F49" s="64" t="inlineStr">
        <is>
          <t>2023</t>
        </is>
      </c>
      <c r="G49" s="64" t="inlineStr">
        <is>
          <t>2024</t>
        </is>
      </c>
      <c r="H49" s="64" t="inlineStr">
        <is>
          <t>2025</t>
        </is>
      </c>
      <c r="I49" s="64" t="inlineStr">
        <is>
          <t>2026F</t>
        </is>
      </c>
      <c r="J49" s="64" t="inlineStr">
        <is>
          <t>2027F</t>
        </is>
      </c>
    </row>
    <row r="50">
      <c r="A50" s="71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1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1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1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4" t="inlineStr">
        <is>
          <t>Quốc gia</t>
        </is>
      </c>
      <c r="B57" s="64" t="inlineStr">
        <is>
          <t>TQ</t>
        </is>
      </c>
      <c r="C57" s="64" t="inlineStr">
        <is>
          <t>Ấn Độ</t>
        </is>
      </c>
      <c r="D57" s="64" t="inlineStr">
        <is>
          <t>EU</t>
        </is>
      </c>
      <c r="E57" s="64" t="inlineStr">
        <is>
          <t>Nhật Bản</t>
        </is>
      </c>
      <c r="F57" s="64" t="inlineStr">
        <is>
          <t>Hoa Kỳ</t>
        </is>
      </c>
      <c r="G57" s="64" t="inlineStr">
        <is>
          <t>Nga</t>
        </is>
      </c>
      <c r="H57" s="64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4" t="inlineStr">
        <is>
          <t>Chỉ tiêu</t>
        </is>
      </c>
      <c r="B62" s="64" t="inlineStr">
        <is>
          <t>2024</t>
        </is>
      </c>
      <c r="C62" s="64" t="inlineStr">
        <is>
          <t>2025</t>
        </is>
      </c>
      <c r="D62" s="64" t="inlineStr">
        <is>
          <t>2026F</t>
        </is>
      </c>
    </row>
    <row r="63">
      <c r="A63" s="63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3" t="inlineStr">
        <is>
          <t>SX bởi Hòa Phát (HPG)</t>
        </is>
      </c>
      <c r="B64" s="63" t="inlineStr">
        <is>
          <t>3,000,000</t>
        </is>
      </c>
      <c r="C64" s="63" t="inlineStr">
        <is>
          <t>7,200,000</t>
        </is>
      </c>
      <c r="D64" s="63" t="inlineStr">
        <is>
          <t>8,600,000</t>
        </is>
      </c>
    </row>
    <row r="65">
      <c r="A65" s="63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3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3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4" t="inlineStr">
        <is>
          <t>Lĩnh vực</t>
        </is>
      </c>
      <c r="B72" s="64" t="inlineStr">
        <is>
          <t>Tỷ trọng</t>
        </is>
      </c>
      <c r="C72" s="64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4" t="inlineStr">
        <is>
          <t>Nguyên liệu</t>
        </is>
      </c>
      <c r="B84" s="64" t="inlineStr">
        <is>
          <t>Tỷ lệ NK</t>
        </is>
      </c>
      <c r="C84" s="64" t="inlineStr">
        <is>
          <t>Nguồn chính</t>
        </is>
      </c>
      <c r="D84" s="64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4" t="inlineStr">
        <is>
          <t>Khu vực</t>
        </is>
      </c>
      <c r="B90" s="64" t="inlineStr">
        <is>
          <t>Tỷ trọng 2025</t>
        </is>
      </c>
      <c r="C90" s="64" t="inlineStr">
        <is>
          <t>So với 2024</t>
        </is>
      </c>
    </row>
    <row r="91">
      <c r="A91" s="63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3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4" t="inlineStr">
        <is>
          <t>Yếu tố chi phí</t>
        </is>
      </c>
      <c r="B100" s="64" t="inlineStr">
        <is>
          <t>Tỷ trọng</t>
        </is>
      </c>
      <c r="C100" s="64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1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1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1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1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1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1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4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4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4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3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4" t="n"/>
      <c r="F40" s="55" t="n"/>
    </row>
    <row r="41" ht="25" customHeight="1">
      <c r="A41" s="63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4" t="n"/>
      <c r="F41" s="55" t="n"/>
    </row>
    <row r="42" ht="25" customHeight="1">
      <c r="A42" s="63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4" t="n"/>
      <c r="F42" s="55" t="n"/>
    </row>
    <row r="43" ht="25" customHeight="1">
      <c r="A43" s="63" t="inlineStr">
        <is>
          <t>% KH 2026E</t>
        </is>
      </c>
      <c r="B43" s="35" t="inlineStr">
        <is>
          <t>40.4%</t>
        </is>
      </c>
      <c r="C43" s="35" t="inlineStr">
        <is>
          <t>KH 2026E NI: 22,266 tỷ</t>
        </is>
      </c>
      <c r="D43" s="35" t="inlineStr">
        <is>
          <t>Q1 đã đạt gần nửa kế hoạch năm</t>
        </is>
      </c>
      <c r="E43" s="54" t="n"/>
      <c r="F43" s="55" t="n"/>
    </row>
    <row r="45">
      <c r="A45" s="91" t="inlineStr">
        <is>
          <t>PHÂN TÍCH XU HƯỚNG QUÝ</t>
        </is>
      </c>
    </row>
    <row r="46">
      <c r="A46" s="64" t="inlineStr">
        <is>
          <t>Chỉ tiêu</t>
        </is>
      </c>
      <c r="B46" s="64" t="inlineStr">
        <is>
          <t>Đánh giá</t>
        </is>
      </c>
      <c r="C46" s="54" t="n"/>
      <c r="D46" s="55" t="n"/>
      <c r="E46" s="64" t="inlineStr">
        <is>
          <t>Trạng thái</t>
        </is>
      </c>
    </row>
    <row r="47" ht="55" customHeight="1">
      <c r="A47" s="25" t="inlineStr">
        <is>
          <t>DOANH THU</t>
        </is>
      </c>
      <c r="B47" s="61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4" t="n"/>
      <c r="D47" s="55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1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4" t="n"/>
      <c r="D48" s="55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1" t="inlineStr">
        <is>
          <t>CFO Q1/2026 ước ~6,817 tỷ. CFO/LNST duy trì &gt;1.0 qua các quý -- chất lượng lợi nhuận tốt. Dòng tiền mạnh giúp HPG giảm đòn bẩy.</t>
        </is>
      </c>
      <c r="C49" s="54" t="n"/>
      <c r="D49" s="55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1" t="inlineStr">
        <is>
          <t>CAPEX Q1/2026: 5,490 tỷ. Đã giảm mạnh so với đỉnh xây dựng DQ2 (2023-2024). Dự báo tiếp tục giảm khi DQ2 hoàn tất → FCF chuyển dương mạnh.</t>
        </is>
      </c>
      <c r="C50" s="54" t="n"/>
      <c r="D50" s="55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1" t="inlineStr">
        <is>
          <t>Tồn kho 43,516 tỷ, phải thu 16,693 tỷ, vòng quay ~111 ngày. Quản trị vốn lưu động hiệu quả, không có dấu hiệu bán hàng ép.</t>
        </is>
      </c>
      <c r="C51" s="54" t="n"/>
      <c r="D51" s="55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1" t="inlineStr">
        <is>
          <t>Tổng nợ Q1/2026: 90,617 tỷ. D/E ~0.65x. DQ2 đã xong → không cần vay thêm lớn, nợ sẽ giảm dần nhờ dòng tiền.</t>
        </is>
      </c>
      <c r="C52" s="54" t="n"/>
      <c r="D52" s="55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6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6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ngoại suy thẳng theo run-rate 2 quý đã biết. Số tính sẵn (không phải công thức sống) để khớp tuyệt đối với 03_Revenue_Model!G4/G5 (Sản lượng HRC/XD 2026E) và PDF/JSON.</t>
        </is>
      </c>
    </row>
    <row r="87">
      <c r="A87" s="25" t="inlineStr">
        <is>
          <t>SL HRC năm 2026E (triệu tấn)</t>
        </is>
      </c>
      <c r="B87" s="101" t="n">
        <v>6.53</v>
      </c>
      <c r="D87" s="94">
        <f> (N59/1000 (Q1) + O59/1000 (2026Q2)) / 2 × 4, triệu tấn</f>
        <v/>
      </c>
    </row>
    <row r="88">
      <c r="A88" s="25" t="inlineStr">
        <is>
          <t>SL XD năm 2026E (triệu tấn)</t>
        </is>
      </c>
      <c r="B88" s="101" t="n">
        <v>5.43</v>
      </c>
      <c r="D88" s="94">
        <f> (N60/1000 (Q1) + O60/1000 (2026Q2)) / 2 × 4, triệu tấn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1" t="n"/>
      <c r="B5" s="39" t="n"/>
      <c r="C5" s="39" t="n"/>
      <c r="D5" s="39" t="n"/>
      <c r="E5" s="39" t="n"/>
      <c r="F5" s="39" t="n"/>
      <c r="G5" s="72" t="n"/>
    </row>
    <row r="6" ht="25" customHeight="1">
      <c r="A6" s="71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2" t="n"/>
    </row>
    <row r="7" ht="25" customHeight="1">
      <c r="A7" s="71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2" t="n"/>
    </row>
    <row r="8" ht="25" customHeight="1">
      <c r="A8" s="71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2" t="n"/>
    </row>
    <row r="9" ht="25" customHeight="1">
      <c r="A9" s="71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2" t="n"/>
    </row>
    <row r="11">
      <c r="A11" s="17" t="inlineStr">
        <is>
          <t>2. DẤU HIỆU SẮP HÁI QUẢ NGỌT</t>
        </is>
      </c>
    </row>
    <row r="12">
      <c r="A12" s="64" t="inlineStr">
        <is>
          <t>Dấu hiệu</t>
        </is>
      </c>
      <c r="B12" s="64" t="inlineStr">
        <is>
          <t>Mô tả</t>
        </is>
      </c>
      <c r="C12" s="64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1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1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1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1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4" t="inlineStr">
        <is>
          <t>Tiêu chí</t>
        </is>
      </c>
      <c r="B19" s="64" t="inlineStr">
        <is>
          <t>Giá trị</t>
        </is>
      </c>
      <c r="C19" s="64" t="inlineStr">
        <is>
          <t>Đánh giá</t>
        </is>
      </c>
      <c r="D19" s="64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1" t="inlineStr">
        <is>
          <t>&gt;1.0 = chất lượng cao. HPG có dòng tiền vượt lợi nhuận nhờ khấu hao lớn, ít phải dồn tích.</t>
        </is>
      </c>
      <c r="D20" s="54" t="n"/>
      <c r="E20" s="54" t="n"/>
      <c r="F20" s="55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1" t="inlineStr">
        <is>
          <t>HPG không công bố chi tiết. Ngành thép: thường trích ~2-5% tồn kho. Với vòng quay 3.1x, rủi ro giảm giá HTK thấp.</t>
        </is>
      </c>
      <c r="D21" s="54" t="n"/>
      <c r="E21" s="54" t="n"/>
      <c r="F21" s="55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1" t="inlineStr">
        <is>
          <t>Xu hướng: 5%→10% (2021→2025). Tỷ lệ ổn định không tăng bất thường.</t>
        </is>
      </c>
      <c r="D22" s="54" t="n"/>
      <c r="E22" s="54" t="n"/>
      <c r="F22" s="55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1" t="inlineStr">
        <is>
          <t>Tồn kho ~105 ngày phù hợp ngành thép (sản xuất 60-90 ngày + dự trữ 30 ngày). Không có dấu hiệu ứ đọng.</t>
        </is>
      </c>
      <c r="D23" s="54" t="n"/>
      <c r="E23" s="54" t="n"/>
      <c r="F23" s="55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1" t="inlineStr">
        <is>
          <t>Dương nhẹ = CFO &lt; LNST do tăng phải thu/tồn kho mở rộng. Mức &lt;5% là chấp nhận được.</t>
        </is>
      </c>
      <c r="D24" s="54" t="n"/>
      <c r="E24" s="54" t="n"/>
      <c r="F24" s="55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1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4" t="n"/>
      <c r="E25" s="54" t="n"/>
      <c r="F25" s="55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6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6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6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6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6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6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6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6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6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6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6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6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6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6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6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6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6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6">
        <f>B22*1.15-1.6*C21-0.6*D21-100</f>
        <v/>
      </c>
      <c r="F22" s="106" t="inlineStr">
        <is>
          <t>WB — median 3 tháng</t>
        </is>
      </c>
      <c r="G22" s="10" t="n">
        <v>585.6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575</v>
      </c>
      <c r="H25" s="94" t="inlineStr">
        <is>
          <t>SteelOnline noi dia (15,120 dong/kg, quy doi ty gia 26,296)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6">
        <f>E5</f>
        <v/>
      </c>
      <c r="C35" s="76">
        <f>MEDIAN(E6:E9)</f>
        <v/>
      </c>
      <c r="D35" s="76">
        <f>MEDIAN(E10:E13)</f>
        <v/>
      </c>
      <c r="E35" s="76">
        <f>MEDIAN(E14:E17)</f>
        <v/>
      </c>
      <c r="F35" s="76">
        <f>MEDIAN(E18:E21)</f>
        <v/>
      </c>
      <c r="G35" s="76">
        <f>MEDIAN(E22,B27)</f>
        <v/>
      </c>
      <c r="H35" s="76">
        <f>H31*1.15-1.6*G32-0.6*G33-100</f>
        <v/>
      </c>
      <c r="I35" s="76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5.43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6.53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2026-07-04T08:29:57Z</dcterms:created>
  <dcterms:modified xmlns:dcterms="http://purl.org/dc/terms/" xmlns:xsi="http://www.w3.org/2001/XMLSchema-instance" xsi:type="dcterms:W3CDTF">2026-07-04T08:29:57Z</dcterms:modified>
</cp:coreProperties>
</file>