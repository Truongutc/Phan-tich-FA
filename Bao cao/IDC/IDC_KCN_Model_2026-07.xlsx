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Cover" sheetId="1" state="visible" r:id="rId1"/>
    <sheet xmlns:r="http://schemas.openxmlformats.org/officeDocument/2006/relationships" name="02_Assumptions" sheetId="2" state="visible" r:id="rId2"/>
    <sheet xmlns:r="http://schemas.openxmlformats.org/officeDocument/2006/relationships" name="03_PnL" sheetId="3" state="visible" r:id="rId3"/>
    <sheet xmlns:r="http://schemas.openxmlformats.org/officeDocument/2006/relationships" name="04_Segments_DT" sheetId="4" state="visible" r:id="rId4"/>
    <sheet xmlns:r="http://schemas.openxmlformats.org/officeDocument/2006/relationships" name="05_Segments_GM" sheetId="5" state="visible" r:id="rId5"/>
    <sheet xmlns:r="http://schemas.openxmlformats.org/officeDocument/2006/relationships" name="06_BalanceSheet" sheetId="6" state="visible" r:id="rId6"/>
    <sheet xmlns:r="http://schemas.openxmlformats.org/officeDocument/2006/relationships" name="07_Valuation" sheetId="7" state="visible" r:id="rId7"/>
    <sheet xmlns:r="http://schemas.openxmlformats.org/officeDocument/2006/relationships" name="08_Quarterly_Segments" sheetId="8" state="visible" r:id="rId8"/>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Calibri"/>
      <b val="1"/>
      <color rgb="001F4E78"/>
      <sz val="16"/>
    </font>
    <font>
      <name val="Calibri"/>
      <i val="1"/>
      <color rgb="004A5568"/>
      <sz val="11"/>
    </font>
    <font>
      <name val="Calibri"/>
      <i val="1"/>
      <color rgb="00666666"/>
      <sz val="9"/>
    </font>
    <font>
      <name val="Calibri"/>
      <sz val="10"/>
    </font>
    <font>
      <name val="Calibri"/>
      <b val="1"/>
      <sz val="11"/>
    </font>
    <font>
      <name val="Calibri"/>
      <b val="1"/>
      <color rgb="00FFFFFF"/>
      <sz val="11"/>
    </font>
    <font>
      <name val="Calibri"/>
      <b val="1"/>
      <color rgb="00FFFFFF"/>
      <sz val="10"/>
    </font>
  </fonts>
  <fills count="6">
    <fill>
      <patternFill/>
    </fill>
    <fill>
      <patternFill patternType="gray125"/>
    </fill>
    <fill>
      <patternFill patternType="solid">
        <fgColor rgb="00DDEBF7"/>
        <bgColor rgb="00DDEBF7"/>
      </patternFill>
    </fill>
    <fill>
      <patternFill patternType="solid">
        <fgColor rgb="001F4E78"/>
        <bgColor rgb="001F4E78"/>
      </patternFill>
    </fill>
    <fill>
      <patternFill patternType="solid">
        <fgColor rgb="00FFF2CC"/>
        <bgColor rgb="00FFF2CC"/>
      </patternFill>
    </fill>
    <fill>
      <patternFill patternType="solid">
        <fgColor rgb="00E2EFDA"/>
        <bgColor rgb="00E2EFDA"/>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3" fontId="4" fillId="0" borderId="0" pivotButton="0" quotePrefix="0" xfId="0"/>
    <xf numFmtId="164" fontId="4" fillId="0" borderId="0" pivotButton="0" quotePrefix="0" xfId="0"/>
    <xf numFmtId="165" fontId="4" fillId="0" borderId="0" pivotButton="0" quotePrefix="0" xfId="0"/>
    <xf numFmtId="10" fontId="4" fillId="0" borderId="0" pivotButton="0" quotePrefix="0" xfId="0"/>
    <xf numFmtId="0" fontId="5" fillId="0" borderId="0" pivotButton="0" quotePrefix="0" xfId="0"/>
    <xf numFmtId="3" fontId="5" fillId="2"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10" fontId="4" fillId="4" borderId="0" pivotButton="0" quotePrefix="0" xfId="0"/>
    <xf numFmtId="2" fontId="4" fillId="4" borderId="0" pivotButton="0" quotePrefix="0" xfId="0"/>
    <xf numFmtId="3" fontId="4" fillId="4" borderId="0" pivotButton="0" quotePrefix="0" xfId="0"/>
    <xf numFmtId="3" fontId="5" fillId="0" borderId="0" pivotButton="0" quotePrefix="0" xfId="0"/>
    <xf numFmtId="3" fontId="5" fillId="4" borderId="0" pivotButton="0" quotePrefix="0" xfId="0"/>
    <xf numFmtId="10" fontId="0" fillId="0" borderId="0" pivotButton="0" quotePrefix="0" xfId="0"/>
    <xf numFmtId="3" fontId="0" fillId="4" borderId="0" pivotButton="0" quotePrefix="0" xfId="0"/>
    <xf numFmtId="0" fontId="5" fillId="5" borderId="0" pivotButton="0" quotePrefix="0" xfId="0"/>
    <xf numFmtId="3" fontId="5" fillId="5" borderId="0" pivotButton="0" quotePrefix="0" xfId="0"/>
    <xf numFmtId="0" fontId="0" fillId="4" borderId="0" pivotButton="0" quotePrefix="0" xfId="0"/>
    <xf numFmtId="3" fontId="0" fillId="0" borderId="0" pivotButton="0" quotePrefix="0" xfId="0"/>
    <xf numFmtId="0" fontId="5" fillId="2" borderId="0" pivotButton="0" quotePrefix="0" xfId="0"/>
    <xf numFmtId="0" fontId="7" fillId="3" borderId="0" pivotButton="0" quotePrefix="0" xfId="0"/>
    <xf numFmtId="0" fontId="5" fillId="3" borderId="0" pivotButton="0" quotePrefix="0" xfId="0"/>
    <xf numFmtId="2" fontId="4" fillId="0" borderId="0" pivotButton="0" quotePrefix="0" xfId="0"/>
    <xf numFmtId="2" fontId="5" fillId="2" borderId="0" pivotButton="0" quotePrefix="0" xfId="0"/>
    <xf numFmtId="3" fontId="0" fillId="5" borderId="0" pivotButton="0" quotePrefix="0" xfId="0"/>
    <xf numFmtId="1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35" customWidth="1" min="2" max="2"/>
    <col width="18" customWidth="1" min="3" max="3"/>
    <col width="5" customWidth="1" min="4" max="4"/>
  </cols>
  <sheetData>
    <row r="2">
      <c r="B2" s="1" t="inlineStr">
        <is>
          <t>MÔ HÌNH PHÂN TÍCH TÀI CHÍNH &amp; ĐỊNH GIÁ — IDC</t>
        </is>
      </c>
    </row>
    <row r="3">
      <c r="B3" s="2" t="inlineStr">
        <is>
          <t>Tổng Công ty IDICO - CTCP</t>
        </is>
      </c>
    </row>
    <row r="4">
      <c r="B4" s="3" t="inlineStr">
        <is>
          <t>Ngày lập: 07/07/2026 23:38</t>
        </is>
      </c>
    </row>
    <row r="6">
      <c r="B6" s="4" t="inlineStr">
        <is>
          <t>Giá thị trường (VND)</t>
        </is>
      </c>
      <c r="C6" s="5" t="n">
        <v>40000</v>
      </c>
    </row>
    <row r="7">
      <c r="B7" s="4" t="inlineStr">
        <is>
          <t>Giá lịch sử cuối (VND)</t>
        </is>
      </c>
      <c r="C7" s="5" t="n">
        <v>40700</v>
      </c>
    </row>
    <row r="8">
      <c r="B8" s="4" t="inlineStr">
        <is>
          <t>Số CP lưu hành</t>
        </is>
      </c>
      <c r="C8" s="5" t="n">
        <v>300000000</v>
      </c>
    </row>
    <row r="9">
      <c r="B9" s="4" t="inlineStr">
        <is>
          <t>Vốn hóa (tỷ VND)</t>
        </is>
      </c>
      <c r="C9" s="6">
        <f>B6*B7/1e9</f>
        <v/>
      </c>
    </row>
    <row r="10">
      <c r="B10" s="4" t="inlineStr">
        <is>
          <t>Beta (CAPM)</t>
        </is>
      </c>
      <c r="C10" s="7" t="n">
        <v>1.1511</v>
      </c>
    </row>
    <row r="11">
      <c r="B11" s="4" t="inlineStr">
        <is>
          <t>Rf (%/năm)</t>
        </is>
      </c>
      <c r="C11" s="8" t="n">
        <v>0.045</v>
      </c>
    </row>
    <row r="12">
      <c r="B12" s="4" t="inlineStr">
        <is>
          <t>COE (%/năm)</t>
        </is>
      </c>
      <c r="C12" s="8" t="n">
        <v>0.1083105</v>
      </c>
    </row>
    <row r="13">
      <c r="B13" s="4" t="inlineStr">
        <is>
          <t>Nguồn Beta</t>
        </is>
      </c>
      <c r="C13" s="4" t="inlineStr">
        <is>
          <t>Tự tính toán (1623 phiên)</t>
        </is>
      </c>
    </row>
    <row r="15">
      <c r="B15" s="9" t="inlineStr">
        <is>
          <t>─── ĐỊNH GIÁ TỔNG HỢP ───</t>
        </is>
      </c>
    </row>
    <row r="16">
      <c r="B16" s="4" t="inlineStr">
        <is>
          <t>Giá hợp lý P/E (40%)</t>
        </is>
      </c>
      <c r="C16" s="5" t="n">
        <v>45075</v>
      </c>
    </row>
    <row r="17">
      <c r="B17" s="4" t="inlineStr">
        <is>
          <t>Giá hợp lý P/B (40%)</t>
        </is>
      </c>
      <c r="C17" s="5" t="n">
        <v>54092</v>
      </c>
    </row>
    <row r="18">
      <c r="B18" s="4" t="inlineStr">
        <is>
          <t>Giá hợp lý RI (20%)</t>
        </is>
      </c>
      <c r="C18" s="5" t="n">
        <v>68557</v>
      </c>
    </row>
    <row r="19">
      <c r="B19" s="4" t="inlineStr">
        <is>
          <t>Giá mục tiêu blend</t>
        </is>
      </c>
      <c r="C19" s="10" t="n">
        <v>53378</v>
      </c>
    </row>
    <row r="20">
      <c r="B20" s="4" t="inlineStr">
        <is>
          <t>Upside/Downside</t>
        </is>
      </c>
      <c r="C20" s="8" t="n">
        <v>0.3345</v>
      </c>
    </row>
    <row r="22">
      <c r="B22" s="9" t="inlineStr">
        <is>
          <t>Nhận định AI:</t>
        </is>
      </c>
    </row>
    <row r="23" ht="60" customHeight="1">
      <c r="B23" s="11" t="inlineStr">
        <is>
          <t>Tổng Công ty IDICO - CTCP (IDC) là doanh nghiệp bất động sản khu công nghiệp với mô hình đa mảng (cho thuê đất, tiện ích, điện, BOT…). Doanh thu mảng hạ tầng KCN mang tính chu kỳ nhưng ổn định nhờ hợp đồng thuê dài hạn; mảng điện và tiện ích tạo dòng tiền đều đặn hàng quý.</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35" customWidth="1" min="3" max="3"/>
  </cols>
  <sheetData>
    <row r="1">
      <c r="A1" s="12" t="inlineStr">
        <is>
          <t>Tham số giả định</t>
        </is>
      </c>
      <c r="B1" s="12" t="inlineStr">
        <is>
          <t>Giá trị</t>
        </is>
      </c>
      <c r="C1" s="12" t="inlineStr">
        <is>
          <t>Ghi chú</t>
        </is>
      </c>
    </row>
    <row r="2">
      <c r="A2" s="4" t="inlineStr">
        <is>
          <t>Rf (lãi TPCP 10Y, %/năm)</t>
        </is>
      </c>
      <c r="B2" s="13" t="n">
        <v>0.045</v>
      </c>
      <c r="C2" s="3" t="inlineStr">
        <is>
          <t>Tự động fetch từ investing.com/WGB</t>
        </is>
      </c>
    </row>
    <row r="3">
      <c r="A3" s="4" t="inlineStr">
        <is>
          <t>Beta (CAPM)</t>
        </is>
      </c>
      <c r="B3" s="14" t="n">
        <v>1.1511</v>
      </c>
      <c r="C3" s="3" t="inlineStr">
        <is>
          <t>Tự tính toán (1623 phiên)</t>
        </is>
      </c>
    </row>
    <row r="4">
      <c r="A4" s="4" t="inlineStr">
        <is>
          <t>ERP (phần bù rủi ro thị trường)</t>
        </is>
      </c>
      <c r="B4" s="13" t="n">
        <v>0.055</v>
      </c>
      <c r="C4" s="3" t="inlineStr">
        <is>
          <t>Cố định 5.5% cho TTCK VN</t>
        </is>
      </c>
    </row>
    <row r="5">
      <c r="A5" s="4" t="inlineStr">
        <is>
          <t>COE = Rf + β × ERP</t>
        </is>
      </c>
      <c r="B5" s="13" t="n">
        <v>0.1083105</v>
      </c>
      <c r="C5" s="3" t="inlineStr">
        <is>
          <t>Cost of Equity (không phần bù đặc thù)</t>
        </is>
      </c>
    </row>
    <row r="6">
      <c r="A6" s="4" t="inlineStr">
        <is>
          <t>EPS lịch sử gần nhất (VND)</t>
        </is>
      </c>
      <c r="B6" s="14" t="n">
        <v>5090</v>
      </c>
      <c r="C6" s="3" t="inlineStr">
        <is>
          <t>Từ isa23 Vietcap</t>
        </is>
      </c>
    </row>
    <row r="7">
      <c r="A7" s="4" t="inlineStr">
        <is>
          <t>BVPS mẹ lịch sử gần nhất (VND)</t>
        </is>
      </c>
      <c r="B7" s="14" t="n">
        <v>21531.24721132667</v>
      </c>
      <c r="C7" s="3" t="inlineStr">
        <is>
          <t>(bsa78 − bsa210) / shares</t>
        </is>
      </c>
    </row>
    <row r="8">
      <c r="A8" s="4" t="inlineStr">
        <is>
          <t>Payout ratio trung bình</t>
        </is>
      </c>
      <c r="B8" s="13" t="n">
        <v>0.8021111249459211</v>
      </c>
      <c r="C8" s="3" t="inlineStr">
        <is>
          <t>Trung bình lịch sử cfa32/isa22</t>
        </is>
      </c>
    </row>
    <row r="9">
      <c r="A9" s="4" t="inlineStr">
        <is>
          <t>CAGR EPS dự phóng</t>
        </is>
      </c>
      <c r="B9" s="13" t="n">
        <v>0.1069439859195265</v>
      </c>
      <c r="C9" s="3" t="inlineStr">
        <is>
          <t>CAGR 3 năm lịch sử, kẹp [-10%, +20%]</t>
        </is>
      </c>
    </row>
    <row r="10">
      <c r="A10" s="4" t="inlineStr">
        <is>
          <t>ROE ước tính</t>
        </is>
      </c>
      <c r="B10" s="13" t="n">
        <v>0.2364006111695364</v>
      </c>
      <c r="C10" s="3" t="inlineStr">
        <is>
          <t>EPS_last / BVPS_last</t>
        </is>
      </c>
    </row>
    <row r="11">
      <c r="A11" s="4" t="inlineStr">
        <is>
          <t>P/E mục tiêu</t>
        </is>
      </c>
      <c r="B11" s="14" t="n">
        <v>8</v>
      </c>
      <c r="C11" s="3" t="inlineStr">
        <is>
          <t>Median P/E lịch sử, kẹp [8, 25]</t>
        </is>
      </c>
    </row>
    <row r="12">
      <c r="A12" s="4" t="inlineStr">
        <is>
          <t>P/B mục tiêu</t>
        </is>
      </c>
      <c r="B12" s="14" t="n">
        <v>2.4</v>
      </c>
      <c r="C12" s="3" t="inlineStr">
        <is>
          <t>Median P/B lịch sử, kẹp [0.6, 4]</t>
        </is>
      </c>
    </row>
    <row r="13">
      <c r="A13" s="4" t="inlineStr">
        <is>
          <t>Số năm RI dự phóng (n)</t>
        </is>
      </c>
      <c r="B13" s="15" t="n">
        <v>3</v>
      </c>
      <c r="C13" s="3" t="inlineStr">
        <is>
          <t>PV RI 3 năm + terminal value</t>
        </is>
      </c>
    </row>
    <row r="14">
      <c r="A14" s="4" t="inlineStr">
        <is>
          <t>g terminal RI</t>
        </is>
      </c>
      <c r="B14" s="13" t="n">
        <v>0.04</v>
      </c>
      <c r="C14" s="3">
        <f> min(CAGR_EPS × 0.5, 4%)</f>
        <v/>
      </c>
    </row>
    <row r="15">
      <c r="A15" s="4" t="inlineStr">
        <is>
          <t>Số CP lưu hành</t>
        </is>
      </c>
      <c r="B15" s="15" t="n">
        <v>300000000</v>
      </c>
      <c r="C15" s="3" t="inlineStr"/>
    </row>
    <row r="16">
      <c r="A16" s="4" t="inlineStr">
        <is>
          <t>Giá thị trường (VND)</t>
        </is>
      </c>
      <c r="B16" s="14" t="n">
        <v>40000</v>
      </c>
      <c r="C16" s="3" t="inlineStr">
        <is>
          <t>Giá cuối phiên gần nhất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2" t="inlineStr">
        <is>
          <t>Chỉ tiêu P&amp;L (tỷ VND)</t>
        </is>
      </c>
      <c r="B1" s="12" t="inlineStr">
        <is>
          <t>2021A</t>
        </is>
      </c>
      <c r="C1" s="12" t="inlineStr">
        <is>
          <t>2022A</t>
        </is>
      </c>
      <c r="D1" s="12" t="inlineStr">
        <is>
          <t>2023A</t>
        </is>
      </c>
      <c r="E1" s="12" t="inlineStr">
        <is>
          <t>2024A</t>
        </is>
      </c>
      <c r="F1" s="12" t="inlineStr">
        <is>
          <t>2025A</t>
        </is>
      </c>
      <c r="G1" s="12" t="inlineStr">
        <is>
          <t>2026E</t>
        </is>
      </c>
      <c r="H1" s="12" t="inlineStr">
        <is>
          <t>2027E</t>
        </is>
      </c>
      <c r="I1" s="12" t="inlineStr">
        <is>
          <t>2028E</t>
        </is>
      </c>
    </row>
    <row r="2">
      <c r="A2" s="9" t="inlineStr">
        <is>
          <t>Doanh thu thuần</t>
        </is>
      </c>
      <c r="B2" s="16" t="n">
        <v>4301.24</v>
      </c>
      <c r="C2" s="16" t="n">
        <v>7485.39</v>
      </c>
      <c r="D2" s="16" t="n">
        <v>7237.03</v>
      </c>
      <c r="E2" s="16" t="n">
        <v>8846.41</v>
      </c>
      <c r="F2" s="16" t="n">
        <v>8588.15</v>
      </c>
      <c r="G2" s="17" t="n">
        <v>9189.32</v>
      </c>
      <c r="H2" s="17" t="n">
        <v>9832.57</v>
      </c>
      <c r="I2" s="17" t="n">
        <v>10520.85</v>
      </c>
    </row>
    <row r="3">
      <c r="A3" s="4" t="inlineStr">
        <is>
          <t>Giá vốn hàng bán</t>
        </is>
      </c>
      <c r="B3" s="5" t="n">
        <v>-3563.8</v>
      </c>
      <c r="C3" s="5" t="n">
        <v>-4425.57</v>
      </c>
      <c r="D3" s="5" t="n">
        <v>-4813.9</v>
      </c>
      <c r="E3" s="5" t="n">
        <v>-5509.15</v>
      </c>
      <c r="F3" s="5" t="n">
        <v>-5528.14</v>
      </c>
      <c r="G3" s="15" t="n">
        <v>-5818.91</v>
      </c>
      <c r="H3" s="15" t="n">
        <v>-6226.23</v>
      </c>
      <c r="I3" s="15" t="n">
        <v>-6662.06</v>
      </c>
    </row>
    <row r="4">
      <c r="A4" s="9" t="inlineStr">
        <is>
          <t>Lợi nhuận gộp</t>
        </is>
      </c>
      <c r="B4" s="16" t="n">
        <v>7865.04</v>
      </c>
      <c r="C4" s="16" t="n">
        <v>11910.96</v>
      </c>
      <c r="D4" s="16" t="n">
        <v>12050.93</v>
      </c>
      <c r="E4" s="16" t="n">
        <v>14355.56</v>
      </c>
      <c r="F4" s="16" t="n">
        <v>14116.29</v>
      </c>
      <c r="G4" s="17" t="n">
        <v>15008.23</v>
      </c>
      <c r="H4" s="17" t="n">
        <v>16058.8</v>
      </c>
      <c r="I4" s="17" t="n">
        <v>17182.91</v>
      </c>
    </row>
    <row r="5">
      <c r="A5" s="4" t="inlineStr">
        <is>
          <t>Lợi nhuận trước thuế</t>
        </is>
      </c>
      <c r="B5" s="5" t="n">
        <v>756.17</v>
      </c>
      <c r="C5" s="5" t="n">
        <v>2617.62</v>
      </c>
      <c r="D5" s="5" t="n">
        <v>2056.78</v>
      </c>
      <c r="E5" s="5" t="n">
        <v>2993.27</v>
      </c>
      <c r="F5" s="5" t="n">
        <v>2917.75</v>
      </c>
      <c r="G5" s="15" t="n">
        <v>0</v>
      </c>
      <c r="H5" s="15" t="n">
        <v>0</v>
      </c>
      <c r="I5" s="15" t="n">
        <v>0</v>
      </c>
    </row>
    <row r="6">
      <c r="A6" s="4" t="inlineStr">
        <is>
          <t>LNST (hợp nhất)</t>
        </is>
      </c>
      <c r="B6" s="5" t="n">
        <v>578.03</v>
      </c>
      <c r="C6" s="5" t="n">
        <v>2054.69</v>
      </c>
      <c r="D6" s="5" t="n">
        <v>1656.05</v>
      </c>
      <c r="E6" s="5" t="n">
        <v>2392.35</v>
      </c>
      <c r="F6" s="5" t="n">
        <v>2354.08</v>
      </c>
      <c r="G6" s="15" t="n">
        <v>2501.98</v>
      </c>
      <c r="H6" s="15" t="n">
        <v>2677.11</v>
      </c>
      <c r="I6" s="15" t="n">
        <v>2864.51</v>
      </c>
    </row>
    <row r="7">
      <c r="A7" s="9" t="inlineStr">
        <is>
          <t>LNST cổ đông mẹ</t>
        </is>
      </c>
      <c r="B7" s="16" t="n">
        <v>454.31</v>
      </c>
      <c r="C7" s="16" t="n">
        <v>1767.51</v>
      </c>
      <c r="D7" s="16" t="n">
        <v>1393.65</v>
      </c>
      <c r="E7" s="16" t="n">
        <v>1996.06</v>
      </c>
      <c r="F7" s="16" t="n">
        <v>1931.79</v>
      </c>
      <c r="G7" s="17" t="n">
        <v>0</v>
      </c>
      <c r="H7" s="17" t="n">
        <v>0</v>
      </c>
      <c r="I7" s="17" t="n">
        <v>0</v>
      </c>
    </row>
    <row r="8">
      <c r="A8" s="3" t="inlineStr">
        <is>
          <t>Biên lợi nhuận gộp (%)</t>
        </is>
      </c>
      <c r="B8" s="18" t="n">
        <v>1.8286</v>
      </c>
      <c r="C8" s="18" t="n">
        <v>1.5912</v>
      </c>
      <c r="D8" s="18" t="n">
        <v>1.6652</v>
      </c>
      <c r="E8" s="18" t="n">
        <v>1.6228</v>
      </c>
      <c r="F8" s="18" t="n">
        <v>1.6437</v>
      </c>
      <c r="G8" s="18">
        <f>G4/G2</f>
        <v/>
      </c>
      <c r="H8" s="18">
        <f>H4/H2</f>
        <v/>
      </c>
      <c r="I8" s="18">
        <f>I4/I2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s>
  <sheetData>
    <row r="1">
      <c r="A1" s="12" t="inlineStr">
        <is>
          <t>Mảng kinh doanh</t>
        </is>
      </c>
      <c r="B1" s="12" t="inlineStr">
        <is>
          <t>2026E</t>
        </is>
      </c>
      <c r="C1" s="12" t="inlineStr">
        <is>
          <t>2027E</t>
        </is>
      </c>
      <c r="D1" s="12" t="inlineStr">
        <is>
          <t>2028E</t>
        </is>
      </c>
    </row>
    <row r="2">
      <c r="A2" s="4" t="inlineStr">
        <is>
          <t>Kinh doanh điện</t>
        </is>
      </c>
      <c r="B2" s="19" t="n">
        <v>0</v>
      </c>
      <c r="C2" s="19" t="n">
        <v>0</v>
      </c>
      <c r="D2" s="19" t="n">
        <v>0</v>
      </c>
    </row>
    <row r="3">
      <c r="A3" s="4" t="inlineStr">
        <is>
          <t>Cho thuê đất &amp; hạ tầng KCN</t>
        </is>
      </c>
      <c r="B3" s="19" t="n">
        <v>0</v>
      </c>
      <c r="C3" s="19" t="n">
        <v>0</v>
      </c>
      <c r="D3" s="19" t="n">
        <v>0</v>
      </c>
    </row>
    <row r="4">
      <c r="A4" s="4" t="inlineStr">
        <is>
          <t>Dịch vụ khu công nghiệp</t>
        </is>
      </c>
      <c r="B4" s="19" t="n">
        <v>0</v>
      </c>
      <c r="C4" s="19" t="n">
        <v>0</v>
      </c>
      <c r="D4" s="19" t="n">
        <v>0</v>
      </c>
    </row>
    <row r="5">
      <c r="A5" s="4" t="inlineStr">
        <is>
          <t>Thu phí đường bộ (BOT)</t>
        </is>
      </c>
      <c r="B5" s="19" t="n">
        <v>0</v>
      </c>
      <c r="C5" s="19" t="n">
        <v>0</v>
      </c>
      <c r="D5" s="19" t="n">
        <v>0</v>
      </c>
    </row>
    <row r="6">
      <c r="A6" s="4" t="inlineStr">
        <is>
          <t>Hoạt động xây dựng</t>
        </is>
      </c>
      <c r="B6" s="19" t="n">
        <v>0</v>
      </c>
      <c r="C6" s="19" t="n">
        <v>0</v>
      </c>
      <c r="D6" s="19" t="n">
        <v>0</v>
      </c>
    </row>
    <row r="7">
      <c r="A7" s="4" t="inlineStr">
        <is>
          <t>Kinh doanh BĐS</t>
        </is>
      </c>
      <c r="B7" s="19" t="n">
        <v>0</v>
      </c>
      <c r="C7" s="19" t="n">
        <v>0</v>
      </c>
      <c r="D7" s="19" t="n">
        <v>0</v>
      </c>
    </row>
    <row r="8">
      <c r="A8" s="4" t="inlineStr">
        <is>
          <t>Sản phẩm &amp; dịch vụ khác</t>
        </is>
      </c>
      <c r="B8" s="19" t="n">
        <v>0</v>
      </c>
      <c r="C8" s="19" t="n">
        <v>0</v>
      </c>
      <c r="D8" s="19" t="n">
        <v>0</v>
      </c>
    </row>
    <row r="9">
      <c r="A9" s="20" t="inlineStr">
        <is>
          <t>TỔNG DOANH THU</t>
        </is>
      </c>
      <c r="B9" s="21">
        <f>SUM(B2:B8)</f>
        <v/>
      </c>
      <c r="C9" s="21">
        <f>SUM(C2:C8)</f>
        <v/>
      </c>
      <c r="D9" s="21">
        <f>SUM(D2:D8)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s>
  <sheetData>
    <row r="1">
      <c r="A1" s="12" t="inlineStr">
        <is>
          <t>Mảng kinh doanh (Biên LNG %)</t>
        </is>
      </c>
      <c r="B1" s="12" t="inlineStr">
        <is>
          <t>2026E</t>
        </is>
      </c>
      <c r="C1" s="12" t="inlineStr">
        <is>
          <t>2027E</t>
        </is>
      </c>
      <c r="D1" s="12" t="inlineStr">
        <is>
          <t>2028E</t>
        </is>
      </c>
    </row>
    <row r="2">
      <c r="A2" s="4" t="inlineStr">
        <is>
          <t>Kinh doanh điện</t>
        </is>
      </c>
      <c r="B2" s="22" t="inlineStr"/>
      <c r="C2" s="22" t="inlineStr"/>
      <c r="D2" s="22" t="inlineStr"/>
    </row>
    <row r="3">
      <c r="A3" s="4" t="inlineStr">
        <is>
          <t>Cho thuê đất &amp; hạ tầng KCN</t>
        </is>
      </c>
      <c r="B3" s="22" t="inlineStr"/>
      <c r="C3" s="22" t="inlineStr"/>
      <c r="D3" s="22" t="inlineStr"/>
    </row>
    <row r="4">
      <c r="A4" s="4" t="inlineStr">
        <is>
          <t>Dịch vụ khu công nghiệp</t>
        </is>
      </c>
      <c r="B4" s="22" t="inlineStr"/>
      <c r="C4" s="22" t="inlineStr"/>
      <c r="D4" s="22" t="inlineStr"/>
    </row>
    <row r="5">
      <c r="A5" s="4" t="inlineStr">
        <is>
          <t>Thu phí đường bộ (BOT)</t>
        </is>
      </c>
      <c r="B5" s="22" t="inlineStr"/>
      <c r="C5" s="22" t="inlineStr"/>
      <c r="D5" s="22" t="inlineStr"/>
    </row>
    <row r="6">
      <c r="A6" s="4" t="inlineStr">
        <is>
          <t>Hoạt động xây dựng</t>
        </is>
      </c>
      <c r="B6" s="22" t="inlineStr"/>
      <c r="C6" s="22" t="inlineStr"/>
      <c r="D6" s="22" t="inlineStr"/>
    </row>
    <row r="7">
      <c r="A7" s="4" t="inlineStr">
        <is>
          <t>Kinh doanh BĐS</t>
        </is>
      </c>
      <c r="B7" s="22" t="inlineStr"/>
      <c r="C7" s="22" t="inlineStr"/>
      <c r="D7" s="22" t="inlineStr"/>
    </row>
    <row r="8">
      <c r="A8" s="4" t="inlineStr">
        <is>
          <t>Sản phẩm &amp; dịch vụ khác</t>
        </is>
      </c>
      <c r="B8" s="22" t="inlineStr"/>
      <c r="C8" s="22" t="inlineStr"/>
      <c r="D8" s="2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c r="A1" s="12" t="inlineStr">
        <is>
          <t>Chỉ tiêu BS (tỷ VND)</t>
        </is>
      </c>
      <c r="B1" s="12" t="inlineStr">
        <is>
          <t>2021A</t>
        </is>
      </c>
      <c r="C1" s="12" t="inlineStr">
        <is>
          <t>2022A</t>
        </is>
      </c>
      <c r="D1" s="12" t="inlineStr">
        <is>
          <t>2023A</t>
        </is>
      </c>
      <c r="E1" s="12" t="inlineStr">
        <is>
          <t>2024A</t>
        </is>
      </c>
      <c r="F1" s="12" t="inlineStr">
        <is>
          <t>2025A</t>
        </is>
      </c>
    </row>
    <row r="2">
      <c r="A2" s="4" t="inlineStr">
        <is>
          <t>Tiền &amp; tương đương</t>
        </is>
      </c>
      <c r="B2" s="23" t="n">
        <v>495.13</v>
      </c>
      <c r="C2" s="23" t="n">
        <v>1086.92</v>
      </c>
      <c r="D2" s="23" t="n">
        <v>1333.59</v>
      </c>
      <c r="E2" s="23" t="n">
        <v>2188.04</v>
      </c>
      <c r="F2" s="23" t="n">
        <v>553.05</v>
      </c>
    </row>
    <row r="3">
      <c r="A3" s="4" t="inlineStr">
        <is>
          <t>Tổng tài sản</t>
        </is>
      </c>
      <c r="B3" s="23" t="n">
        <v>16075.84</v>
      </c>
      <c r="C3" s="23" t="n">
        <v>17013.41</v>
      </c>
      <c r="D3" s="23" t="n">
        <v>17720.45</v>
      </c>
      <c r="E3" s="23" t="n">
        <v>18800.16</v>
      </c>
      <c r="F3" s="23" t="n">
        <v>23201.49</v>
      </c>
    </row>
    <row r="4">
      <c r="A4" s="4" t="inlineStr">
        <is>
          <t>Vay ngắn hạn</t>
        </is>
      </c>
      <c r="B4" s="23" t="n">
        <v>1447.73</v>
      </c>
      <c r="C4" s="23" t="n">
        <v>748.24</v>
      </c>
      <c r="D4" s="23" t="n">
        <v>937.78</v>
      </c>
      <c r="E4" s="23" t="n">
        <v>1143.72</v>
      </c>
      <c r="F4" s="23" t="n">
        <v>2611.82</v>
      </c>
    </row>
    <row r="5">
      <c r="A5" s="4" t="inlineStr">
        <is>
          <t>Vay dài hạn</t>
        </is>
      </c>
      <c r="B5" s="23" t="n">
        <v>2084.65</v>
      </c>
      <c r="C5" s="23" t="n">
        <v>2719.53</v>
      </c>
      <c r="D5" s="23" t="n">
        <v>2584.73</v>
      </c>
      <c r="E5" s="23" t="n">
        <v>1992.31</v>
      </c>
      <c r="F5" s="23" t="n">
        <v>3265.35</v>
      </c>
    </row>
    <row r="6">
      <c r="A6" s="4" t="inlineStr">
        <is>
          <t>Tổng nợ phải trả</t>
        </is>
      </c>
      <c r="B6" s="23" t="n">
        <v>11047.8</v>
      </c>
      <c r="C6" s="23" t="n">
        <v>10885.49</v>
      </c>
      <c r="D6" s="23" t="n">
        <v>11515.53</v>
      </c>
      <c r="E6" s="23" t="n">
        <v>11592.51</v>
      </c>
      <c r="F6" s="23" t="n">
        <v>14938.46</v>
      </c>
    </row>
    <row r="7">
      <c r="A7" s="4" t="inlineStr">
        <is>
          <t>VCSH (bao gồm NCI)</t>
        </is>
      </c>
      <c r="B7" s="23" t="n">
        <v>5028.04</v>
      </c>
      <c r="C7" s="23" t="n">
        <v>6127.92</v>
      </c>
      <c r="D7" s="23" t="n">
        <v>6204.91</v>
      </c>
      <c r="E7" s="23" t="n">
        <v>7207.65</v>
      </c>
      <c r="F7" s="23" t="n">
        <v>8263.030000000001</v>
      </c>
    </row>
    <row r="8">
      <c r="A8" s="4" t="inlineStr">
        <is>
          <t>Vốn góp (charter capital)</t>
        </is>
      </c>
      <c r="B8" s="23" t="n">
        <v>3000</v>
      </c>
      <c r="C8" s="23" t="n">
        <v>3300</v>
      </c>
      <c r="D8" s="23" t="n">
        <v>3300</v>
      </c>
      <c r="E8" s="23" t="n">
        <v>3300</v>
      </c>
      <c r="F8" s="23" t="n">
        <v>3794.99</v>
      </c>
    </row>
    <row r="9">
      <c r="A9" s="4" t="inlineStr">
        <is>
          <t>NCI (cổ đông thiểu số)</t>
        </is>
      </c>
      <c r="B9" s="23" t="n">
        <v>1128.37</v>
      </c>
      <c r="C9" s="23" t="n">
        <v>1181.86</v>
      </c>
      <c r="D9" s="23" t="n">
        <v>1232.22</v>
      </c>
      <c r="E9" s="23" t="n">
        <v>1591.82</v>
      </c>
      <c r="F9" s="23" t="n">
        <v>1803.66</v>
      </c>
    </row>
    <row r="10">
      <c r="A10" s="24" t="inlineStr">
        <is>
          <t>VCSH cổ đông mẹ (= VCSH − NCI)</t>
        </is>
      </c>
      <c r="B10" s="10" t="n">
        <v>3899.67</v>
      </c>
      <c r="C10" s="10" t="n">
        <v>4946.06</v>
      </c>
      <c r="D10" s="10" t="n">
        <v>4972.7</v>
      </c>
      <c r="E10" s="10" t="n">
        <v>5615.83</v>
      </c>
      <c r="F10" s="10" t="n">
        <v>6459.37</v>
      </c>
    </row>
    <row r="12">
      <c r="A12" s="4" t="inlineStr">
        <is>
          <t>BVPS mẹ (VND/cp)</t>
        </is>
      </c>
      <c r="B12" s="23" t="n">
        <v>12999</v>
      </c>
      <c r="C12" s="23" t="n">
        <v>16487</v>
      </c>
      <c r="D12" s="23" t="n">
        <v>16576</v>
      </c>
      <c r="E12" s="23" t="n">
        <v>18719</v>
      </c>
      <c r="F12" s="23" t="n">
        <v>21531</v>
      </c>
    </row>
    <row r="13">
      <c r="A13" s="4" t="inlineStr">
        <is>
          <t>EPS cơ bản (VND/cp)</t>
        </is>
      </c>
      <c r="B13" s="23" t="n">
        <v>1514</v>
      </c>
      <c r="C13" s="23" t="n">
        <v>5605</v>
      </c>
      <c r="D13" s="23" t="n">
        <v>4154</v>
      </c>
      <c r="E13" s="23" t="n">
        <v>5976</v>
      </c>
      <c r="F13" s="23" t="n">
        <v>5090</v>
      </c>
    </row>
    <row r="14">
      <c r="A14" s="4" t="inlineStr">
        <is>
          <t>Payout ratio lịch sử</t>
        </is>
      </c>
      <c r="B14" s="18" t="n">
        <v>1</v>
      </c>
      <c r="C14" s="18" t="n">
        <v>0.5577</v>
      </c>
      <c r="D14" s="18" t="n">
        <v>1</v>
      </c>
      <c r="E14" s="18" t="n">
        <v>0.7796999999999999</v>
      </c>
      <c r="F14" s="18" t="n">
        <v>0.6731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38" customWidth="1" min="1" max="1"/>
    <col width="16" customWidth="1" min="2" max="2"/>
    <col width="45" customWidth="1" min="3" max="3"/>
  </cols>
  <sheetData>
    <row r="1">
      <c r="A1" s="12" t="inlineStr">
        <is>
          <t>Định giá KCN (40%P/E + 40%P/B + 20%RI)</t>
        </is>
      </c>
      <c r="B1" s="12" t="inlineStr">
        <is>
          <t>Giá trị</t>
        </is>
      </c>
      <c r="C1" s="12" t="inlineStr">
        <is>
          <t>Ghi chú</t>
        </is>
      </c>
    </row>
    <row r="2">
      <c r="A2" s="25" t="inlineStr">
        <is>
          <t>─ COE &amp; CAPM ─</t>
        </is>
      </c>
      <c r="B2" s="26" t="inlineStr"/>
      <c r="C2" s="3" t="inlineStr"/>
    </row>
    <row r="3">
      <c r="A3" s="4" t="inlineStr">
        <is>
          <t>Rf (lãi suất phi rủi ro)</t>
        </is>
      </c>
      <c r="B3" s="4" t="inlineStr">
        <is>
          <t>4.50%</t>
        </is>
      </c>
      <c r="C3" s="3" t="inlineStr">
        <is>
          <t>TPCP 10Y VN</t>
        </is>
      </c>
    </row>
    <row r="4">
      <c r="A4" s="4" t="inlineStr">
        <is>
          <t>Beta</t>
        </is>
      </c>
      <c r="B4" s="27" t="n">
        <v>1.1511</v>
      </c>
      <c r="C4" s="3" t="inlineStr">
        <is>
          <t>Tự tính toán (1623 phiên)</t>
        </is>
      </c>
    </row>
    <row r="5">
      <c r="A5" s="4" t="inlineStr">
        <is>
          <t>ERP</t>
        </is>
      </c>
      <c r="B5" s="4" t="inlineStr">
        <is>
          <t>5.50%</t>
        </is>
      </c>
      <c r="C5" s="3" t="inlineStr">
        <is>
          <t>Phần bù rủi ro TTCK VN</t>
        </is>
      </c>
    </row>
    <row r="6">
      <c r="A6" s="4" t="inlineStr">
        <is>
          <t>COE = Rf + β × ERP</t>
        </is>
      </c>
      <c r="B6" s="4" t="inlineStr">
        <is>
          <t>10.83%</t>
        </is>
      </c>
      <c r="C6" s="3" t="inlineStr">
        <is>
          <t>Chi phí vốn chủ sở hữu</t>
        </is>
      </c>
    </row>
    <row r="7">
      <c r="A7" s="25" t="inlineStr">
        <is>
          <t>─ P/E ─</t>
        </is>
      </c>
      <c r="B7" s="26" t="inlineStr"/>
      <c r="C7" s="3" t="inlineStr"/>
    </row>
    <row r="8">
      <c r="A8" s="4" t="inlineStr">
        <is>
          <t>EPS forward 1Y (VND)</t>
        </is>
      </c>
      <c r="B8" s="5" t="n">
        <v>5634</v>
      </c>
      <c r="C8" s="3">
        <f> EPS_last × (1 + CAGR EPS)</f>
        <v/>
      </c>
    </row>
    <row r="9">
      <c r="A9" s="4" t="inlineStr">
        <is>
          <t>P/E mục tiêu</t>
        </is>
      </c>
      <c r="B9" s="27" t="n">
        <v>8</v>
      </c>
      <c r="C9" s="3" t="inlineStr">
        <is>
          <t>Median P/E lịch sử, kẹp [8,25]</t>
        </is>
      </c>
    </row>
    <row r="10">
      <c r="A10" s="4" t="inlineStr">
        <is>
          <t>Giá hợp lý P/E</t>
        </is>
      </c>
      <c r="B10" s="5" t="n">
        <v>45075</v>
      </c>
      <c r="C10" s="3">
        <f> P/E × EPS_fc1</f>
        <v/>
      </c>
    </row>
    <row r="11">
      <c r="A11" s="25" t="inlineStr">
        <is>
          <t>─ P/B ─</t>
        </is>
      </c>
      <c r="B11" s="26" t="inlineStr"/>
      <c r="C11" s="3" t="inlineStr"/>
    </row>
    <row r="12">
      <c r="A12" s="4" t="inlineStr">
        <is>
          <t>BVPS forward 1Y (VND)</t>
        </is>
      </c>
      <c r="B12" s="5" t="n">
        <v>22539</v>
      </c>
      <c r="C12" s="3" t="inlineStr">
        <is>
          <t>Roll-forward trừ cổ tức</t>
        </is>
      </c>
    </row>
    <row r="13">
      <c r="A13" s="4" t="inlineStr">
        <is>
          <t>P/B mục tiêu</t>
        </is>
      </c>
      <c r="B13" s="27" t="n">
        <v>2.4</v>
      </c>
      <c r="C13" s="3" t="inlineStr">
        <is>
          <t>Median P/B lịch sử, kẹp [0.6,4]</t>
        </is>
      </c>
    </row>
    <row r="14">
      <c r="A14" s="4" t="inlineStr">
        <is>
          <t>Giá hợp lý P/B</t>
        </is>
      </c>
      <c r="B14" s="5" t="n">
        <v>54092</v>
      </c>
      <c r="C14" s="3">
        <f> P/B × BVPS_fc1</f>
        <v/>
      </c>
    </row>
    <row r="15">
      <c r="A15" s="25" t="inlineStr">
        <is>
          <t>─ Residual Income ─</t>
        </is>
      </c>
      <c r="B15" s="26" t="inlineStr"/>
      <c r="C15" s="3" t="inlineStr"/>
    </row>
    <row r="16">
      <c r="A16" s="4" t="inlineStr">
        <is>
          <t>BVPS hiện tại (VND)</t>
        </is>
      </c>
      <c r="B16" s="5" t="n">
        <v>21531</v>
      </c>
      <c r="C16" s="3" t="inlineStr">
        <is>
          <t>bsa78 − bsa210 / shares</t>
        </is>
      </c>
    </row>
    <row r="17">
      <c r="A17" s="4" t="inlineStr">
        <is>
          <t>CAGR EPS</t>
        </is>
      </c>
      <c r="B17" s="8" t="n">
        <v>0.1069439859195265</v>
      </c>
      <c r="C17" s="3" t="inlineStr">
        <is>
          <t>Kẹp [−10%, +20%]</t>
        </is>
      </c>
    </row>
    <row r="18">
      <c r="A18" s="4" t="inlineStr">
        <is>
          <t>RI Năm 1 (VND)</t>
        </is>
      </c>
      <c r="B18" s="5" t="n">
        <v>2979.6</v>
      </c>
      <c r="C18" s="3" t="inlineStr">
        <is>
          <t>PV EPS1 − COE×BVPS0</t>
        </is>
      </c>
    </row>
    <row r="19">
      <c r="A19" s="4" t="inlineStr">
        <is>
          <t>RI Năm 2 (VND)</t>
        </is>
      </c>
      <c r="B19" s="5" t="n">
        <v>3080.6</v>
      </c>
      <c r="C19" s="3" t="inlineStr">
        <is>
          <t>PV EPS2 − COE×BVPS1</t>
        </is>
      </c>
    </row>
    <row r="20">
      <c r="A20" s="4" t="inlineStr">
        <is>
          <t>RI Năm 3 (VND)</t>
        </is>
      </c>
      <c r="B20" s="5" t="n">
        <v>3171.3</v>
      </c>
      <c r="C20" s="3" t="inlineStr">
        <is>
          <t>PV EPS3 − COE×BVPS2</t>
        </is>
      </c>
    </row>
    <row r="21">
      <c r="A21" s="4" t="inlineStr">
        <is>
          <t>RI Terminal (PV, VND)</t>
        </is>
      </c>
      <c r="B21" s="5" t="n">
        <v>37794.4</v>
      </c>
      <c r="C21" s="3" t="inlineStr">
        <is>
          <t>TV/(COE−g)</t>
        </is>
      </c>
    </row>
    <row r="22">
      <c r="A22" s="4" t="inlineStr">
        <is>
          <t>Giá hợp lý RI (VND)</t>
        </is>
      </c>
      <c r="B22" s="5" t="n">
        <v>68557</v>
      </c>
      <c r="C22" s="3" t="inlineStr">
        <is>
          <t>BVPS + ΣRI_PV + Terminal_PV</t>
        </is>
      </c>
    </row>
    <row r="23">
      <c r="A23" s="25" t="inlineStr">
        <is>
          <t>─ KẾT QUẢ ─</t>
        </is>
      </c>
      <c r="B23" s="26" t="inlineStr"/>
      <c r="C23" s="3" t="inlineStr"/>
    </row>
    <row r="24">
      <c r="A24" s="4" t="inlineStr">
        <is>
          <t>Giá thị trường (VND)</t>
        </is>
      </c>
      <c r="B24" s="5" t="n">
        <v>40000</v>
      </c>
      <c r="C24" s="3" t="inlineStr"/>
    </row>
    <row r="25">
      <c r="A25" s="24" t="inlineStr">
        <is>
          <t>Giá mục tiêu (40+40+20)</t>
        </is>
      </c>
      <c r="B25" s="10" t="n">
        <v>53378</v>
      </c>
      <c r="C25" s="3" t="inlineStr">
        <is>
          <t>Tổng hợp 3 phương pháp</t>
        </is>
      </c>
    </row>
    <row r="26">
      <c r="A26" s="24" t="inlineStr">
        <is>
          <t>Upside / Downside</t>
        </is>
      </c>
      <c r="B26" s="28" t="n">
        <v>0.3345</v>
      </c>
      <c r="C26" s="3" t="inlineStr">
        <is>
          <t>+/- % so với giá thị trường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2" customWidth="1" min="3" max="3"/>
    <col width="11" customWidth="1" min="4" max="4"/>
    <col width="11" customWidth="1" min="5" max="5"/>
    <col width="11" customWidth="1" min="6" max="6"/>
    <col width="11" customWidth="1" min="7" max="7"/>
  </cols>
  <sheetData>
    <row r="1">
      <c r="A1" s="12" t="inlineStr">
        <is>
          <t>Mảng / Quý</t>
        </is>
      </c>
      <c r="B1" s="12" t="inlineStr">
        <is>
          <t>2025Q1</t>
        </is>
      </c>
      <c r="C1" s="12" t="inlineStr">
        <is>
          <t>2026Q1</t>
        </is>
      </c>
      <c r="D1" s="12" t="inlineStr">
        <is>
          <t>DT</t>
        </is>
      </c>
      <c r="E1" s="12" t="inlineStr">
        <is>
          <t>GV</t>
        </is>
      </c>
      <c r="F1" s="12" t="inlineStr">
        <is>
          <t>LNG</t>
        </is>
      </c>
      <c r="G1" s="12" t="inlineStr">
        <is>
          <t>Biên LNG</t>
        </is>
      </c>
    </row>
    <row r="2">
      <c r="A2" s="4" t="inlineStr">
        <is>
          <t>Kinh doanh điện</t>
        </is>
      </c>
      <c r="B2" s="23" t="n">
        <v>815.7</v>
      </c>
      <c r="C2" s="23" t="n">
        <v>883.8</v>
      </c>
      <c r="D2" s="29" t="n">
        <v>849.75</v>
      </c>
      <c r="E2" s="29" t="n">
        <v>773.7</v>
      </c>
      <c r="F2" s="29" t="n">
        <v>76.05</v>
      </c>
      <c r="G2" s="30" t="n">
        <v>0.0895</v>
      </c>
    </row>
    <row r="3">
      <c r="A3" s="4" t="inlineStr">
        <is>
          <t>Cho thuê đất &amp; hạ tầng KCN</t>
        </is>
      </c>
      <c r="B3" s="23" t="n">
        <v>467.5</v>
      </c>
      <c r="C3" s="23" t="n">
        <v>268.9</v>
      </c>
      <c r="D3" s="29" t="n">
        <v>368.2</v>
      </c>
      <c r="E3" s="29" t="n">
        <v>147.2</v>
      </c>
      <c r="F3" s="29" t="n">
        <v>221</v>
      </c>
      <c r="G3" s="30" t="n">
        <v>0.6002</v>
      </c>
    </row>
    <row r="4">
      <c r="A4" s="4" t="inlineStr">
        <is>
          <t>Dịch vụ khu công nghiệp</t>
        </is>
      </c>
      <c r="B4" s="23" t="n">
        <v>121.2</v>
      </c>
      <c r="C4" s="23" t="n">
        <v>136.9</v>
      </c>
      <c r="D4" s="29" t="n">
        <v>129.05</v>
      </c>
      <c r="E4" s="29" t="n">
        <v>67.65000000000001</v>
      </c>
      <c r="F4" s="29" t="n">
        <v>61.4</v>
      </c>
      <c r="G4" s="30" t="n">
        <v>0.4758</v>
      </c>
    </row>
    <row r="5">
      <c r="A5" s="4" t="inlineStr">
        <is>
          <t>Thu phí đường bộ (BOT)</t>
        </is>
      </c>
      <c r="B5" s="23" t="n">
        <v>112.7</v>
      </c>
      <c r="C5" s="23" t="n">
        <v>120.3</v>
      </c>
      <c r="D5" s="29" t="n">
        <v>116.5</v>
      </c>
      <c r="E5" s="29" t="n">
        <v>67.59999999999999</v>
      </c>
      <c r="F5" s="29" t="n">
        <v>48.9</v>
      </c>
      <c r="G5" s="30" t="n">
        <v>0.4197</v>
      </c>
    </row>
    <row r="6">
      <c r="A6" s="4" t="inlineStr">
        <is>
          <t>Hoạt động xây dựng</t>
        </is>
      </c>
      <c r="B6" s="23" t="n">
        <v>37.8</v>
      </c>
      <c r="C6" s="23" t="n">
        <v>31</v>
      </c>
      <c r="D6" s="29" t="n">
        <v>34.4</v>
      </c>
      <c r="E6" s="29" t="n">
        <v>46.25</v>
      </c>
      <c r="F6" s="29" t="n">
        <v>-11.85</v>
      </c>
      <c r="G6" s="30" t="n">
        <v>-0.3445</v>
      </c>
    </row>
    <row r="7">
      <c r="A7" s="4" t="inlineStr">
        <is>
          <t>Kinh doanh BĐS</t>
        </is>
      </c>
      <c r="B7" s="23" t="n">
        <v>182.2</v>
      </c>
      <c r="C7" s="23" t="n">
        <v>17.7</v>
      </c>
      <c r="D7" s="29" t="n">
        <v>99.95</v>
      </c>
      <c r="E7" s="29" t="n">
        <v>30.3</v>
      </c>
      <c r="F7" s="29" t="n">
        <v>69.65000000000001</v>
      </c>
      <c r="G7" s="30" t="n">
        <v>0.6968</v>
      </c>
    </row>
    <row r="8">
      <c r="A8" s="4" t="inlineStr">
        <is>
          <t>Sản phẩm &amp; dịch vụ khác</t>
        </is>
      </c>
      <c r="B8" s="23" t="n">
        <v>56.5</v>
      </c>
      <c r="C8" s="23" t="n">
        <v>27.1</v>
      </c>
      <c r="D8" s="29" t="n">
        <v>41.8</v>
      </c>
      <c r="E8" s="29" t="n">
        <v>36.75</v>
      </c>
      <c r="F8" s="29" t="n">
        <v>5.05</v>
      </c>
      <c r="G8" s="30" t="n">
        <v>0.1208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2026-07-07T16:38:32Z</dcterms:created>
  <dcterms:modified xmlns:dcterms="http://purl.org/dc/terms/" xmlns:xsi="http://www.w3.org/2001/XMLSchema-instance" xsi:type="dcterms:W3CDTF">2026-07-07T16:38:32Z</dcterms:modified>
</cp:coreProperties>
</file>