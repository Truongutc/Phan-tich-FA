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Income_Model" sheetId="3" state="visible" r:id="rId3"/>
    <sheet name="04_PnL" sheetId="4" state="visible" r:id="rId4"/>
    <sheet name="05_Balance_Sheet" sheetId="5" state="visible" r:id="rId5"/>
    <sheet name="06_Rat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sz val="12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PHÂN TÍCH CỔ PHIẾU NGÂN HÀNG: MBB</t>
        </is>
      </c>
    </row>
    <row r="3">
      <c r="B3" s="2" t="inlineStr">
        <is>
          <t>Ngân hàng Thương mại Cổ phần Quân đội</t>
        </is>
      </c>
    </row>
    <row r="5">
      <c r="B5" t="inlineStr">
        <is>
          <t>Giá mục tiêu (VND):</t>
        </is>
      </c>
      <c r="C5" s="3" t="n">
        <v>37916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Tín dụng tăng trưởng (%)</t>
        </is>
      </c>
      <c r="B2" s="6" t="n"/>
      <c r="C2" s="6" t="n"/>
      <c r="D2" s="6" t="n"/>
      <c r="E2" s="6" t="n"/>
      <c r="F2" s="6" t="n"/>
      <c r="G2" s="6" t="n">
        <v>0.14</v>
      </c>
      <c r="H2" s="6" t="n">
        <v>0.13</v>
      </c>
      <c r="I2" s="6" t="n">
        <v>0.12</v>
      </c>
    </row>
    <row r="3">
      <c r="A3" s="5" t="inlineStr">
        <is>
          <t>Huy động tăng trưởng (%)</t>
        </is>
      </c>
      <c r="B3" s="6" t="n"/>
      <c r="C3" s="6" t="n"/>
      <c r="D3" s="6" t="n"/>
      <c r="E3" s="6" t="n"/>
      <c r="F3" s="6" t="n"/>
      <c r="G3" s="6" t="n">
        <v>0.12</v>
      </c>
      <c r="H3" s="6" t="n">
        <v>0.11</v>
      </c>
      <c r="I3" s="6" t="n">
        <v>0.1</v>
      </c>
    </row>
    <row r="4">
      <c r="A4" s="5" t="inlineStr">
        <is>
          <t>NIM (%)</t>
        </is>
      </c>
      <c r="B4" s="6" t="n">
        <v>0.0467</v>
      </c>
      <c r="C4" s="6" t="n">
        <v>0.0578</v>
      </c>
      <c r="D4" s="6" t="n">
        <v>0.05</v>
      </c>
      <c r="E4" s="6" t="n">
        <v>0.04219999999999999</v>
      </c>
      <c r="F4" s="6" t="n">
        <v>0.0391</v>
      </c>
      <c r="G4" s="6" t="n">
        <v>0.034</v>
      </c>
      <c r="H4" s="6" t="n">
        <v>0.0345</v>
      </c>
      <c r="I4" s="6" t="n">
        <v>0.035</v>
      </c>
    </row>
    <row r="5">
      <c r="A5" s="5" t="inlineStr">
        <is>
          <t>CIR (%)</t>
        </is>
      </c>
      <c r="B5" s="6" t="n">
        <v>0.3351</v>
      </c>
      <c r="C5" s="6" t="n">
        <v>0.325</v>
      </c>
      <c r="D5" s="6" t="n">
        <v>0.3152</v>
      </c>
      <c r="E5" s="6" t="n">
        <v>0.3069</v>
      </c>
      <c r="F5" s="6" t="n">
        <v>0.2907</v>
      </c>
      <c r="G5" s="6" t="n">
        <v>0.33</v>
      </c>
      <c r="H5" s="6" t="n">
        <v>0.32</v>
      </c>
      <c r="I5" s="6" t="n">
        <v>0.32</v>
      </c>
    </row>
    <row r="6">
      <c r="A6" s="5" t="inlineStr">
        <is>
          <t>Chi phí vốn CSH (COE)</t>
        </is>
      </c>
      <c r="B6" s="6" t="n"/>
      <c r="C6" s="6" t="n"/>
      <c r="D6" s="6" t="n"/>
      <c r="E6" s="6" t="n"/>
      <c r="F6" s="6" t="n"/>
      <c r="G6" s="6" t="n">
        <v>0.0961</v>
      </c>
      <c r="H6" s="6" t="n">
        <v>0.0961</v>
      </c>
      <c r="I6" s="6" t="n">
        <v>0.0961</v>
      </c>
    </row>
    <row r="7">
      <c r="A7" s="5" t="inlineStr">
        <is>
          <t>Số lượng cổ phiếu</t>
        </is>
      </c>
      <c r="B7" s="7" t="n">
        <v>8396554400</v>
      </c>
      <c r="C7" s="7" t="n"/>
      <c r="D7" s="7" t="n"/>
      <c r="E7" s="7" t="n"/>
      <c r="F7" s="7" t="n"/>
      <c r="G7" s="7" t="n"/>
      <c r="H7" s="7" t="n"/>
      <c r="I7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NII (tỷ)</t>
        </is>
      </c>
      <c r="B2" s="7" t="n">
        <v>26199.554</v>
      </c>
      <c r="C2" s="7" t="n">
        <v>36023.122</v>
      </c>
      <c r="D2" s="7" t="n">
        <v>38683.848</v>
      </c>
      <c r="E2" s="7" t="n">
        <v>41152.219</v>
      </c>
      <c r="F2" s="7" t="n">
        <v>51610.117</v>
      </c>
      <c r="G2" s="7" t="n">
        <v>56227.88612865</v>
      </c>
      <c r="H2" s="7" t="n">
        <v>64169.2015788165</v>
      </c>
      <c r="I2" s="7" t="n">
        <v>72567.17255929823</v>
      </c>
    </row>
    <row r="3">
      <c r="A3" s="5" t="inlineStr">
        <is>
          <t>Thu nhập ngoài lãi</t>
        </is>
      </c>
      <c r="B3" s="7" t="n">
        <v>10734.944</v>
      </c>
      <c r="C3" s="7" t="n">
        <v>9569.502999999997</v>
      </c>
      <c r="D3" s="7" t="n">
        <v>8622.214</v>
      </c>
      <c r="E3" s="7" t="n">
        <v>14261.003</v>
      </c>
      <c r="F3" s="7" t="n">
        <v>16082.898</v>
      </c>
      <c r="G3" s="7" t="n">
        <v>18495.3327</v>
      </c>
      <c r="H3" s="7" t="n">
        <v>21269.632605</v>
      </c>
      <c r="I3" s="7" t="n">
        <v>24247.3811697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Thu nhập lãi thuần (NII)</t>
        </is>
      </c>
      <c r="B2" s="7" t="n">
        <v>26199.554</v>
      </c>
      <c r="C2" s="7" t="n">
        <v>36023.122</v>
      </c>
      <c r="D2" s="7" t="n">
        <v>38683.848</v>
      </c>
      <c r="E2" s="7" t="n">
        <v>41152.219</v>
      </c>
      <c r="F2" s="7" t="n">
        <v>51610.117</v>
      </c>
      <c r="G2" s="7">
        <f>'03_Income_Model'!G2</f>
        <v/>
      </c>
      <c r="H2" s="7">
        <f>'03_Income_Model'!H2</f>
        <v/>
      </c>
      <c r="I2" s="7">
        <f>'03_Income_Model'!I2</f>
        <v/>
      </c>
    </row>
    <row r="3">
      <c r="A3" s="5" t="inlineStr">
        <is>
          <t>Tổng thu nhập hoạt động (TOI)</t>
        </is>
      </c>
      <c r="B3" s="7" t="n">
        <v>36934.498</v>
      </c>
      <c r="C3" s="7" t="n">
        <v>45592.625</v>
      </c>
      <c r="D3" s="7" t="n">
        <v>47306.062</v>
      </c>
      <c r="E3" s="7" t="n">
        <v>55413.222</v>
      </c>
      <c r="F3" s="7" t="n">
        <v>67693.015</v>
      </c>
      <c r="G3" s="7">
        <f>SUM(G2+'03_Income_Model'!G3)</f>
        <v/>
      </c>
      <c r="H3" s="7">
        <f>SUM(H2+'03_Income_Model'!H3)</f>
        <v/>
      </c>
      <c r="I3" s="7">
        <f>SUM(I2+'03_Income_Model'!I3)</f>
        <v/>
      </c>
    </row>
    <row r="4">
      <c r="A4" s="5" t="inlineStr">
        <is>
          <t>Lợi nhuận trước dự phòng (PPOP)</t>
        </is>
      </c>
      <c r="B4" s="7" t="n">
        <v>24557.31</v>
      </c>
      <c r="C4" s="7" t="n">
        <v>30776.997</v>
      </c>
      <c r="D4" s="7" t="n">
        <v>32393.121</v>
      </c>
      <c r="E4" s="7" t="n">
        <v>38405.972</v>
      </c>
      <c r="F4" s="7" t="n">
        <v>48011.862</v>
      </c>
      <c r="G4" s="7">
        <f>G3*(1-'02_Assumptions'!G5)</f>
        <v/>
      </c>
      <c r="H4" s="7">
        <f>H3*(1-'02_Assumptions'!H5)</f>
        <v/>
      </c>
      <c r="I4" s="7">
        <f>I3*(1-'02_Assumptions'!I5)</f>
        <v/>
      </c>
    </row>
    <row r="5">
      <c r="A5" s="5" t="inlineStr">
        <is>
          <t>LNST (NPAT)</t>
        </is>
      </c>
      <c r="B5" s="7" t="n">
        <v>13221.437</v>
      </c>
      <c r="C5" s="7" t="n">
        <v>18155.185</v>
      </c>
      <c r="D5" s="7" t="n">
        <v>21053.792</v>
      </c>
      <c r="E5" s="7" t="n">
        <v>22951.264</v>
      </c>
      <c r="F5" s="7" t="n">
        <v>27382.978</v>
      </c>
      <c r="G5" s="7">
        <f>G4-(('05_Balance_Sheet'!G3)*'02_Assumptions'!G4)</f>
        <v/>
      </c>
      <c r="H5" s="7">
        <f>H4-(('05_Balance_Sheet'!H3)*'02_Assumptions'!H4)</f>
        <v/>
      </c>
      <c r="I5" s="7">
        <f>I4-(('05_Balance_Sheet'!I3)*'02_Assumptions'!I4)</f>
        <v/>
      </c>
    </row>
    <row r="6">
      <c r="A6" s="5" t="inlineStr">
        <is>
          <t>EPS (VND)</t>
        </is>
      </c>
      <c r="B6" s="7" t="n">
        <v>1574.626492028683</v>
      </c>
      <c r="C6" s="7" t="n">
        <v>2162.218469042492</v>
      </c>
      <c r="D6" s="7" t="n">
        <v>2507.432334387067</v>
      </c>
      <c r="E6" s="7" t="n">
        <v>2733.414553950844</v>
      </c>
      <c r="F6" s="7" t="n">
        <v>3261.216053099114</v>
      </c>
      <c r="G6" s="7">
        <f>G5*1e9/'02_Assumptions'!$B$7</f>
        <v/>
      </c>
      <c r="H6" s="7">
        <f>H5*1e9/'02_Assumptions'!$B$7</f>
        <v/>
      </c>
      <c r="I6" s="7">
        <f>I5*1e9/'02_Assumptions'!$B$7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Tổng tài sản</t>
        </is>
      </c>
      <c r="B2" s="7" t="n">
        <v>607140.419</v>
      </c>
      <c r="C2" s="7" t="n">
        <v>728532.373</v>
      </c>
      <c r="D2" s="7" t="n">
        <v>944953.64</v>
      </c>
      <c r="E2" s="7" t="n">
        <v>1128801.062</v>
      </c>
      <c r="F2" s="7" t="n">
        <v>1615763.927</v>
      </c>
      <c r="G2" s="7" t="n"/>
      <c r="H2" s="7" t="n"/>
      <c r="I2" s="7" t="n"/>
    </row>
    <row r="3">
      <c r="A3" s="5" t="inlineStr">
        <is>
          <t>Cho vay khách hàng</t>
        </is>
      </c>
      <c r="B3" s="7" t="n">
        <v>354797.094</v>
      </c>
      <c r="C3" s="7" t="n">
        <v>448598.622</v>
      </c>
      <c r="D3" s="7" t="n">
        <v>599579.267</v>
      </c>
      <c r="E3" s="7" t="n">
        <v>765047.985</v>
      </c>
      <c r="F3" s="7" t="n">
        <v>1070868.777</v>
      </c>
      <c r="G3" s="7">
        <f>F3*(1+'02_Assumptions'!G2)</f>
        <v/>
      </c>
      <c r="H3" s="7">
        <f>G3*(1+'02_Assumptions'!H2)</f>
        <v/>
      </c>
      <c r="I3" s="7">
        <f>H3*(1+'02_Assumptions'!I2)</f>
        <v/>
      </c>
    </row>
    <row r="4">
      <c r="A4" s="5" t="inlineStr">
        <is>
          <t>Tiền gửi khách hàng</t>
        </is>
      </c>
      <c r="B4" s="7" t="n">
        <v>384692.155</v>
      </c>
      <c r="C4" s="7" t="n">
        <v>443605.638</v>
      </c>
      <c r="D4" s="7" t="n">
        <v>567532.577</v>
      </c>
      <c r="E4" s="7" t="n">
        <v>714154.4790000001</v>
      </c>
      <c r="F4" s="7" t="n">
        <v>921368.132</v>
      </c>
      <c r="G4" s="7">
        <f>F4*(1+'02_Assumptions'!G3)</f>
        <v/>
      </c>
      <c r="H4" s="7">
        <f>G4*(1+'02_Assumptions'!H3)</f>
        <v/>
      </c>
      <c r="I4" s="7">
        <f>H4*(1+'02_Assumptions'!I3)</f>
        <v/>
      </c>
    </row>
    <row r="5">
      <c r="A5" s="5" t="inlineStr">
        <is>
          <t>Vốn chủ sở hữu (VCSH)</t>
        </is>
      </c>
      <c r="B5" s="7" t="n">
        <v>62486.023</v>
      </c>
      <c r="C5" s="7" t="n">
        <v>79613.219</v>
      </c>
      <c r="D5" s="7" t="n">
        <v>96711.159</v>
      </c>
      <c r="E5" s="7" t="n">
        <v>117059.581</v>
      </c>
      <c r="F5" s="7" t="n">
        <v>142022.525</v>
      </c>
      <c r="G5" s="7">
        <f>F5+'04_PnL'!G5*0.7</f>
        <v/>
      </c>
      <c r="H5" s="7">
        <f>G5+'04_PnL'!H5*0.7</f>
        <v/>
      </c>
      <c r="I5" s="7">
        <f>H5+'04_PnL'!I5*0.7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NIM (%)</t>
        </is>
      </c>
      <c r="B2" s="5">
        <f>'04_PnL'!B2/'05_Balance_Sheet'!B2</f>
        <v/>
      </c>
      <c r="C2" s="5">
        <f>'04_PnL'!C2/'05_Balance_Sheet'!C2</f>
        <v/>
      </c>
      <c r="D2" s="5">
        <f>'04_PnL'!D2/'05_Balance_Sheet'!D2</f>
        <v/>
      </c>
      <c r="E2" s="5">
        <f>'04_PnL'!E2/'05_Balance_Sheet'!E2</f>
        <v/>
      </c>
      <c r="F2" s="5">
        <f>'04_PnL'!F2/'05_Balance_Sheet'!F2</f>
        <v/>
      </c>
      <c r="G2" s="5">
        <f>'04_PnL'!G2/'05_Balance_Sheet'!G2</f>
        <v/>
      </c>
      <c r="H2" s="5">
        <f>'04_PnL'!H2/'05_Balance_Sheet'!H2</f>
        <v/>
      </c>
      <c r="I2" s="5">
        <f>'04_PnL'!I2/'05_Balance_Sheet'!I2</f>
        <v/>
      </c>
    </row>
    <row r="3">
      <c r="A3" s="5" t="inlineStr">
        <is>
          <t>ROE (%)</t>
        </is>
      </c>
      <c r="B3" s="5">
        <f>'04_PnL'!B5/'05_Balance_Sheet'!B5</f>
        <v/>
      </c>
      <c r="C3" s="5">
        <f>'04_PnL'!C5/'05_Balance_Sheet'!C5</f>
        <v/>
      </c>
      <c r="D3" s="5">
        <f>'04_PnL'!D5/'05_Balance_Sheet'!D5</f>
        <v/>
      </c>
      <c r="E3" s="5">
        <f>'04_PnL'!E5/'05_Balance_Sheet'!E5</f>
        <v/>
      </c>
      <c r="F3" s="5">
        <f>'04_PnL'!F5/'05_Balance_Sheet'!F5</f>
        <v/>
      </c>
      <c r="G3" s="5">
        <f>'04_PnL'!G5/'05_Balance_Sheet'!G5</f>
        <v/>
      </c>
      <c r="H3" s="5">
        <f>'04_PnL'!H5/'05_Balance_Sheet'!H5</f>
        <v/>
      </c>
      <c r="I3" s="5">
        <f>'04_PnL'!I5/'05_Balance_Sheet'!I5</f>
        <v/>
      </c>
    </row>
    <row r="4">
      <c r="A4" s="5" t="inlineStr">
        <is>
          <t>ROA (%)</t>
        </is>
      </c>
      <c r="B4" s="5">
        <f>'04_PnL'!B5/'05_Balance_Sheet'!B2</f>
        <v/>
      </c>
      <c r="C4" s="5">
        <f>'04_PnL'!C5/'05_Balance_Sheet'!C2</f>
        <v/>
      </c>
      <c r="D4" s="5">
        <f>'04_PnL'!D5/'05_Balance_Sheet'!D2</f>
        <v/>
      </c>
      <c r="E4" s="5">
        <f>'04_PnL'!E5/'05_Balance_Sheet'!E2</f>
        <v/>
      </c>
      <c r="F4" s="5">
        <f>'04_PnL'!F5/'05_Balance_Sheet'!F2</f>
        <v/>
      </c>
      <c r="G4" s="5">
        <f>'04_PnL'!G5/'05_Balance_Sheet'!G2</f>
        <v/>
      </c>
      <c r="H4" s="5">
        <f>'04_PnL'!H5/'05_Balance_Sheet'!H2</f>
        <v/>
      </c>
      <c r="I4" s="5">
        <f>'04_PnL'!I5/'05_Balance_Sheet'!I2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2026-06-28T17:59:40Z</dcterms:created>
  <dcterms:modified xsi:type="dcterms:W3CDTF">2026-06-28T17:59:40Z</dcterms:modified>
</cp:coreProperties>
</file>