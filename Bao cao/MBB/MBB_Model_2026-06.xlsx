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b val="1"/>
      <color rgb="00FFFFFF"/>
      <sz val="11"/>
    </font>
    <font>
      <name val="Calibri"/>
      <sz val="11"/>
    </font>
    <font>
      <name val="Calibri"/>
    </font>
  </fonts>
  <fills count="4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1" fillId="0" borderId="0" pivotButton="0" quotePrefix="0" xfId="0"/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0.73</v>
      </c>
    </row>
    <row r="6">
      <c r="A6" t="inlineStr">
        <is>
          <t>ERP — Phần bù rủi ro vốn</t>
        </is>
      </c>
      <c r="B6" s="2" t="n">
        <v>0.07000000000000001</v>
      </c>
    </row>
    <row r="8">
      <c r="A8" s="1" t="inlineStr">
        <is>
          <t>COE = Rf + β × ERP</t>
        </is>
      </c>
      <c r="B8" s="3">
        <f>B4+B5*B6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MBB</t>
        </is>
      </c>
    </row>
    <row r="3">
      <c r="B3" s="5" t="inlineStr">
        <is>
          <t>Ngân hàng MBB</t>
        </is>
      </c>
    </row>
    <row r="5">
      <c r="B5" t="inlineStr">
        <is>
          <t>Giá hiện tại (VND):</t>
        </is>
      </c>
      <c r="C5" t="n">
        <v>24000</v>
      </c>
    </row>
    <row r="6">
      <c r="B6" t="inlineStr">
        <is>
          <t>Giá mục tiêu (VND):</t>
        </is>
      </c>
      <c r="C6" s="6" t="n">
        <v>37916</v>
      </c>
    </row>
    <row r="7">
      <c r="B7" t="inlineStr">
        <is>
          <t>Upside:</t>
        </is>
      </c>
      <c r="C7" s="1" t="inlineStr">
        <is>
          <t>+58.0%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Tín dụng tăng trưởng (%)</t>
        </is>
      </c>
      <c r="B2" s="8" t="n"/>
      <c r="C2" s="8" t="n"/>
      <c r="D2" s="8" t="n"/>
      <c r="E2" s="8" t="n"/>
      <c r="F2" s="8" t="n"/>
      <c r="G2" s="9" t="n">
        <v>0.14</v>
      </c>
      <c r="H2" s="9" t="n">
        <v>0.13</v>
      </c>
      <c r="I2" s="9" t="n">
        <v>0.12</v>
      </c>
    </row>
    <row r="3">
      <c r="A3" s="8" t="inlineStr">
        <is>
          <t>Huy động tăng trưởng (%)</t>
        </is>
      </c>
      <c r="B3" s="8" t="n"/>
      <c r="C3" s="8" t="n"/>
      <c r="D3" s="8" t="n"/>
      <c r="E3" s="8" t="n"/>
      <c r="F3" s="8" t="n"/>
      <c r="G3" s="9" t="n">
        <v>0.12</v>
      </c>
      <c r="H3" s="9" t="n">
        <v>0.11</v>
      </c>
      <c r="I3" s="9" t="n">
        <v>0.1</v>
      </c>
    </row>
    <row r="4">
      <c r="A4" s="8" t="inlineStr">
        <is>
          <t>NIM (%)</t>
        </is>
      </c>
      <c r="B4" s="9" t="n">
        <v>0.0467</v>
      </c>
      <c r="C4" s="9" t="n">
        <v>0.0578</v>
      </c>
      <c r="D4" s="9" t="n">
        <v>0.05</v>
      </c>
      <c r="E4" s="9" t="n">
        <v>0.04219999999999999</v>
      </c>
      <c r="F4" s="9" t="n">
        <v>0.0391</v>
      </c>
      <c r="G4" s="9" t="n">
        <v>0.034</v>
      </c>
      <c r="H4" s="9" t="n">
        <v>0.0345</v>
      </c>
      <c r="I4" s="9" t="n">
        <v>0.035</v>
      </c>
    </row>
    <row r="5">
      <c r="A5" s="8" t="inlineStr">
        <is>
          <t>CIR (%)</t>
        </is>
      </c>
      <c r="B5" s="9" t="n">
        <v>0.3351</v>
      </c>
      <c r="C5" s="9" t="n">
        <v>0.325</v>
      </c>
      <c r="D5" s="9" t="n">
        <v>0.3152</v>
      </c>
      <c r="E5" s="9" t="n">
        <v>0.3069</v>
      </c>
      <c r="F5" s="9" t="n">
        <v>0.2907</v>
      </c>
      <c r="G5" s="9" t="n">
        <v>0.33</v>
      </c>
      <c r="H5" s="9" t="n">
        <v>0.32</v>
      </c>
      <c r="I5" s="9" t="n">
        <v>0.32</v>
      </c>
    </row>
    <row r="6">
      <c r="A6" s="8" t="inlineStr">
        <is>
          <t>Chi phí vốn CSH (COE)</t>
        </is>
      </c>
      <c r="B6" s="8" t="n"/>
      <c r="C6" s="8" t="n"/>
      <c r="D6" s="8" t="n"/>
      <c r="E6" s="8" t="n"/>
      <c r="F6" s="8" t="n"/>
      <c r="G6" s="8">
        <f>'00_COE'!$B$8</f>
        <v/>
      </c>
      <c r="H6" s="8">
        <f>'00_COE'!$B$8</f>
        <v/>
      </c>
      <c r="I6" s="8">
        <f>'00_COE'!$B$8</f>
        <v/>
      </c>
    </row>
    <row r="7">
      <c r="A7" s="8" t="inlineStr">
        <is>
          <t>Số lượng cổ phiếu</t>
        </is>
      </c>
      <c r="B7" s="10" t="n">
        <v>8396554400</v>
      </c>
      <c r="C7" s="8" t="n"/>
      <c r="D7" s="8" t="n"/>
      <c r="E7" s="8" t="n"/>
      <c r="F7" s="8" t="n"/>
      <c r="G7" s="8" t="n"/>
      <c r="H7" s="8" t="n"/>
      <c r="I7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NII (tỷ)</t>
        </is>
      </c>
      <c r="B2" s="11" t="n">
        <v>26199.554</v>
      </c>
      <c r="C2" s="11" t="n">
        <v>36023.122</v>
      </c>
      <c r="D2" s="11" t="n">
        <v>38683.848</v>
      </c>
      <c r="E2" s="11" t="n">
        <v>41152.219</v>
      </c>
      <c r="F2" s="11" t="n">
        <v>51610.117</v>
      </c>
      <c r="G2" s="11" t="n">
        <v>56227.88612865</v>
      </c>
      <c r="H2" s="11" t="n">
        <v>64169.2015788165</v>
      </c>
      <c r="I2" s="11" t="n">
        <v>72567.17255929823</v>
      </c>
    </row>
    <row r="3">
      <c r="A3" s="8" t="inlineStr">
        <is>
          <t>Thu nhập ngoài lãi</t>
        </is>
      </c>
      <c r="B3" s="11" t="n">
        <v>10734.944</v>
      </c>
      <c r="C3" s="11" t="n">
        <v>9569.502999999997</v>
      </c>
      <c r="D3" s="11" t="n">
        <v>8622.214</v>
      </c>
      <c r="E3" s="11" t="n">
        <v>14261.003</v>
      </c>
      <c r="F3" s="11" t="n">
        <v>16082.898</v>
      </c>
      <c r="G3" s="11" t="n">
        <v>18495.3327</v>
      </c>
      <c r="H3" s="11" t="n">
        <v>21269.632605</v>
      </c>
      <c r="I3" s="11" t="n">
        <v>24247.3811697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Q2/2023</t>
        </is>
      </c>
      <c r="C1" s="7" t="inlineStr">
        <is>
          <t>Q3/2023</t>
        </is>
      </c>
      <c r="D1" s="7" t="inlineStr">
        <is>
          <t>Q4/2023</t>
        </is>
      </c>
      <c r="E1" s="7" t="inlineStr">
        <is>
          <t>Q1/2024</t>
        </is>
      </c>
      <c r="F1" s="7" t="inlineStr">
        <is>
          <t>Q2/2024</t>
        </is>
      </c>
      <c r="G1" s="7" t="inlineStr">
        <is>
          <t>Q3/2024</t>
        </is>
      </c>
      <c r="H1" s="7" t="inlineStr">
        <is>
          <t>Q4/2024</t>
        </is>
      </c>
      <c r="I1" s="7" t="inlineStr">
        <is>
          <t>Q1/2025</t>
        </is>
      </c>
      <c r="J1" s="7" t="inlineStr">
        <is>
          <t>Q2/2025</t>
        </is>
      </c>
      <c r="K1" s="7" t="inlineStr">
        <is>
          <t>Q3/2025</t>
        </is>
      </c>
      <c r="L1" s="7" t="inlineStr">
        <is>
          <t>Q4/2025</t>
        </is>
      </c>
      <c r="M1" s="7" t="inlineStr">
        <is>
          <t>Q1/2026</t>
        </is>
      </c>
    </row>
    <row r="2">
      <c r="A2" s="8" t="inlineStr">
        <is>
          <t>Thu nhập lãi thuần - NII</t>
        </is>
      </c>
      <c r="B2" s="11" t="n">
        <v>9481.370000000001</v>
      </c>
      <c r="C2" s="11" t="n">
        <v>9811.793</v>
      </c>
      <c r="D2" s="11" t="n">
        <v>9163.492</v>
      </c>
      <c r="E2" s="11" t="n">
        <v>9062.293</v>
      </c>
      <c r="F2" s="11" t="n">
        <v>10531.113</v>
      </c>
      <c r="G2" s="11" t="n">
        <v>10416.635</v>
      </c>
      <c r="H2" s="11" t="n">
        <v>11142.178</v>
      </c>
      <c r="I2" s="11" t="n">
        <v>11692.184</v>
      </c>
      <c r="J2" s="11" t="n">
        <v>12372.117</v>
      </c>
      <c r="K2" s="11" t="n">
        <v>12990.524</v>
      </c>
      <c r="L2" s="11" t="n">
        <v>14555.292</v>
      </c>
      <c r="M2" s="11" t="n">
        <v>14913.117</v>
      </c>
    </row>
    <row r="3">
      <c r="A3" s="8" t="inlineStr">
        <is>
          <t>Thu nhập ngoài lãi</t>
        </is>
      </c>
      <c r="B3" s="11" t="n">
        <v>2079.465</v>
      </c>
      <c r="C3" s="11" t="n">
        <v>2253.357</v>
      </c>
      <c r="D3" s="11" t="n">
        <v>2586.868</v>
      </c>
      <c r="E3" s="11" t="n">
        <v>2954.405</v>
      </c>
      <c r="F3" s="11" t="n">
        <v>3598.135</v>
      </c>
      <c r="G3" s="11" t="n">
        <v>2287.13</v>
      </c>
      <c r="H3" s="11" t="n">
        <v>5421.333</v>
      </c>
      <c r="I3" s="11" t="n">
        <v>3630.513</v>
      </c>
      <c r="J3" s="11" t="n">
        <v>4873.561</v>
      </c>
      <c r="K3" s="11" t="n">
        <v>2606.17</v>
      </c>
      <c r="L3" s="11" t="n">
        <v>4972.654</v>
      </c>
      <c r="M3" s="11" t="n">
        <v>2517.089</v>
      </c>
    </row>
    <row r="4">
      <c r="A4" s="8" t="inlineStr">
        <is>
          <t>Tổng thu nhập HĐ - TOI</t>
        </is>
      </c>
      <c r="B4" s="11" t="n">
        <v>11560.835</v>
      </c>
      <c r="C4" s="11" t="n">
        <v>12065.15</v>
      </c>
      <c r="D4" s="11" t="n">
        <v>11750.36</v>
      </c>
      <c r="E4" s="11" t="n">
        <v>12016.698</v>
      </c>
      <c r="F4" s="11" t="n">
        <v>14129.248</v>
      </c>
      <c r="G4" s="11" t="n">
        <v>12703.765</v>
      </c>
      <c r="H4" s="11" t="n">
        <v>16563.511</v>
      </c>
      <c r="I4" s="11" t="n">
        <v>15322.697</v>
      </c>
      <c r="J4" s="11" t="n">
        <v>17245.678</v>
      </c>
      <c r="K4" s="11" t="n">
        <v>15596.694</v>
      </c>
      <c r="L4" s="11" t="n">
        <v>19527.946</v>
      </c>
      <c r="M4" s="11" t="n">
        <v>17430.206</v>
      </c>
    </row>
    <row r="5">
      <c r="A5" s="8" t="inlineStr">
        <is>
          <t>Chi phí hoạt động - OPEX</t>
        </is>
      </c>
      <c r="B5" s="11" t="n">
        <v>4135.168</v>
      </c>
      <c r="C5" s="11" t="n">
        <v>3333.959</v>
      </c>
      <c r="D5" s="11" t="n">
        <v>3875.911</v>
      </c>
      <c r="E5" s="11" t="n">
        <v>3514.292</v>
      </c>
      <c r="F5" s="11" t="n">
        <v>4490.504</v>
      </c>
      <c r="G5" s="11" t="n">
        <v>3755.899</v>
      </c>
      <c r="H5" s="11" t="n">
        <v>5246.555</v>
      </c>
      <c r="I5" s="11" t="n">
        <v>3949.958</v>
      </c>
      <c r="J5" s="11" t="n">
        <v>4956.47</v>
      </c>
      <c r="K5" s="11" t="n">
        <v>4545.266</v>
      </c>
      <c r="L5" s="11" t="n">
        <v>6229.459</v>
      </c>
      <c r="M5" s="11" t="n">
        <v>4347.002</v>
      </c>
    </row>
    <row r="6">
      <c r="A6" s="8" t="inlineStr">
        <is>
          <t>LN trước dự phòng - PPOP</t>
        </is>
      </c>
      <c r="B6" s="11" t="n">
        <v>7425.667</v>
      </c>
      <c r="C6" s="11" t="n">
        <v>8731.191000000001</v>
      </c>
      <c r="D6" s="11" t="n">
        <v>7874.449</v>
      </c>
      <c r="E6" s="11" t="n">
        <v>8502.406000000001</v>
      </c>
      <c r="F6" s="11" t="n">
        <v>9638.744000000001</v>
      </c>
      <c r="G6" s="11" t="n">
        <v>8947.866</v>
      </c>
      <c r="H6" s="11" t="n">
        <v>11316.956</v>
      </c>
      <c r="I6" s="11" t="n">
        <v>11372.739</v>
      </c>
      <c r="J6" s="11" t="n">
        <v>12289.208</v>
      </c>
      <c r="K6" s="11" t="n">
        <v>11051.428</v>
      </c>
      <c r="L6" s="11" t="n">
        <v>13298.487</v>
      </c>
      <c r="M6" s="11" t="n">
        <v>13083.204</v>
      </c>
    </row>
    <row r="7">
      <c r="A7" s="8" t="inlineStr">
        <is>
          <t>Dự phòng tín dụng</t>
        </is>
      </c>
      <c r="B7" s="11" t="n">
        <v>1202.803</v>
      </c>
      <c r="C7" s="11" t="n">
        <v>1447.404</v>
      </c>
      <c r="D7" s="11" t="n">
        <v>1587.177</v>
      </c>
      <c r="E7" s="11" t="n">
        <v>2707.095</v>
      </c>
      <c r="F7" s="11" t="n">
        <v>2005.743</v>
      </c>
      <c r="G7" s="11" t="n">
        <v>1639.97</v>
      </c>
      <c r="H7" s="11" t="n">
        <v>3223.836</v>
      </c>
      <c r="I7" s="11" t="n">
        <v>2986.414</v>
      </c>
      <c r="J7" s="11" t="n">
        <v>4786.217</v>
      </c>
      <c r="K7" s="11" t="n">
        <v>3801.508</v>
      </c>
      <c r="L7" s="11" t="n">
        <v>2169.365</v>
      </c>
      <c r="M7" s="11" t="n">
        <v>3454.818</v>
      </c>
    </row>
    <row r="8">
      <c r="A8" s="8" t="inlineStr">
        <is>
          <t>LN trước thuế - PBT</t>
        </is>
      </c>
      <c r="B8" s="11" t="n">
        <v>6222.864</v>
      </c>
      <c r="C8" s="11" t="n">
        <v>7283.787</v>
      </c>
      <c r="D8" s="11" t="n">
        <v>6287.272</v>
      </c>
      <c r="E8" s="11" t="n">
        <v>5795.311</v>
      </c>
      <c r="F8" s="11" t="n">
        <v>7633.001</v>
      </c>
      <c r="G8" s="11" t="n">
        <v>7307.896</v>
      </c>
      <c r="H8" s="11" t="n">
        <v>8093.12</v>
      </c>
      <c r="I8" s="11" t="n">
        <v>8386.325000000001</v>
      </c>
      <c r="J8" s="11" t="n">
        <v>7502.991</v>
      </c>
      <c r="K8" s="11" t="n">
        <v>7249.92</v>
      </c>
      <c r="L8" s="11" t="n">
        <v>11129.122</v>
      </c>
      <c r="M8" s="11" t="n">
        <v>9628.386</v>
      </c>
    </row>
    <row r="9">
      <c r="A9" s="8" t="inlineStr">
        <is>
          <t>LN sau thuế - NPAT</t>
        </is>
      </c>
      <c r="B9" s="11" t="n">
        <v>4982.44</v>
      </c>
      <c r="C9" s="11" t="n">
        <v>5820.708</v>
      </c>
      <c r="D9" s="11" t="n">
        <v>5045.088</v>
      </c>
      <c r="E9" s="11" t="n">
        <v>4624.216</v>
      </c>
      <c r="F9" s="11" t="n">
        <v>6101.983</v>
      </c>
      <c r="G9" s="11" t="n">
        <v>5843.443</v>
      </c>
      <c r="H9" s="11" t="n">
        <v>6381.622</v>
      </c>
      <c r="I9" s="11" t="n">
        <v>6674.879</v>
      </c>
      <c r="J9" s="11" t="n">
        <v>6004.706</v>
      </c>
      <c r="K9" s="11" t="n">
        <v>5800.441</v>
      </c>
      <c r="L9" s="11" t="n">
        <v>8902.951999999999</v>
      </c>
      <c r="M9" s="11" t="n">
        <v>7702.72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Thu nhập lãi thuần (NII)</t>
        </is>
      </c>
      <c r="B2" s="11" t="n">
        <v>26199.554</v>
      </c>
      <c r="C2" s="11" t="n">
        <v>36023.122</v>
      </c>
      <c r="D2" s="11" t="n">
        <v>38683.848</v>
      </c>
      <c r="E2" s="11" t="n">
        <v>41152.219</v>
      </c>
      <c r="F2" s="11" t="n">
        <v>51610.117</v>
      </c>
      <c r="G2" s="11">
        <f>'03_Income_Model'!G2</f>
        <v/>
      </c>
      <c r="H2" s="11">
        <f>'03_Income_Model'!H2</f>
        <v/>
      </c>
      <c r="I2" s="11">
        <f>'03_Income_Model'!I2</f>
        <v/>
      </c>
    </row>
    <row r="3">
      <c r="A3" s="8" t="inlineStr">
        <is>
          <t>Tổng thu nhập hoạt động (TOI)</t>
        </is>
      </c>
      <c r="B3" s="11" t="n">
        <v>36934.498</v>
      </c>
      <c r="C3" s="11" t="n">
        <v>45592.625</v>
      </c>
      <c r="D3" s="11" t="n">
        <v>47306.062</v>
      </c>
      <c r="E3" s="11" t="n">
        <v>55413.222</v>
      </c>
      <c r="F3" s="11" t="n">
        <v>67693.015</v>
      </c>
      <c r="G3" s="11">
        <f>SUM(G2+'03_Income_Model'!G3)</f>
        <v/>
      </c>
      <c r="H3" s="11">
        <f>SUM(H2+'03_Income_Model'!H3)</f>
        <v/>
      </c>
      <c r="I3" s="11">
        <f>SUM(I2+'03_Income_Model'!I3)</f>
        <v/>
      </c>
    </row>
    <row r="4">
      <c r="A4" s="8" t="inlineStr">
        <is>
          <t>Lợi nhuận trước dự phòng (PPOP)</t>
        </is>
      </c>
      <c r="B4" s="11" t="n">
        <v>24557.31</v>
      </c>
      <c r="C4" s="11" t="n">
        <v>30776.997</v>
      </c>
      <c r="D4" s="11" t="n">
        <v>32393.121</v>
      </c>
      <c r="E4" s="11" t="n">
        <v>38405.972</v>
      </c>
      <c r="F4" s="11" t="n">
        <v>48011.862</v>
      </c>
      <c r="G4" s="11">
        <f>G3*(1-'02_Assumptions'!G5)</f>
        <v/>
      </c>
      <c r="H4" s="11">
        <f>H3*(1-'02_Assumptions'!H5)</f>
        <v/>
      </c>
      <c r="I4" s="11">
        <f>I3*(1-'02_Assumptions'!I5)</f>
        <v/>
      </c>
    </row>
    <row r="5">
      <c r="A5" s="8" t="inlineStr">
        <is>
          <t>LNST (NPAT)</t>
        </is>
      </c>
      <c r="B5" s="11" t="n">
        <v>13221.437</v>
      </c>
      <c r="C5" s="11" t="n">
        <v>18155.185</v>
      </c>
      <c r="D5" s="11" t="n">
        <v>21053.792</v>
      </c>
      <c r="E5" s="11" t="n">
        <v>22951.264</v>
      </c>
      <c r="F5" s="11" t="n">
        <v>27382.978</v>
      </c>
      <c r="G5" s="11">
        <f>G4-(('05_Balance_Sheet'!G3)*'02_Assumptions'!G4)</f>
        <v/>
      </c>
      <c r="H5" s="11">
        <f>H4-(('05_Balance_Sheet'!H3)*'02_Assumptions'!H4)</f>
        <v/>
      </c>
      <c r="I5" s="11">
        <f>I4-(('05_Balance_Sheet'!I3)*'02_Assumptions'!I4)</f>
        <v/>
      </c>
    </row>
    <row r="6">
      <c r="A6" s="8" t="inlineStr">
        <is>
          <t>EPS (VND)</t>
        </is>
      </c>
      <c r="B6" s="10" t="n">
        <v>1574.626492028683</v>
      </c>
      <c r="C6" s="10" t="n">
        <v>2162.218469042492</v>
      </c>
      <c r="D6" s="10" t="n">
        <v>2507.432334387067</v>
      </c>
      <c r="E6" s="10" t="n">
        <v>2733.414553950844</v>
      </c>
      <c r="F6" s="10" t="n">
        <v>3261.216053099114</v>
      </c>
      <c r="G6" s="10">
        <f>G5*1e9/'02_Assumptions'!$B$7</f>
        <v/>
      </c>
      <c r="H6" s="10">
        <f>H5*1e9/'02_Assumptions'!$B$7</f>
        <v/>
      </c>
      <c r="I6" s="10">
        <f>I5*1e9/'02_Assumptions'!$B$7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Q2/2023</t>
        </is>
      </c>
      <c r="C1" s="7" t="inlineStr">
        <is>
          <t>Q3/2023</t>
        </is>
      </c>
      <c r="D1" s="7" t="inlineStr">
        <is>
          <t>Q4/2023</t>
        </is>
      </c>
      <c r="E1" s="7" t="inlineStr">
        <is>
          <t>Q1/2024</t>
        </is>
      </c>
      <c r="F1" s="7" t="inlineStr">
        <is>
          <t>Q2/2024</t>
        </is>
      </c>
      <c r="G1" s="7" t="inlineStr">
        <is>
          <t>Q3/2024</t>
        </is>
      </c>
      <c r="H1" s="7" t="inlineStr">
        <is>
          <t>Q4/2024</t>
        </is>
      </c>
      <c r="I1" s="7" t="inlineStr">
        <is>
          <t>Q1/2025</t>
        </is>
      </c>
      <c r="J1" s="7" t="inlineStr">
        <is>
          <t>Q2/2025</t>
        </is>
      </c>
      <c r="K1" s="7" t="inlineStr">
        <is>
          <t>Q3/2025</t>
        </is>
      </c>
      <c r="L1" s="7" t="inlineStr">
        <is>
          <t>Q4/2025</t>
        </is>
      </c>
      <c r="M1" s="7" t="inlineStr">
        <is>
          <t>Q1/2026</t>
        </is>
      </c>
    </row>
    <row r="2">
      <c r="A2" s="8" t="inlineStr">
        <is>
          <t>Tổng tài sản</t>
        </is>
      </c>
      <c r="B2" s="11" t="n">
        <v>806237.5870000001</v>
      </c>
      <c r="C2" s="11" t="n">
        <v>815880.535</v>
      </c>
      <c r="D2" s="11" t="n">
        <v>944953.64</v>
      </c>
      <c r="E2" s="11" t="n">
        <v>900647.1409999999</v>
      </c>
      <c r="F2" s="11" t="n">
        <v>988604.894</v>
      </c>
      <c r="G2" s="11" t="n">
        <v>1028819.208</v>
      </c>
      <c r="H2" s="11" t="n">
        <v>1128801.062</v>
      </c>
      <c r="I2" s="11" t="n">
        <v>1156917.195</v>
      </c>
      <c r="J2" s="11" t="n">
        <v>1289644.328</v>
      </c>
      <c r="K2" s="11" t="n">
        <v>1328560.306</v>
      </c>
      <c r="L2" s="11" t="n">
        <v>1615763.927</v>
      </c>
      <c r="M2" s="11" t="n">
        <v>1611222.764</v>
      </c>
    </row>
    <row r="3">
      <c r="A3" s="8" t="inlineStr">
        <is>
          <t>Tiền mặt &amp; NHNN</t>
        </is>
      </c>
      <c r="B3" s="11" t="n">
        <v>3168.566</v>
      </c>
      <c r="C3" s="11" t="n">
        <v>3411.516</v>
      </c>
      <c r="D3" s="11" t="n">
        <v>3675.394</v>
      </c>
      <c r="E3" s="11" t="n">
        <v>3740.794</v>
      </c>
      <c r="F3" s="11" t="n">
        <v>4329.237</v>
      </c>
      <c r="G3" s="11" t="n">
        <v>3782.282</v>
      </c>
      <c r="H3" s="11" t="n">
        <v>3349.166</v>
      </c>
      <c r="I3" s="11" t="n">
        <v>4223.983</v>
      </c>
      <c r="J3" s="11" t="n">
        <v>5262.525</v>
      </c>
      <c r="K3" s="11" t="n">
        <v>4421.466</v>
      </c>
      <c r="L3" s="11" t="n">
        <v>4965.786</v>
      </c>
      <c r="M3" s="11" t="n">
        <v>5741.287</v>
      </c>
    </row>
    <row r="4">
      <c r="A4" s="8" t="inlineStr">
        <is>
          <t>TG các TCTD khác</t>
        </is>
      </c>
      <c r="B4" s="11" t="n">
        <v>21618.233</v>
      </c>
      <c r="C4" s="11" t="n">
        <v>36980.878</v>
      </c>
      <c r="D4" s="11" t="n">
        <v>46343.813</v>
      </c>
      <c r="E4" s="11" t="n">
        <v>77809.357</v>
      </c>
      <c r="F4" s="11" t="n">
        <v>90063.80100000001</v>
      </c>
      <c r="G4" s="11" t="n">
        <v>77398.09600000001</v>
      </c>
      <c r="H4" s="11" t="n">
        <v>76785.622</v>
      </c>
      <c r="I4" s="11" t="n">
        <v>64338.554</v>
      </c>
      <c r="J4" s="11" t="n">
        <v>96081.337</v>
      </c>
      <c r="K4" s="11" t="n">
        <v>108324.759</v>
      </c>
      <c r="L4" s="11" t="n">
        <v>182923.726</v>
      </c>
      <c r="M4" s="11" t="n">
        <v>165297.962</v>
      </c>
    </row>
    <row r="5">
      <c r="A5" s="8" t="inlineStr">
        <is>
          <t>Cho vay khách hàng</t>
        </is>
      </c>
      <c r="B5" s="11" t="n">
        <v>506395.409</v>
      </c>
      <c r="C5" s="11" t="n">
        <v>523969.217</v>
      </c>
      <c r="D5" s="11" t="n">
        <v>599579.267</v>
      </c>
      <c r="E5" s="11" t="n">
        <v>603072.394</v>
      </c>
      <c r="F5" s="11" t="n">
        <v>662584.515</v>
      </c>
      <c r="G5" s="11" t="n">
        <v>691232.888</v>
      </c>
      <c r="H5" s="11" t="n">
        <v>765047.985</v>
      </c>
      <c r="I5" s="11" t="n">
        <v>786486.9790000001</v>
      </c>
      <c r="J5" s="11" t="n">
        <v>867340.209</v>
      </c>
      <c r="K5" s="11" t="n">
        <v>917699.001</v>
      </c>
      <c r="L5" s="11" t="n">
        <v>1070868.777</v>
      </c>
      <c r="M5" s="11" t="n">
        <v>1105852.151</v>
      </c>
    </row>
    <row r="6">
      <c r="A6" s="8" t="inlineStr">
        <is>
          <t>CK đầu tư</t>
        </is>
      </c>
      <c r="B6" s="11" t="n">
        <v>183949.223</v>
      </c>
      <c r="C6" s="11" t="n">
        <v>154950.526</v>
      </c>
      <c r="D6" s="11" t="n">
        <v>147923.205</v>
      </c>
      <c r="E6" s="11" t="n">
        <v>139447.285</v>
      </c>
      <c r="F6" s="11" t="n">
        <v>167176.283</v>
      </c>
      <c r="G6" s="11" t="n">
        <v>197206.164</v>
      </c>
      <c r="H6" s="11" t="n">
        <v>209637.377</v>
      </c>
      <c r="I6" s="11" t="n">
        <v>240234.807</v>
      </c>
      <c r="J6" s="11" t="n">
        <v>262474.257</v>
      </c>
      <c r="K6" s="11" t="n">
        <v>235603.615</v>
      </c>
      <c r="L6" s="11" t="n">
        <v>225574.85</v>
      </c>
      <c r="M6" s="11" t="n">
        <v>262829.936</v>
      </c>
    </row>
    <row r="7">
      <c r="A7" s="8" t="inlineStr">
        <is>
          <t>Tiền gửi khách hàng</t>
        </is>
      </c>
      <c r="B7" s="11" t="n">
        <v>475406.125</v>
      </c>
      <c r="C7" s="11" t="n">
        <v>479732.568</v>
      </c>
      <c r="D7" s="11" t="n">
        <v>567532.577</v>
      </c>
      <c r="E7" s="11" t="n">
        <v>558826.062</v>
      </c>
      <c r="F7" s="11" t="n">
        <v>618617.638</v>
      </c>
      <c r="G7" s="11" t="n">
        <v>627567.353</v>
      </c>
      <c r="H7" s="11" t="n">
        <v>714154.4790000001</v>
      </c>
      <c r="I7" s="11" t="n">
        <v>722622.45</v>
      </c>
      <c r="J7" s="11" t="n">
        <v>783291.9080000001</v>
      </c>
      <c r="K7" s="11" t="n">
        <v>788030.328</v>
      </c>
      <c r="L7" s="11" t="n">
        <v>921368.132</v>
      </c>
      <c r="M7" s="11" t="n">
        <v>905918.3320000001</v>
      </c>
    </row>
    <row r="8">
      <c r="A8" s="8" t="inlineStr">
        <is>
          <t>Vốn chủ sở hữu</t>
        </is>
      </c>
      <c r="B8" s="11" t="n">
        <v>86069.124</v>
      </c>
      <c r="C8" s="11" t="n">
        <v>91762.995</v>
      </c>
      <c r="D8" s="11" t="n">
        <v>96711.159</v>
      </c>
      <c r="E8" s="11" t="n">
        <v>101341.424</v>
      </c>
      <c r="F8" s="11" t="n">
        <v>104213.948</v>
      </c>
      <c r="G8" s="11" t="n">
        <v>110023.198</v>
      </c>
      <c r="H8" s="11" t="n">
        <v>117059.581</v>
      </c>
      <c r="I8" s="11" t="n">
        <v>123676.548</v>
      </c>
      <c r="J8" s="11" t="n">
        <v>127803.65</v>
      </c>
      <c r="K8" s="11" t="n">
        <v>133090.745</v>
      </c>
      <c r="L8" s="11" t="n">
        <v>142022.525</v>
      </c>
      <c r="M8" s="11" t="n">
        <v>149745.325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Tổng tài sản</t>
        </is>
      </c>
      <c r="B2" s="11" t="n">
        <v>607140.419</v>
      </c>
      <c r="C2" s="11" t="n">
        <v>728532.373</v>
      </c>
      <c r="D2" s="11" t="n">
        <v>944953.64</v>
      </c>
      <c r="E2" s="11" t="n">
        <v>1128801.062</v>
      </c>
      <c r="F2" s="11" t="n">
        <v>1615763.927</v>
      </c>
      <c r="G2" s="8">
        <f>SUM(G3:G5)*1.15</f>
        <v/>
      </c>
      <c r="H2" s="8">
        <f>SUM(H3:H5)*1.15</f>
        <v/>
      </c>
      <c r="I2" s="8">
        <f>SUM(I3:I5)*1.15</f>
        <v/>
      </c>
    </row>
    <row r="3">
      <c r="A3" s="8" t="inlineStr">
        <is>
          <t>Cho vay khách hàng</t>
        </is>
      </c>
      <c r="B3" s="11" t="n">
        <v>354797.094</v>
      </c>
      <c r="C3" s="11" t="n">
        <v>448598.622</v>
      </c>
      <c r="D3" s="11" t="n">
        <v>599579.267</v>
      </c>
      <c r="E3" s="11" t="n">
        <v>765047.985</v>
      </c>
      <c r="F3" s="11" t="n">
        <v>1070868.777</v>
      </c>
      <c r="G3" s="11">
        <f>F3*(1+'02_Assumptions'!G2)</f>
        <v/>
      </c>
      <c r="H3" s="11">
        <f>G3*(1+'02_Assumptions'!H2)</f>
        <v/>
      </c>
      <c r="I3" s="11">
        <f>H3*(1+'02_Assumptions'!I2)</f>
        <v/>
      </c>
    </row>
    <row r="4">
      <c r="A4" s="8" t="inlineStr">
        <is>
          <t>Tiền gửi khách hàng</t>
        </is>
      </c>
      <c r="B4" s="11" t="n">
        <v>384692.155</v>
      </c>
      <c r="C4" s="11" t="n">
        <v>443605.638</v>
      </c>
      <c r="D4" s="11" t="n">
        <v>567532.577</v>
      </c>
      <c r="E4" s="11" t="n">
        <v>714154.4790000001</v>
      </c>
      <c r="F4" s="11" t="n">
        <v>921368.132</v>
      </c>
      <c r="G4" s="11">
        <f>F4*(1+'02_Assumptions'!G3)</f>
        <v/>
      </c>
      <c r="H4" s="11">
        <f>G4*(1+'02_Assumptions'!H3)</f>
        <v/>
      </c>
      <c r="I4" s="11">
        <f>H4*(1+'02_Assumptions'!I3)</f>
        <v/>
      </c>
    </row>
    <row r="5">
      <c r="A5" s="8" t="inlineStr">
        <is>
          <t>Vốn chủ sở hữu (VCSH)</t>
        </is>
      </c>
      <c r="B5" s="11" t="n">
        <v>62486.023</v>
      </c>
      <c r="C5" s="11" t="n">
        <v>79613.219</v>
      </c>
      <c r="D5" s="11" t="n">
        <v>96711.159</v>
      </c>
      <c r="E5" s="11" t="n">
        <v>117059.581</v>
      </c>
      <c r="F5" s="11" t="n">
        <v>142022.525</v>
      </c>
      <c r="G5" s="8">
        <f>F5+'04_PnL'!G5*0.7</f>
        <v/>
      </c>
      <c r="H5" s="8">
        <f>G5+'04_PnL'!H5*0.7</f>
        <v/>
      </c>
      <c r="I5" s="8">
        <f>H5+'04_PnL'!I5*0.7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Q2/2023</t>
        </is>
      </c>
      <c r="C1" s="7" t="inlineStr">
        <is>
          <t>Q3/2023</t>
        </is>
      </c>
      <c r="D1" s="7" t="inlineStr">
        <is>
          <t>Q4/2023</t>
        </is>
      </c>
      <c r="E1" s="7" t="inlineStr">
        <is>
          <t>Q1/2024</t>
        </is>
      </c>
      <c r="F1" s="7" t="inlineStr">
        <is>
          <t>Q2/2024</t>
        </is>
      </c>
      <c r="G1" s="7" t="inlineStr">
        <is>
          <t>Q3/2024</t>
        </is>
      </c>
      <c r="H1" s="7" t="inlineStr">
        <is>
          <t>Q4/2024</t>
        </is>
      </c>
      <c r="I1" s="7" t="inlineStr">
        <is>
          <t>Q1/2025</t>
        </is>
      </c>
      <c r="J1" s="7" t="inlineStr">
        <is>
          <t>Q2/2025</t>
        </is>
      </c>
      <c r="K1" s="7" t="inlineStr">
        <is>
          <t>Q3/2025</t>
        </is>
      </c>
      <c r="L1" s="7" t="inlineStr">
        <is>
          <t>Q4/2025</t>
        </is>
      </c>
      <c r="M1" s="7" t="inlineStr">
        <is>
          <t>Q1/2026</t>
        </is>
      </c>
    </row>
    <row r="2">
      <c r="A2" s="8" t="inlineStr">
        <is>
          <t>NIM (%)</t>
        </is>
      </c>
      <c r="B2" s="8">
        <f>('04_PnL_Quarterly'!B2/'05_Balance_Sheet_Quarterly'!B2)*400</f>
        <v/>
      </c>
      <c r="C2" s="8">
        <f>('04_PnL_Quarterly'!C2/'05_Balance_Sheet_Quarterly'!C2)*400</f>
        <v/>
      </c>
      <c r="D2" s="8">
        <f>('04_PnL_Quarterly'!D2/'05_Balance_Sheet_Quarterly'!D2)*400</f>
        <v/>
      </c>
      <c r="E2" s="8">
        <f>('04_PnL_Quarterly'!E2/'05_Balance_Sheet_Quarterly'!E2)*400</f>
        <v/>
      </c>
      <c r="F2" s="8">
        <f>('04_PnL_Quarterly'!F2/'05_Balance_Sheet_Quarterly'!F2)*400</f>
        <v/>
      </c>
      <c r="G2" s="8">
        <f>('04_PnL_Quarterly'!G2/'05_Balance_Sheet_Quarterly'!G2)*400</f>
        <v/>
      </c>
      <c r="H2" s="8">
        <f>('04_PnL_Quarterly'!H2/'05_Balance_Sheet_Quarterly'!H2)*400</f>
        <v/>
      </c>
      <c r="I2" s="8">
        <f>('04_PnL_Quarterly'!I2/'05_Balance_Sheet_Quarterly'!I2)*400</f>
        <v/>
      </c>
      <c r="J2" s="8">
        <f>('04_PnL_Quarterly'!J2/'05_Balance_Sheet_Quarterly'!J2)*400</f>
        <v/>
      </c>
      <c r="K2" s="8">
        <f>('04_PnL_Quarterly'!K2/'05_Balance_Sheet_Quarterly'!K2)*400</f>
        <v/>
      </c>
      <c r="L2" s="8">
        <f>('04_PnL_Quarterly'!L2/'05_Balance_Sheet_Quarterly'!L2)*400</f>
        <v/>
      </c>
      <c r="M2" s="8">
        <f>('04_PnL_Quarterly'!M2/'05_Balance_Sheet_Quarterly'!M2)*400</f>
        <v/>
      </c>
    </row>
    <row r="3">
      <c r="A3" s="8" t="inlineStr">
        <is>
          <t>ROE (%)</t>
        </is>
      </c>
      <c r="B3" s="8">
        <f>('04_PnL_Quarterly'!B8/'05_Balance_Sheet_Quarterly'!B8)*400</f>
        <v/>
      </c>
      <c r="C3" s="8">
        <f>('04_PnL_Quarterly'!C8/'05_Balance_Sheet_Quarterly'!C8)*400</f>
        <v/>
      </c>
      <c r="D3" s="8">
        <f>('04_PnL_Quarterly'!D8/'05_Balance_Sheet_Quarterly'!D8)*400</f>
        <v/>
      </c>
      <c r="E3" s="8">
        <f>('04_PnL_Quarterly'!E8/'05_Balance_Sheet_Quarterly'!E8)*400</f>
        <v/>
      </c>
      <c r="F3" s="8">
        <f>('04_PnL_Quarterly'!F8/'05_Balance_Sheet_Quarterly'!F8)*400</f>
        <v/>
      </c>
      <c r="G3" s="8">
        <f>('04_PnL_Quarterly'!G8/'05_Balance_Sheet_Quarterly'!G8)*400</f>
        <v/>
      </c>
      <c r="H3" s="8">
        <f>('04_PnL_Quarterly'!H8/'05_Balance_Sheet_Quarterly'!H8)*400</f>
        <v/>
      </c>
      <c r="I3" s="8">
        <f>('04_PnL_Quarterly'!I8/'05_Balance_Sheet_Quarterly'!I8)*400</f>
        <v/>
      </c>
      <c r="J3" s="8">
        <f>('04_PnL_Quarterly'!J8/'05_Balance_Sheet_Quarterly'!J8)*400</f>
        <v/>
      </c>
      <c r="K3" s="8">
        <f>('04_PnL_Quarterly'!K8/'05_Balance_Sheet_Quarterly'!K8)*400</f>
        <v/>
      </c>
      <c r="L3" s="8">
        <f>('04_PnL_Quarterly'!L8/'05_Balance_Sheet_Quarterly'!L8)*400</f>
        <v/>
      </c>
      <c r="M3" s="8">
        <f>('04_PnL_Quarterly'!M8/'05_Balance_Sheet_Quarterly'!M8)*400</f>
        <v/>
      </c>
    </row>
    <row r="4">
      <c r="A4" s="8" t="inlineStr">
        <is>
          <t>LDR (%)</t>
        </is>
      </c>
      <c r="B4" s="8">
        <f>('05_Balance_Sheet_Quarterly'!B5/'05_Balance_Sheet_Quarterly'!B7)*100</f>
        <v/>
      </c>
      <c r="C4" s="8">
        <f>('05_Balance_Sheet_Quarterly'!C5/'05_Balance_Sheet_Quarterly'!C7)*100</f>
        <v/>
      </c>
      <c r="D4" s="8">
        <f>('05_Balance_Sheet_Quarterly'!D5/'05_Balance_Sheet_Quarterly'!D7)*100</f>
        <v/>
      </c>
      <c r="E4" s="8">
        <f>('05_Balance_Sheet_Quarterly'!E5/'05_Balance_Sheet_Quarterly'!E7)*100</f>
        <v/>
      </c>
      <c r="F4" s="8">
        <f>('05_Balance_Sheet_Quarterly'!F5/'05_Balance_Sheet_Quarterly'!F7)*100</f>
        <v/>
      </c>
      <c r="G4" s="8">
        <f>('05_Balance_Sheet_Quarterly'!G5/'05_Balance_Sheet_Quarterly'!G7)*100</f>
        <v/>
      </c>
      <c r="H4" s="8">
        <f>('05_Balance_Sheet_Quarterly'!H5/'05_Balance_Sheet_Quarterly'!H7)*100</f>
        <v/>
      </c>
      <c r="I4" s="8">
        <f>('05_Balance_Sheet_Quarterly'!I5/'05_Balance_Sheet_Quarterly'!I7)*100</f>
        <v/>
      </c>
      <c r="J4" s="8">
        <f>('05_Balance_Sheet_Quarterly'!J5/'05_Balance_Sheet_Quarterly'!J7)*100</f>
        <v/>
      </c>
      <c r="K4" s="8">
        <f>('05_Balance_Sheet_Quarterly'!K5/'05_Balance_Sheet_Quarterly'!K7)*100</f>
        <v/>
      </c>
      <c r="L4" s="8">
        <f>('05_Balance_Sheet_Quarterly'!L5/'05_Balance_Sheet_Quarterly'!L7)*100</f>
        <v/>
      </c>
      <c r="M4" s="8">
        <f>('05_Balance_Sheet_Quarterly'!M5/'05_Balance_Sheet_Quarterly'!M7)*100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NIM (%)</t>
        </is>
      </c>
      <c r="B2" s="8">
        <f>'04_PnL'!B2/'05_Balance_Sheet'!B2</f>
        <v/>
      </c>
      <c r="C2" s="8">
        <f>'04_PnL'!C2/'05_Balance_Sheet'!C2</f>
        <v/>
      </c>
      <c r="D2" s="8">
        <f>'04_PnL'!D2/'05_Balance_Sheet'!D2</f>
        <v/>
      </c>
      <c r="E2" s="8">
        <f>'04_PnL'!E2/'05_Balance_Sheet'!E2</f>
        <v/>
      </c>
      <c r="F2" s="8">
        <f>'04_PnL'!F2/'05_Balance_Sheet'!F2</f>
        <v/>
      </c>
      <c r="G2" s="8">
        <f>'04_PnL'!G2/'05_Balance_Sheet'!G2</f>
        <v/>
      </c>
      <c r="H2" s="8">
        <f>'04_PnL'!H2/'05_Balance_Sheet'!H2</f>
        <v/>
      </c>
      <c r="I2" s="8">
        <f>'04_PnL'!I2/'05_Balance_Sheet'!I2</f>
        <v/>
      </c>
    </row>
    <row r="3">
      <c r="A3" s="8" t="inlineStr">
        <is>
          <t>ROE (%)</t>
        </is>
      </c>
      <c r="B3" s="8">
        <f>'04_PnL'!B5/'05_Balance_Sheet'!B5</f>
        <v/>
      </c>
      <c r="C3" s="8">
        <f>'04_PnL'!C5/'05_Balance_Sheet'!C5</f>
        <v/>
      </c>
      <c r="D3" s="8">
        <f>'04_PnL'!D5/'05_Balance_Sheet'!D5</f>
        <v/>
      </c>
      <c r="E3" s="8">
        <f>'04_PnL'!E5/'05_Balance_Sheet'!E5</f>
        <v/>
      </c>
      <c r="F3" s="8">
        <f>'04_PnL'!F5/'05_Balance_Sheet'!F5</f>
        <v/>
      </c>
      <c r="G3" s="8">
        <f>'04_PnL'!G5/'05_Balance_Sheet'!G5</f>
        <v/>
      </c>
      <c r="H3" s="8">
        <f>'04_PnL'!H5/'05_Balance_Sheet'!H5</f>
        <v/>
      </c>
      <c r="I3" s="8">
        <f>'04_PnL'!I5/'05_Balance_Sheet'!I5</f>
        <v/>
      </c>
    </row>
    <row r="4">
      <c r="A4" s="8" t="inlineStr">
        <is>
          <t>ROA (%)</t>
        </is>
      </c>
      <c r="B4" s="8">
        <f>'04_PnL'!B5/'05_Balance_Sheet'!B2</f>
        <v/>
      </c>
      <c r="C4" s="8">
        <f>'04_PnL'!C5/'05_Balance_Sheet'!C2</f>
        <v/>
      </c>
      <c r="D4" s="8">
        <f>'04_PnL'!D5/'05_Balance_Sheet'!D2</f>
        <v/>
      </c>
      <c r="E4" s="8">
        <f>'04_PnL'!E5/'05_Balance_Sheet'!E2</f>
        <v/>
      </c>
      <c r="F4" s="8">
        <f>'04_PnL'!F5/'05_Balance_Sheet'!F2</f>
        <v/>
      </c>
      <c r="G4" s="8">
        <f>'04_PnL'!G5/'05_Balance_Sheet'!G2</f>
        <v/>
      </c>
      <c r="H4" s="8">
        <f>'04_PnL'!H5/'05_Balance_Sheet'!H2</f>
        <v/>
      </c>
      <c r="I4" s="8">
        <f>'04_PnL'!I5/'05_Balance_Sheet'!I2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PHƯƠNG PHÁP ĐỊNH GIÁ</t>
        </is>
      </c>
    </row>
    <row r="2">
      <c r="A2" s="12" t="inlineStr">
        <is>
          <t>COE</t>
        </is>
      </c>
      <c r="B2">
        <f>'00_COE'!B8</f>
        <v/>
      </c>
    </row>
    <row r="3">
      <c r="A3" t="inlineStr">
        <is>
          <t>Terminal growth (g)</t>
        </is>
      </c>
      <c r="B3" t="n">
        <v>0.03</v>
      </c>
    </row>
    <row r="5">
      <c r="A5" s="1" t="inlineStr">
        <is>
          <t>Định giá RI (VND)</t>
        </is>
      </c>
      <c r="B5" s="1" t="n">
        <v>50500.88405105064</v>
      </c>
    </row>
    <row r="6">
      <c r="A6" t="inlineStr">
        <is>
          <t>Định giá P/B (VND)</t>
        </is>
      </c>
      <c r="B6" t="n">
        <v>25331.45359924369</v>
      </c>
    </row>
    <row r="8">
      <c r="A8" s="1" t="inlineStr">
        <is>
          <t>Giá mục tiêu tổng hợp (VND)</t>
        </is>
      </c>
      <c r="B8" s="6">
        <f>B5*0.5+B6*0.5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COE vs g</t>
        </is>
      </c>
    </row>
    <row r="2">
      <c r="A2" t="inlineStr">
        <is>
          <t>COE \ g</t>
        </is>
      </c>
      <c r="B2" s="13" t="n">
        <v>0.01</v>
      </c>
      <c r="C2" s="13" t="n">
        <v>0.02</v>
      </c>
      <c r="D2" s="13" t="n">
        <v>0.03</v>
      </c>
      <c r="E2" s="13" t="n">
        <v>0.04</v>
      </c>
      <c r="F2" s="13" t="n">
        <v>0.05</v>
      </c>
    </row>
    <row r="3">
      <c r="A3" s="14" t="n">
        <v>0.1</v>
      </c>
      <c r="B3" s="15" t="n">
        <v>37178.09849479543</v>
      </c>
      <c r="C3" s="15" t="n">
        <v>39936.77282853329</v>
      </c>
      <c r="D3" s="15" t="n">
        <v>43483.6398290534</v>
      </c>
      <c r="E3" s="15" t="n">
        <v>48212.79582974686</v>
      </c>
      <c r="F3" s="15" t="n">
        <v>54833.61423071773</v>
      </c>
    </row>
    <row r="4">
      <c r="A4" s="14" t="n">
        <v>0.115</v>
      </c>
      <c r="B4" s="15" t="n">
        <v>33591.68281693825</v>
      </c>
      <c r="C4" s="15" t="n">
        <v>35529.6912473347</v>
      </c>
      <c r="D4" s="15" t="n">
        <v>37923.70166135384</v>
      </c>
      <c r="E4" s="15" t="n">
        <v>40956.11485244475</v>
      </c>
      <c r="F4" s="15" t="n">
        <v>44921.57825617903</v>
      </c>
    </row>
    <row r="5">
      <c r="A5" s="14" t="n">
        <v>0.13</v>
      </c>
      <c r="B5" s="15" t="n">
        <v>30933.57727173693</v>
      </c>
      <c r="C5" s="15" t="n">
        <v>32359.47206402058</v>
      </c>
      <c r="D5" s="15" t="n">
        <v>34070.54581476095</v>
      </c>
      <c r="E5" s="15" t="n">
        <v>36161.85817677696</v>
      </c>
      <c r="F5" s="15" t="n">
        <v>38775.99862929698</v>
      </c>
    </row>
    <row r="6">
      <c r="A6" s="14" t="n">
        <v>0.145</v>
      </c>
      <c r="B6" s="15" t="n">
        <v>28892.52326700871</v>
      </c>
      <c r="C6" s="15" t="n">
        <v>29978.85770204827</v>
      </c>
      <c r="D6" s="15" t="n">
        <v>31254.11986492079</v>
      </c>
      <c r="E6" s="15" t="n">
        <v>32772.2891064357</v>
      </c>
      <c r="F6" s="15" t="n">
        <v>34610.07292511164</v>
      </c>
    </row>
    <row r="7">
      <c r="A7" s="14" t="n">
        <v>0.16</v>
      </c>
      <c r="B7" s="15" t="n">
        <v>27281.89121613149</v>
      </c>
      <c r="C7" s="15" t="n">
        <v>28132.40827333112</v>
      </c>
      <c r="D7" s="15" t="n">
        <v>29113.77410856146</v>
      </c>
      <c r="E7" s="15" t="n">
        <v>30258.7009163302</v>
      </c>
      <c r="F7" s="15" t="n">
        <v>31611.79623460233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Nhân tố</t>
        </is>
      </c>
      <c r="B1" s="7" t="inlineStr">
        <is>
          <t>Nội dung</t>
        </is>
      </c>
      <c r="C1" s="7" t="inlineStr">
        <is>
          <t>Tác động</t>
        </is>
      </c>
    </row>
    <row r="2">
      <c r="A2" s="8" t="inlineStr">
        <is>
          <t>Chính trị</t>
        </is>
      </c>
      <c r="B2" s="8" t="inlineStr">
        <is>
          <t>Môi trường chính trị ổn định hỗ trợ hoạt động kinh tế vĩ mô.</t>
        </is>
      </c>
      <c r="C2" s="8" t="inlineStr">
        <is>
          <t>Tích cực</t>
        </is>
      </c>
    </row>
    <row r="3">
      <c r="A3" s="8" t="inlineStr">
        <is>
          <t>Kinh tế</t>
        </is>
      </c>
      <c r="B3" s="8" t="inlineStr">
        <is>
          <t>GDP tăng trưởng tốt, nhu cầu tín dụng ngành ngân hàng cao.</t>
        </is>
      </c>
      <c r="C3" s="8" t="inlineStr">
        <is>
          <t>Tích cực</t>
        </is>
      </c>
    </row>
    <row r="4">
      <c r="A4" s="8" t="inlineStr">
        <is>
          <t>Xã hội</t>
        </is>
      </c>
      <c r="B4" s="8" t="inlineStr">
        <is>
          <t>Xu hướng thanh toán không tiền mặt tăng, thúc đẩy Casa.</t>
        </is>
      </c>
      <c r="C4" s="8" t="inlineStr">
        <is>
          <t>Tích cực</t>
        </is>
      </c>
    </row>
    <row r="5">
      <c r="A5" s="8" t="inlineStr">
        <is>
          <t>Công nghệ</t>
        </is>
      </c>
      <c r="B5" s="8" t="inlineStr">
        <is>
          <t>Chuyển đổi số mạnh mẽ giúp nâng cao hiệu quả hoạt động.</t>
        </is>
      </c>
      <c r="C5" s="8" t="inlineStr">
        <is>
          <t>Tích cực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số</t>
        </is>
      </c>
      <c r="B1" s="7" t="inlineStr">
        <is>
          <t>Ngưỡng tích cực</t>
        </is>
      </c>
      <c r="C1" s="7" t="inlineStr">
        <is>
          <t>Giá trị hiện tại</t>
        </is>
      </c>
      <c r="D1" s="7" t="inlineStr">
        <is>
          <t>Trạng thái</t>
        </is>
      </c>
    </row>
    <row r="2">
      <c r="A2" s="8" t="inlineStr">
        <is>
          <t>NPL ratio (%)</t>
        </is>
      </c>
      <c r="B2" s="8" t="inlineStr">
        <is>
          <t>&lt; 1.5%</t>
        </is>
      </c>
      <c r="C2" s="8" t="inlineStr">
        <is>
          <t>1.31%</t>
        </is>
      </c>
      <c r="D2" s="8" t="inlineStr">
        <is>
          <t>Đạt</t>
        </is>
      </c>
    </row>
    <row r="3">
      <c r="A3" s="8" t="inlineStr">
        <is>
          <t>CASA ratio (%)</t>
        </is>
      </c>
      <c r="B3" s="8" t="inlineStr">
        <is>
          <t>&gt; 20%</t>
        </is>
      </c>
      <c r="C3" s="8" t="inlineStr">
        <is>
          <t>36.83%</t>
        </is>
      </c>
      <c r="D3" s="8" t="inlineStr">
        <is>
          <t>Tốt</t>
        </is>
      </c>
    </row>
    <row r="4">
      <c r="A4" s="8" t="inlineStr">
        <is>
          <t>NIM (%)</t>
        </is>
      </c>
      <c r="B4" s="8" t="inlineStr">
        <is>
          <t>&gt; 3.0%</t>
        </is>
      </c>
      <c r="C4" s="8" t="inlineStr">
        <is>
          <t>3.91%</t>
        </is>
      </c>
      <c r="D4" s="8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Luận điểm chính</t>
        </is>
      </c>
      <c r="B1" s="7" t="inlineStr">
        <is>
          <t>Chi tiết nhận định</t>
        </is>
      </c>
    </row>
    <row r="2">
      <c r="A2" s="8" t="inlineStr">
        <is>
          <t>Lợi thế CASA vượt trội</t>
        </is>
      </c>
      <c r="B2" s="8" t="inlineStr">
        <is>
          <t>Hệ sinh thái số hóa giúp huy động dòng vốn rẻ dồi dào, ổn định biên lãi NIM.</t>
        </is>
      </c>
    </row>
    <row r="3">
      <c r="A3" s="8" t="inlineStr">
        <is>
          <t>Hiệu quả sinh lời cao</t>
        </is>
      </c>
      <c r="B3" s="8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Chỉ tiêu</t>
        </is>
      </c>
      <c r="B1" s="7" t="inlineStr">
        <is>
          <t>2021</t>
        </is>
      </c>
      <c r="C1" s="7" t="inlineStr">
        <is>
          <t>2022</t>
        </is>
      </c>
      <c r="D1" s="7" t="inlineStr">
        <is>
          <t>2023</t>
        </is>
      </c>
      <c r="E1" s="7" t="inlineStr">
        <is>
          <t>2024</t>
        </is>
      </c>
      <c r="F1" s="7" t="inlineStr">
        <is>
          <t>2025</t>
        </is>
      </c>
      <c r="G1" s="7" t="inlineStr">
        <is>
          <t>2026F</t>
        </is>
      </c>
      <c r="H1" s="7" t="inlineStr">
        <is>
          <t>2027F</t>
        </is>
      </c>
      <c r="I1" s="7" t="inlineStr">
        <is>
          <t>2028F</t>
        </is>
      </c>
    </row>
    <row r="2">
      <c r="A2" s="8" t="inlineStr">
        <is>
          <t>Thu nhập lãi thuần (NII)</t>
        </is>
      </c>
      <c r="B2" s="11" t="n">
        <v>26199.554</v>
      </c>
      <c r="C2" s="11" t="n">
        <v>36023.122</v>
      </c>
      <c r="D2" s="11" t="n">
        <v>38683.848</v>
      </c>
      <c r="E2" s="11" t="n">
        <v>41152.219</v>
      </c>
      <c r="F2" s="11" t="n">
        <v>51610.117</v>
      </c>
      <c r="G2" s="11" t="n">
        <v>56227.88612865</v>
      </c>
      <c r="H2" s="11" t="n">
        <v>64169.2015788165</v>
      </c>
      <c r="I2" s="11" t="n">
        <v>72567.17255929823</v>
      </c>
    </row>
    <row r="3">
      <c r="A3" s="8" t="inlineStr">
        <is>
          <t>Tổng thu nhập hoạt động (TOI)</t>
        </is>
      </c>
      <c r="B3" s="11" t="n">
        <v>36934.498</v>
      </c>
      <c r="C3" s="11" t="n">
        <v>45592.625</v>
      </c>
      <c r="D3" s="11" t="n">
        <v>47306.062</v>
      </c>
      <c r="E3" s="11" t="n">
        <v>55413.222</v>
      </c>
      <c r="F3" s="11" t="n">
        <v>67693.015</v>
      </c>
      <c r="G3" s="11" t="n">
        <v>74723.21882865</v>
      </c>
      <c r="H3" s="11" t="n">
        <v>85438.83418381651</v>
      </c>
      <c r="I3" s="11" t="n">
        <v>96814.55372899823</v>
      </c>
    </row>
    <row r="4">
      <c r="A4" s="8" t="inlineStr">
        <is>
          <t>Lợi nhuận trước dự phòng (PPOP)</t>
        </is>
      </c>
      <c r="B4" s="11" t="n">
        <v>24557.31</v>
      </c>
      <c r="C4" s="11" t="n">
        <v>30776.997</v>
      </c>
      <c r="D4" s="11" t="n">
        <v>32393.121</v>
      </c>
      <c r="E4" s="11" t="n">
        <v>38405.972</v>
      </c>
      <c r="F4" s="11" t="n">
        <v>48011.862</v>
      </c>
      <c r="G4" s="11" t="n">
        <v>50064.5566151955</v>
      </c>
      <c r="H4" s="11" t="n">
        <v>58098.40724499522</v>
      </c>
      <c r="I4" s="11" t="n">
        <v>65833.8965357188</v>
      </c>
    </row>
    <row r="5">
      <c r="A5" s="8" t="inlineStr">
        <is>
          <t>LNST (NPAT)</t>
        </is>
      </c>
      <c r="B5" s="11" t="n">
        <v>13221.437</v>
      </c>
      <c r="C5" s="11" t="n">
        <v>18155.185</v>
      </c>
      <c r="D5" s="11" t="n">
        <v>21053.792</v>
      </c>
      <c r="E5" s="11" t="n">
        <v>22951.264</v>
      </c>
      <c r="F5" s="11" t="n">
        <v>27382.978</v>
      </c>
      <c r="G5" s="11" t="n">
        <v>28135.0175417004</v>
      </c>
      <c r="H5" s="11" t="n">
        <v>33997.36468730146</v>
      </c>
      <c r="I5" s="11" t="n">
        <v>39799.20504579414</v>
      </c>
    </row>
    <row r="6">
      <c r="A6" s="8" t="inlineStr">
        <is>
          <t>EPS (VND)</t>
        </is>
      </c>
      <c r="B6" s="11" t="n">
        <v>1574.626492028683</v>
      </c>
      <c r="C6" s="11" t="n">
        <v>2162.218469042492</v>
      </c>
      <c r="D6" s="11" t="n">
        <v>2507.432334387067</v>
      </c>
      <c r="E6" s="11" t="n">
        <v>2733.414553950844</v>
      </c>
      <c r="F6" s="11" t="n">
        <v>3261.216053099114</v>
      </c>
      <c r="G6" s="11" t="n">
        <v>3350.781308783088</v>
      </c>
      <c r="H6" s="11" t="n">
        <v>4048.966167277074</v>
      </c>
      <c r="I6" s="11" t="n">
        <v>4739.944880937607</v>
      </c>
    </row>
    <row r="7">
      <c r="A7" s="8" t="inlineStr">
        <is>
          <t>Tổng tài sản</t>
        </is>
      </c>
      <c r="B7" s="11" t="n">
        <v>607140.419</v>
      </c>
      <c r="C7" s="11" t="n">
        <v>728532.373</v>
      </c>
      <c r="D7" s="11" t="n">
        <v>944953.64</v>
      </c>
      <c r="E7" s="11" t="n">
        <v>1128801.062</v>
      </c>
      <c r="F7" s="11" t="n">
        <v>1615763.927</v>
      </c>
      <c r="G7" s="8" t="n"/>
      <c r="H7" s="8" t="n"/>
      <c r="I7" s="8" t="n"/>
    </row>
    <row r="8">
      <c r="A8" s="8" t="inlineStr">
        <is>
          <t>Cho vay khách hàng</t>
        </is>
      </c>
      <c r="B8" s="11" t="n">
        <v>354797.094</v>
      </c>
      <c r="C8" s="11" t="n">
        <v>448598.622</v>
      </c>
      <c r="D8" s="11" t="n">
        <v>599579.267</v>
      </c>
      <c r="E8" s="11" t="n">
        <v>765047.985</v>
      </c>
      <c r="F8" s="11" t="n">
        <v>1070868.777</v>
      </c>
      <c r="G8" s="11" t="n">
        <v>1220790.40578</v>
      </c>
      <c r="H8" s="11" t="n">
        <v>1379493.1585314</v>
      </c>
      <c r="I8" s="11" t="n">
        <v>1545032.337555168</v>
      </c>
    </row>
    <row r="9">
      <c r="A9" s="8" t="inlineStr">
        <is>
          <t>Tiền gửi khách hàng</t>
        </is>
      </c>
      <c r="B9" s="11" t="n">
        <v>384692.155</v>
      </c>
      <c r="C9" s="11" t="n">
        <v>443605.638</v>
      </c>
      <c r="D9" s="11" t="n">
        <v>567532.577</v>
      </c>
      <c r="E9" s="11" t="n">
        <v>714154.4790000001</v>
      </c>
      <c r="F9" s="11" t="n">
        <v>921368.132</v>
      </c>
      <c r="G9" s="11" t="n">
        <v>1031932.30784</v>
      </c>
      <c r="H9" s="11" t="n">
        <v>1145444.8617024</v>
      </c>
      <c r="I9" s="11" t="n">
        <v>1259989.34787264</v>
      </c>
    </row>
    <row r="10">
      <c r="A10" s="8" t="inlineStr">
        <is>
          <t>Vốn chủ sở hữu (VCSH)</t>
        </is>
      </c>
      <c r="B10" s="11" t="n">
        <v>62486.023</v>
      </c>
      <c r="C10" s="11" t="n">
        <v>79613.219</v>
      </c>
      <c r="D10" s="11" t="n">
        <v>96711.159</v>
      </c>
      <c r="E10" s="11" t="n">
        <v>117059.581</v>
      </c>
      <c r="F10" s="11" t="n">
        <v>142022.525</v>
      </c>
      <c r="G10" s="8" t="n"/>
      <c r="H10" s="8" t="n"/>
      <c r="I1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2026-06-29T01:59:51Z</dcterms:created>
  <dcterms:modified xmlns:dcterms="http://purl.org/dc/terms/" xmlns:xsi="http://www.w3.org/2001/XMLSchema-instance" xsi:type="dcterms:W3CDTF">2026-06-29T01:59:51Z</dcterms:modified>
</cp:coreProperties>
</file>