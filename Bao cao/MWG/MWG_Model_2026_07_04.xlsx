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Revenue_Model" sheetId="3" state="visible" r:id="rId3"/>
    <sheet xmlns:r="http://schemas.openxmlformats.org/officeDocument/2006/relationships" name="04_PnL" sheetId="4" state="visible" r:id="rId4"/>
    <sheet xmlns:r="http://schemas.openxmlformats.org/officeDocument/2006/relationships" name="05_Balance_Sheet" sheetId="5" state="visible" r:id="rId5"/>
    <sheet xmlns:r="http://schemas.openxmlformats.org/officeDocument/2006/relationships" name="06_Cash_Flow" sheetId="6" state="visible" r:id="rId6"/>
    <sheet xmlns:r="http://schemas.openxmlformats.org/officeDocument/2006/relationships" name="07_Valuation" sheetId="7" state="visible" r:id="rId7"/>
    <sheet xmlns:r="http://schemas.openxmlformats.org/officeDocument/2006/relationships" name="08_Sensitivity" sheetId="8" state="visible" r:id="rId8"/>
    <sheet xmlns:r="http://schemas.openxmlformats.org/officeDocument/2006/relationships" name="09_PESTLE" sheetId="9" state="visible" r:id="rId9"/>
    <sheet xmlns:r="http://schemas.openxmlformats.org/officeDocument/2006/relationships" name="10_Leading_Indicators" sheetId="10" state="visible" r:id="rId10"/>
    <sheet xmlns:r="http://schemas.openxmlformats.org/officeDocument/2006/relationships" name="11_Investment_Thesis" sheetId="11" state="visible" r:id="rId11"/>
    <sheet xmlns:r="http://schemas.openxmlformats.org/officeDocument/2006/relationships" name="12_Summary_Snapshot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&quot;x&quot;"/>
    <numFmt numFmtId="165" formatCode="0.00&quot;x&quot;"/>
    <numFmt numFmtId="166" formatCode="0.0%"/>
    <numFmt numFmtId="167" formatCode="0.000"/>
    <numFmt numFmtId="168" formatCode="0.0"/>
    <numFmt numFmtId="169" formatCode="0.0000"/>
  </numFmts>
  <fonts count="7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3E0"/>
        <bgColor rgb="00FFF3E0"/>
      </patternFill>
    </fill>
    <fill>
      <patternFill patternType="solid">
        <fgColor rgb="00D4EDDA"/>
        <bgColor rgb="00D4EDD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167" fontId="3" fillId="0" borderId="1" applyAlignment="1" pivotButton="0" quotePrefix="0" xfId="0">
      <alignment horizontal="right"/>
    </xf>
    <xf numFmtId="10" fontId="3" fillId="3" borderId="1" applyAlignment="1" pivotButton="0" quotePrefix="0" xfId="0">
      <alignment horizontal="right"/>
    </xf>
    <xf numFmtId="168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69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3" fillId="0" borderId="0" pivotButton="0" quotePrefix="0" xfId="0"/>
    <xf numFmtId="3" fontId="2" fillId="4" borderId="1" applyAlignment="1" pivotButton="0" quotePrefix="0" xfId="0">
      <alignment horizontal="right"/>
    </xf>
    <xf numFmtId="3" fontId="6" fillId="2" borderId="1" applyAlignment="1" pivotButton="0" quotePrefix="0" xfId="0">
      <alignment horizontal="right"/>
    </xf>
    <xf numFmtId="166" fontId="3" fillId="0" borderId="1" applyAlignment="1" pivotButton="0" quotePrefix="0" xfId="0">
      <alignment horizontal="right"/>
    </xf>
    <xf numFmtId="3" fontId="2" fillId="0" borderId="1" applyAlignment="1" pivotButton="0" quotePrefix="0" xfId="0">
      <alignment horizontal="right"/>
    </xf>
    <xf numFmtId="0" fontId="5" fillId="0" borderId="0" pivotButton="0" quotePrefix="0" xfId="0"/>
    <xf numFmtId="3" fontId="2" fillId="2" borderId="1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3" fontId="2" fillId="2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3" fontId="4" fillId="2" borderId="1" applyAlignment="1" pivotButton="0" quotePrefix="0" xfId="0">
      <alignment horizontal="center" vertical="center"/>
    </xf>
    <xf numFmtId="165" fontId="4" fillId="2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8D7DA"/>
          <bgColor rgb="00F8D7DA"/>
        </patternFill>
      </fill>
    </dxf>
    <dxf>
      <fill>
        <patternFill patternType="solid">
          <fgColor rgb="00D4EDDA"/>
          <b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Cơ cấu doanh thu theo mảng</a:t>
            </a:r>
          </a:p>
        </rich>
      </tx>
    </title>
    <plotArea>
      <barChart>
        <barDir val="col"/>
        <grouping val="stack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'03_Revenue_Model'!$B$5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'03_Revenue_Model'!$C$5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'03_Revenue_Model'!$D$5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'03_Revenue_Model'!$E$5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'03_Revenue_Model'!$F$5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'03_Revenue_Model'!$G$5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'03_Revenue_Model'!$H$5</f>
            </numRef>
          </val>
        </ser>
        <ser>
          <idx val="7"/>
          <order val="7"/>
          <tx>
            <v>TGDD</v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'03_Revenue_Model'!$I$5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'03_Revenue_Model'!$B$9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'03_Revenue_Model'!$C$9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'03_Revenue_Model'!$D$9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'03_Revenue_Model'!$E$9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'03_Revenue_Model'!$F$9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'03_Revenue_Model'!$G$9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'03_Revenue_Model'!$H$9</f>
            </numRef>
          </val>
        </ser>
        <ser>
          <idx val="15"/>
          <order val="15"/>
          <tx>
            <v>DMX</v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'03_Revenue_Model'!$I$9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'03_Revenue_Model'!$B$13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'03_Revenue_Model'!$C$13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'03_Revenue_Model'!$D$13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'03_Revenue_Model'!$E$13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'03_Revenue_Model'!$F$13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'03_Revenue_Model'!$G$13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'03_Revenue_Model'!$H$13</f>
            </numRef>
          </val>
        </ser>
        <ser>
          <idx val="23"/>
          <order val="23"/>
          <tx>
            <v>BHX</v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'03_Revenue_Model'!$I$13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'03_Revenue_Model'!$B$17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'03_Revenue_Model'!$C$17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'03_Revenue_Model'!$D$17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'03_Revenue_Model'!$E$17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'03_Revenue_Model'!$F$17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'03_Revenue_Model'!$G$17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'03_Revenue_Model'!$H$17</f>
            </numRef>
          </val>
        </ser>
        <ser>
          <idx val="31"/>
          <order val="31"/>
          <tx>
            <v>Khac</v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'03_Revenue_Model'!$I$17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Số cửa hàng theo mảng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'03_Revenue_Model'!$G$3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'03_Revenue_Model'!$H$3</f>
            </numRef>
          </val>
        </ser>
        <ser>
          <idx val="2"/>
          <order val="2"/>
          <tx>
            <v>TGDD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'03_Revenue_Model'!$I$3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'03_Revenue_Model'!$G$7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'03_Revenue_Model'!$H$7</f>
            </numRef>
          </val>
        </ser>
        <ser>
          <idx val="5"/>
          <order val="5"/>
          <tx>
            <v>DMX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'03_Revenue_Model'!$I$7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'03_Revenue_Model'!$G$11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'03_Revenue_Model'!$H$11</f>
            </numRef>
          </val>
        </ser>
        <ser>
          <idx val="8"/>
          <order val="8"/>
          <tx>
            <v>BHX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'03_Revenue_Model'!$I$11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'03_Revenue_Model'!$G$15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'03_Revenue_Model'!$H$15</f>
            </numRef>
          </val>
        </ser>
        <ser>
          <idx val="11"/>
          <order val="11"/>
          <tx>
            <v>Khac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'03_Revenue_Model'!$G$1:$I$1</f>
            </numRef>
          </cat>
          <val>
            <numRef>
              <f>'03_Revenue_Model'!$I$15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Cửa hàng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Doanh thu &amp; LNST theo năm</a:t>
            </a:r>
          </a:p>
        </rich>
      </tx>
    </title>
    <plotArea>
      <barChart>
        <barDir val="col"/>
        <grouping val="clustered"/>
        <ser>
          <idx val="0"/>
          <order val="0"/>
          <tx>
            <v>Doanh thu thuần</v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8"/>
          <order val="8"/>
          <tx>
            <v>LNST Cổ đông mẹ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'04_PnL'!$B$16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'04_PnL'!$C$16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'04_PnL'!$D$16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'04_PnL'!$E$16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'04_PnL'!$F$16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'04_PnL'!$G$16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'04_PnL'!$H$16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'04_PnL'!$I$16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 (LNST)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Xu hướng biên lợi nhuận</a:t>
            </a:r>
          </a:p>
        </rich>
      </tx>
    </title>
    <plotArea>
      <lineChart>
        <grouping val="standard"/>
        <ser>
          <idx val="0"/>
          <order val="0"/>
          <tx>
            <v>Biên LNG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'04_PnL'!$B$6</f>
            </numRef>
          </val>
        </ser>
        <ser>
          <idx val="1"/>
          <order val="1"/>
          <tx>
            <v>Biên EBIT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'04_PnL'!$C$6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'04_PnL'!$D$6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'04_PnL'!$E$6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'04_PnL'!$F$6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'04_PnL'!$G$6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'04_PnL'!$H$6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'04_PnL'!$I$6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'04_PnL'!$B$9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'04_PnL'!$C$9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'04_PnL'!$D$9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'04_PnL'!$E$9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'04_PnL'!$F$9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'04_PnL'!$G$9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'04_PnL'!$H$9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'04_PnL'!$I$9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29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49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 ht="32" customHeight="1">
      <c r="A1" s="1" t="inlineStr">
        <is>
          <t>PHÂN TÍCH CỔ PHIẾU MWG — CTCP Đầu tư Thế Giới Di Động</t>
        </is>
      </c>
    </row>
    <row r="2">
      <c r="A2" s="2" t="inlineStr">
        <is>
          <t>Ticker</t>
        </is>
      </c>
      <c r="B2" s="3" t="inlineStr">
        <is>
          <t>MWG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Bán lẻ</t>
        </is>
      </c>
    </row>
    <row r="5">
      <c r="A5" s="2" t="inlineStr">
        <is>
          <t>Giá hiện tại (VND)</t>
        </is>
      </c>
      <c r="B5" s="4">
        <f>'02_Assumptions'!B2</f>
        <v/>
      </c>
    </row>
    <row r="6">
      <c r="A6" s="2" t="inlineStr">
        <is>
          <t>Số CP lưu hành (triệu)</t>
        </is>
      </c>
      <c r="B6" s="4">
        <f>'02_Assumptions'!B3</f>
        <v/>
      </c>
    </row>
    <row r="7">
      <c r="A7" s="2" t="inlineStr">
        <is>
          <t>Vốn hóa (tỷ VND)</t>
        </is>
      </c>
      <c r="B7" s="4">
        <f>'02_Assumptions'!B4</f>
        <v/>
      </c>
    </row>
    <row r="8">
      <c r="A8" s="2" t="inlineStr">
        <is>
          <t>P/E TTM (x)</t>
        </is>
      </c>
      <c r="B8" s="5" t="n">
        <v>16.5</v>
      </c>
    </row>
    <row r="9">
      <c r="A9" s="2" t="inlineStr">
        <is>
          <t>P/B (x)</t>
        </is>
      </c>
      <c r="B9" s="6" t="n">
        <v>3.5</v>
      </c>
    </row>
    <row r="10">
      <c r="A10" s="2" t="inlineStr">
        <is>
          <t>EPS TTM (VND)</t>
        </is>
      </c>
      <c r="B10" s="4" t="n">
        <v>4785</v>
      </c>
    </row>
    <row r="11">
      <c r="A11" s="2" t="inlineStr">
        <is>
          <t>BVPS (VND)</t>
        </is>
      </c>
      <c r="B11" s="4" t="n">
        <v>22569</v>
      </c>
    </row>
    <row r="12">
      <c r="A12" s="2" t="inlineStr">
        <is>
          <t>Kế hoạch DT 2026 (tỷ)</t>
        </is>
      </c>
      <c r="B12" s="4" t="n">
        <v>185000</v>
      </c>
    </row>
    <row r="13">
      <c r="A13" s="2" t="inlineStr">
        <is>
          <t>Kế hoạch LNST 2026 (tỷ)</t>
        </is>
      </c>
      <c r="B13" s="4" t="n">
        <v>9200</v>
      </c>
    </row>
    <row r="14">
      <c r="A14" s="2" t="inlineStr">
        <is>
          <t>Khuyến nghị</t>
        </is>
      </c>
      <c r="B14" s="7">
        <f>IF('07_Valuation'!C14&gt;0.15,"MUA",IF('07_Valuation'!C14&lt;-0.05,"BÁN","THEO DÕI"))</f>
        <v/>
      </c>
    </row>
    <row r="15">
      <c r="A15" s="2" t="inlineStr">
        <is>
          <t>Giá mục tiêu (VND)</t>
        </is>
      </c>
      <c r="B15" s="4">
        <f>'07_Valuation'!C12</f>
        <v/>
      </c>
    </row>
    <row r="16">
      <c r="A16" s="2" t="inlineStr">
        <is>
          <t>Upside/Downside</t>
        </is>
      </c>
      <c r="B16" s="8">
        <f>'07_Valuation'!C14</f>
        <v/>
      </c>
    </row>
    <row r="17">
      <c r="A17" s="2" t="inlineStr">
        <is>
          <t>Ngày phân tích</t>
        </is>
      </c>
      <c r="B17" s="3" t="inlineStr">
        <is>
          <t>04/07/2026 20:30</t>
        </is>
      </c>
    </row>
    <row r="19">
      <c r="A19" s="9" t="inlineStr">
        <is>
          <t>5 PHƯƠNG PHÁP ĐỊNH GIÁ (trọng số theo skill ban-le)</t>
        </is>
      </c>
    </row>
    <row r="20">
      <c r="A20" s="10" t="inlineStr">
        <is>
          <t>P/E Median (20%)</t>
        </is>
      </c>
      <c r="B20" s="4">
        <f>'07_Valuation'!C6</f>
        <v/>
      </c>
    </row>
    <row r="21">
      <c r="A21" s="10" t="inlineStr">
        <is>
          <t>P/B Median (20%)</t>
        </is>
      </c>
      <c r="B21" s="4">
        <f>'07_Valuation'!C7</f>
        <v/>
      </c>
    </row>
    <row r="22">
      <c r="A22" s="10" t="inlineStr">
        <is>
          <t>Residual Income (10%)</t>
        </is>
      </c>
      <c r="B22" s="4">
        <f>'07_Valuation'!C8</f>
        <v/>
      </c>
    </row>
    <row r="23">
      <c r="A23" s="10" t="inlineStr">
        <is>
          <t>P/S + P/E theo mảng (35%)</t>
        </is>
      </c>
      <c r="B23" s="4">
        <f>'07_Valuation'!C9</f>
        <v/>
      </c>
    </row>
    <row r="24">
      <c r="A24" s="10" t="inlineStr">
        <is>
          <t>P/S + P/B theo mảng (15%)</t>
        </is>
      </c>
      <c r="B24" s="4">
        <f>'07_Valuation'!C10</f>
        <v/>
      </c>
    </row>
  </sheetData>
  <mergeCells count="2">
    <mergeCell ref="A19:F19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46" customWidth="1" min="10" max="10"/>
  </cols>
  <sheetData>
    <row r="1">
      <c r="A1" s="11" t="inlineStr">
        <is>
          <t>Giả định</t>
        </is>
      </c>
      <c r="B1" s="11" t="inlineStr">
        <is>
          <t>2021A</t>
        </is>
      </c>
      <c r="C1" s="11" t="inlineStr">
        <is>
          <t>2022A</t>
        </is>
      </c>
      <c r="D1" s="11" t="inlineStr">
        <is>
          <t>2023A</t>
        </is>
      </c>
      <c r="E1" s="11" t="inlineStr">
        <is>
          <t>2024A</t>
        </is>
      </c>
      <c r="F1" s="11" t="inlineStr">
        <is>
          <t>2025A</t>
        </is>
      </c>
      <c r="G1" s="11" t="inlineStr">
        <is>
          <t>2026E</t>
        </is>
      </c>
      <c r="H1" s="11" t="inlineStr">
        <is>
          <t>2027F</t>
        </is>
      </c>
      <c r="I1" s="11" t="inlineStr">
        <is>
          <t>2028F</t>
        </is>
      </c>
      <c r="J1" s="11" t="inlineStr">
        <is>
          <t>Ghi chú</t>
        </is>
      </c>
    </row>
    <row r="2">
      <c r="A2" s="10" t="inlineStr">
        <is>
          <t>Giá cổ phiếu hiện tại (VND)</t>
        </is>
      </c>
      <c r="B2" s="12" t="n">
        <v>78900</v>
      </c>
      <c r="C2" s="13" t="inlineStr">
        <is>
          <t>Giá đóng cửa gần nhất (Vietcap)</t>
        </is>
      </c>
    </row>
    <row r="3">
      <c r="A3" s="10" t="inlineStr">
        <is>
          <t>Số CP lưu hành (triệu CP)</t>
        </is>
      </c>
      <c r="B3" s="12" t="n">
        <v>1470</v>
      </c>
      <c r="C3" s="13" t="inlineStr">
        <is>
          <t>Vốn góp/mệnh giá 10,000đ</t>
        </is>
      </c>
    </row>
    <row r="4">
      <c r="A4" s="10" t="inlineStr">
        <is>
          <t>Vốn hóa (tỷ VND)</t>
        </is>
      </c>
      <c r="B4" s="12">
        <f>B2*B3/1000</f>
        <v/>
      </c>
      <c r="C4" s="13">
        <f>Giá×SL CP</f>
        <v/>
      </c>
    </row>
    <row r="6">
      <c r="A6" s="9" t="inlineStr">
        <is>
          <t>SỐ CỬA HÀNG CUỐI KỲ (cửa hàng)</t>
        </is>
      </c>
    </row>
    <row r="7">
      <c r="A7" s="10" t="inlineStr">
        <is>
          <t>TGDĐ (gồm Topzone)</t>
        </is>
      </c>
      <c r="B7" s="12" t="n"/>
      <c r="C7" s="12" t="n"/>
      <c r="D7" s="12" t="n"/>
      <c r="E7" s="12" t="n"/>
      <c r="F7" s="12" t="n"/>
      <c r="G7" s="12" t="n">
        <v>1002</v>
      </c>
      <c r="H7" s="12" t="n">
        <v>992</v>
      </c>
      <c r="I7" s="12" t="n">
        <v>982</v>
      </c>
      <c r="J7" s="13" t="inlineStr">
        <is>
          <t>IR MWG; dự phóng: xu hướng tái cơ cấu -1%/năm</t>
        </is>
      </c>
    </row>
    <row r="8">
      <c r="A8" s="10" t="inlineStr">
        <is>
          <t>ĐMX (gồm ĐMS)</t>
        </is>
      </c>
      <c r="B8" s="12" t="n"/>
      <c r="C8" s="12" t="n"/>
      <c r="D8" s="12" t="n"/>
      <c r="E8" s="12" t="n"/>
      <c r="F8" s="12" t="n"/>
      <c r="G8" s="12" t="n">
        <v>2004</v>
      </c>
      <c r="H8" s="12" t="n">
        <v>2004</v>
      </c>
      <c r="I8" s="12" t="n">
        <v>2004</v>
      </c>
      <c r="J8" s="13" t="inlineStr">
        <is>
          <t>Dự phóng: đi ngang (bão hòa)</t>
        </is>
      </c>
    </row>
    <row r="9">
      <c r="A9" s="10" t="inlineStr">
        <is>
          <t>BHX</t>
        </is>
      </c>
      <c r="B9" s="12" t="n"/>
      <c r="C9" s="12" t="n"/>
      <c r="D9" s="12" t="n"/>
      <c r="E9" s="12" t="n"/>
      <c r="F9" s="12" t="n"/>
      <c r="G9" s="12" t="n">
        <v>3559</v>
      </c>
      <c r="H9" s="12" t="n">
        <v>4259</v>
      </c>
      <c r="I9" s="12" t="n">
        <v>4759</v>
      </c>
      <c r="J9" s="13" t="inlineStr">
        <is>
          <t>Dự phóng: +1000/+700/+500 theo kế hoạch IR</t>
        </is>
      </c>
    </row>
    <row r="10">
      <c r="A10" s="10" t="inlineStr">
        <is>
          <t>Khác (An Khang+AvaKids+EraBlue)</t>
        </is>
      </c>
      <c r="B10" s="12" t="n"/>
      <c r="C10" s="12" t="n"/>
      <c r="D10" s="12" t="n"/>
      <c r="E10" s="12" t="n"/>
      <c r="F10" s="12" t="n"/>
      <c r="G10" s="12" t="n">
        <v>811</v>
      </c>
      <c r="H10" s="12" t="n">
        <v>911</v>
      </c>
      <c r="I10" s="12" t="n">
        <v>1011</v>
      </c>
      <c r="J10" s="13" t="inlineStr">
        <is>
          <t>EraBlue mục tiêu &gt;300 CH 2026 (IR)</t>
        </is>
      </c>
    </row>
    <row r="12">
      <c r="A12" s="9" t="inlineStr">
        <is>
          <t>HIỆU QUẢ DT/CH/THÁNG HIỆN TẠI (tỷ VND, lag 3 tháng)</t>
        </is>
      </c>
    </row>
    <row r="13">
      <c r="A13" s="10" t="inlineStr">
        <is>
          <t xml:space="preserve">  TGDD</t>
        </is>
      </c>
      <c r="B13" s="14" t="n">
        <v>3.52</v>
      </c>
      <c r="C13" s="13" t="inlineStr">
        <is>
          <t>DT 5T2026/5/số CH lag 3 tháng (skill ban-le mục 2)</t>
        </is>
      </c>
    </row>
    <row r="14">
      <c r="A14" s="10" t="inlineStr">
        <is>
          <t xml:space="preserve">  DMX</t>
        </is>
      </c>
      <c r="B14" s="14" t="n">
        <v>3.65</v>
      </c>
      <c r="C14" s="13" t="inlineStr">
        <is>
          <t>DT 5T2026/5/số CH lag 3 tháng (skill ban-le mục 2)</t>
        </is>
      </c>
    </row>
    <row r="15">
      <c r="A15" s="10" t="inlineStr">
        <is>
          <t xml:space="preserve">  BHX</t>
        </is>
      </c>
      <c r="B15" s="14" t="n">
        <v>1.807</v>
      </c>
      <c r="C15" s="13" t="inlineStr">
        <is>
          <t>DT 5T2026/5/số CH lag 3 tháng (skill ban-le mục 2)</t>
        </is>
      </c>
    </row>
    <row r="16">
      <c r="A16" s="10" t="inlineStr">
        <is>
          <t xml:space="preserve">  Khac</t>
        </is>
      </c>
      <c r="B16" s="14" t="n">
        <v>0.49</v>
      </c>
      <c r="C16" s="13" t="inlineStr">
        <is>
          <t>DT 5T2026/5/số CH lag 3 tháng (skill ban-le mục 2)</t>
        </is>
      </c>
    </row>
    <row r="17">
      <c r="A17" s="10" t="inlineStr">
        <is>
          <t xml:space="preserve">  Tăng trưởng hiệu quả/CH TGDD (%/năm)</t>
        </is>
      </c>
      <c r="B17" s="15" t="n">
        <v>0</v>
      </c>
      <c r="C17" s="13" t="inlineStr">
        <is>
          <t>Giả định có căn cứ — xem comment code</t>
        </is>
      </c>
    </row>
    <row r="18">
      <c r="A18" s="10" t="inlineStr">
        <is>
          <t xml:space="preserve">  Tăng trưởng hiệu quả/CH DMX (%/năm)</t>
        </is>
      </c>
      <c r="B18" s="15" t="n">
        <v>0.03</v>
      </c>
      <c r="C18" s="13" t="inlineStr">
        <is>
          <t>Giả định có căn cứ — xem comment code</t>
        </is>
      </c>
    </row>
    <row r="19">
      <c r="A19" s="10" t="inlineStr">
        <is>
          <t xml:space="preserve">  Tăng trưởng hiệu quả/CH BHX (%/năm)</t>
        </is>
      </c>
      <c r="B19" s="15" t="n">
        <v>0.08</v>
      </c>
      <c r="C19" s="13" t="inlineStr">
        <is>
          <t>Giả định có căn cứ — xem comment code</t>
        </is>
      </c>
    </row>
    <row r="20">
      <c r="A20" s="10" t="inlineStr">
        <is>
          <t xml:space="preserve">  Tăng trưởng hiệu quả/CH Khac (%/năm)</t>
        </is>
      </c>
      <c r="B20" s="15" t="n">
        <v>0.05</v>
      </c>
      <c r="C20" s="13" t="inlineStr">
        <is>
          <t>Giả định có căn cứ — xem comment code</t>
        </is>
      </c>
    </row>
    <row r="22">
      <c r="A22" s="9" t="inlineStr">
        <is>
          <t>BIÊN LỢI NHUẬN &amp; CHI PHÍ</t>
        </is>
      </c>
    </row>
    <row r="23">
      <c r="A23" s="10" t="inlineStr">
        <is>
          <t>Biên lợi nhuận gộp (%)</t>
        </is>
      </c>
      <c r="B23" s="15" t="n">
        <v>0.2247</v>
      </c>
      <c r="C23" s="15" t="n">
        <v>0.2313</v>
      </c>
      <c r="D23" s="15" t="n">
        <v>0.1904</v>
      </c>
      <c r="E23" s="15" t="n">
        <v>0.2047</v>
      </c>
      <c r="F23" s="15" t="n">
        <v>0.1988</v>
      </c>
      <c r="G23" s="15" t="n">
        <v>0.2079</v>
      </c>
      <c r="H23" s="15" t="n">
        <v>0.2079</v>
      </c>
      <c r="I23" s="15" t="n">
        <v>0.2079</v>
      </c>
      <c r="J23" s="13" t="inlineStr">
        <is>
          <t>Dự phóng = TB 2 quý gần nhất (skill ban-le mục 4)</t>
        </is>
      </c>
    </row>
    <row r="24">
      <c r="A24" s="10" t="inlineStr">
        <is>
          <t>SG&amp;A / Doanh thu (%)</t>
        </is>
      </c>
      <c r="B24" s="15" t="n">
        <v>0.1767886784197218</v>
      </c>
      <c r="C24" s="15" t="n">
        <v>0.1815361965986232</v>
      </c>
      <c r="D24" s="15" t="n">
        <v>0.1867132003943192</v>
      </c>
      <c r="E24" s="15" t="n">
        <v>0.1742994703039722</v>
      </c>
      <c r="F24" s="15" t="n">
        <v>0.153448929346282</v>
      </c>
      <c r="G24" s="15" t="n">
        <v>0.1451</v>
      </c>
      <c r="H24" s="15" t="n">
        <v>0.1389</v>
      </c>
      <c r="I24" s="15" t="n">
        <v>0.1327</v>
      </c>
      <c r="J24" s="13" t="inlineStr">
        <is>
          <t>Dự phóng = hồi quy tuyến tính 4 quý gần nhất</t>
        </is>
      </c>
    </row>
    <row r="25">
      <c r="A25" s="10" t="inlineStr">
        <is>
          <t>Thuế suất hiệu dụng (%)</t>
        </is>
      </c>
      <c r="B25" s="15" t="n">
        <v>0.2036</v>
      </c>
      <c r="C25" s="13" t="inlineStr">
        <is>
          <t>TB 2 năm gần nhất = 1-LNST hợp nhất/LNTT (isa16)</t>
        </is>
      </c>
    </row>
    <row r="26">
      <c r="A26" s="10" t="inlineStr">
        <is>
          <t>DT/CP tài chính ròng / DT (%)</t>
        </is>
      </c>
      <c r="B26" s="15" t="n">
        <v>0.0094</v>
      </c>
      <c r="C26" s="13" t="inlineStr">
        <is>
          <t>TB 2 năm gần nhất (lãi tiền gửi ròng)</t>
        </is>
      </c>
    </row>
    <row r="27">
      <c r="A27" s="10" t="inlineStr">
        <is>
          <t>Tỷ lệ chia cổ tức tiền mặt/LNST (%)</t>
        </is>
      </c>
      <c r="B27" s="15" t="n">
        <v>0.3</v>
      </c>
      <c r="C27" s="13" t="inlineStr">
        <is>
          <t>Giả định — MWG trả cổ tức đều đặn</t>
        </is>
      </c>
    </row>
    <row r="29">
      <c r="A29" s="9" t="inlineStr">
        <is>
          <t>VÒNG QUAY VỐN LƯU ĐỘNG</t>
        </is>
      </c>
    </row>
    <row r="30">
      <c r="A30" s="10" t="inlineStr">
        <is>
          <t>DIO - Số ngày tồn kho</t>
        </is>
      </c>
      <c r="B30" s="16" t="n">
        <v>77.83002930470742</v>
      </c>
      <c r="C30" s="13" t="inlineStr">
        <is>
          <t>TB 2 năm gần nhất</t>
        </is>
      </c>
    </row>
    <row r="31">
      <c r="A31" s="10" t="inlineStr">
        <is>
          <t>DSO - Số ngày phải thu</t>
        </is>
      </c>
      <c r="B31" s="16" t="n">
        <v>23.90788309654052</v>
      </c>
      <c r="C31" s="13" t="inlineStr">
        <is>
          <t>TB 2 năm gần nhất</t>
        </is>
      </c>
    </row>
    <row r="32">
      <c r="A32" s="10" t="inlineStr">
        <is>
          <t>DPO - Số ngày phải trả</t>
        </is>
      </c>
      <c r="B32" s="16" t="n">
        <v>34.83755195104135</v>
      </c>
      <c r="C32" s="13" t="inlineStr">
        <is>
          <t>TB 2 năm gần nhất</t>
        </is>
      </c>
    </row>
    <row r="33">
      <c r="A33" s="10" t="inlineStr">
        <is>
          <t>D&amp;A / Doanh thu (%)</t>
        </is>
      </c>
      <c r="B33" s="15" t="n">
        <v>0.01690665711957976</v>
      </c>
      <c r="C33" s="13" t="inlineStr">
        <is>
          <t>TB 2 năm gần nhất</t>
        </is>
      </c>
    </row>
    <row r="34">
      <c r="A34" s="10" t="inlineStr">
        <is>
          <t>CAPEX / Doanh thu (%)</t>
        </is>
      </c>
      <c r="B34" s="15" t="n">
        <v>0.003979400368363287</v>
      </c>
      <c r="C34" s="13" t="inlineStr">
        <is>
          <t>TB 2 năm gần nhất</t>
        </is>
      </c>
    </row>
    <row r="35">
      <c r="A35" s="10" t="inlineStr">
        <is>
          <t>Tăng trưởng Nợ vay YoY (%)</t>
        </is>
      </c>
      <c r="B35" s="15" t="n">
        <v>0.09171298209667178</v>
      </c>
      <c r="C35" s="13" t="inlineStr">
        <is>
          <t>TB 2 năm gần nhất</t>
        </is>
      </c>
    </row>
    <row r="36">
      <c r="A36" s="10" t="inlineStr">
        <is>
          <t>Tăng trưởng Tiền mặt YoY (%)</t>
        </is>
      </c>
      <c r="B36" s="15" t="n">
        <v>0.2720478504983457</v>
      </c>
      <c r="C36" s="13" t="inlineStr">
        <is>
          <t>TB 2 năm gần nhất</t>
        </is>
      </c>
    </row>
    <row r="38">
      <c r="A38" s="9" t="inlineStr">
        <is>
          <t>ĐỊNH GIÁ</t>
        </is>
      </c>
    </row>
    <row r="39">
      <c r="A39" s="10" t="inlineStr">
        <is>
          <t>P/E Median lịch sử (x)</t>
        </is>
      </c>
      <c r="B39" s="17" t="n">
        <v>22.39</v>
      </c>
      <c r="C39" s="13" t="inlineStr">
        <is>
          <t>Trung vị-của-trung-vị-năm 2021-2025 (Vietcap)</t>
        </is>
      </c>
    </row>
    <row r="40">
      <c r="A40" s="10" t="inlineStr">
        <is>
          <t>P/B Median lịch sử (x)</t>
        </is>
      </c>
      <c r="B40" s="17" t="n">
        <v>3.33</v>
      </c>
      <c r="C40" s="13" t="inlineStr">
        <is>
          <t>Trung vị-của-trung-vị-năm 2021-2025 (Vietcap)</t>
        </is>
      </c>
    </row>
    <row r="41">
      <c r="A41" s="10" t="inlineStr">
        <is>
          <t>Beta (Blume-adjusted)</t>
        </is>
      </c>
      <c r="B41" s="18" t="n">
        <v>1.0858</v>
      </c>
      <c r="C41" s="13" t="inlineStr">
        <is>
          <t>Beta thô 1.1280 (Tu tinh toan (1621 phien))</t>
        </is>
      </c>
    </row>
    <row r="42">
      <c r="A42" s="10" t="inlineStr">
        <is>
          <t>Lãi suất phi rủi ro Rf (%)</t>
        </is>
      </c>
      <c r="B42" s="19" t="n">
        <v>0.045</v>
      </c>
      <c r="C42" s="13" t="inlineStr">
        <is>
          <t>Nguồn: Fallback (manual)</t>
        </is>
      </c>
    </row>
    <row r="43">
      <c r="A43" s="10" t="inlineStr">
        <is>
          <t>Equity Risk Premium (%)</t>
        </is>
      </c>
      <c r="B43" s="19" t="n">
        <v>0.07000000000000001</v>
      </c>
      <c r="C43" s="13" t="inlineStr">
        <is>
          <t>Damodaran ERP</t>
        </is>
      </c>
    </row>
    <row r="44">
      <c r="A44" s="10" t="inlineStr">
        <is>
          <t>Premium rủi ro đặc thù (%)</t>
        </is>
      </c>
      <c r="B44" s="19" t="n">
        <v>0.015</v>
      </c>
      <c r="C44" s="13" t="inlineStr">
        <is>
          <t>Frontier-market retail risk premium</t>
        </is>
      </c>
    </row>
    <row r="45">
      <c r="A45" s="10" t="inlineStr">
        <is>
          <t>Chi phí vốn CSH COE (%)</t>
        </is>
      </c>
      <c r="B45" s="15" t="n">
        <v>0.136006</v>
      </c>
      <c r="C45" s="13">
        <f>Rf+Beta×ERP+Premium</f>
        <v/>
      </c>
    </row>
    <row r="46">
      <c r="A46" s="10" t="inlineStr">
        <is>
          <t>Tăng trưởng dài hạn g (%)</t>
        </is>
      </c>
      <c r="B46" s="15" t="n">
        <v>0.03</v>
      </c>
      <c r="C46" s="13" t="inlineStr">
        <is>
          <t>Giả định terminal growth RI</t>
        </is>
      </c>
    </row>
    <row r="47">
      <c r="A47" s="10" t="inlineStr">
        <is>
          <t>Trọng số P/E Median (%)</t>
        </is>
      </c>
      <c r="B47" s="15" t="n">
        <v>0.2</v>
      </c>
      <c r="C47" s="13" t="inlineStr">
        <is>
          <t>Chốt với user 2026-07 (skill ban-le)</t>
        </is>
      </c>
    </row>
    <row r="48">
      <c r="A48" s="10" t="inlineStr">
        <is>
          <t>Trọng số P/B Median (%)</t>
        </is>
      </c>
      <c r="B48" s="15" t="n">
        <v>0.2</v>
      </c>
      <c r="C48" s="13" t="inlineStr"/>
    </row>
    <row r="49">
      <c r="A49" s="10" t="inlineStr">
        <is>
          <t>Trọng số RI cả công ty (%)</t>
        </is>
      </c>
      <c r="B49" s="15" t="n">
        <v>0.1</v>
      </c>
      <c r="C49" s="13" t="inlineStr"/>
    </row>
    <row r="50">
      <c r="A50" s="10" t="inlineStr">
        <is>
          <t>Trọng số P/S+P/E theo mảng (%)</t>
        </is>
      </c>
      <c r="B50" s="15" t="n">
        <v>0.35</v>
      </c>
      <c r="C50" s="13" t="inlineStr"/>
    </row>
    <row r="51">
      <c r="A51" s="10" t="inlineStr">
        <is>
          <t>Trọng số P/S+P/B theo mảng (%)</t>
        </is>
      </c>
      <c r="B51" s="15" t="n">
        <v>0.15</v>
      </c>
      <c r="C51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40" customWidth="1" min="10" max="10"/>
  </cols>
  <sheetData>
    <row r="1">
      <c r="A1" s="11" t="inlineStr">
        <is>
          <t>Doanh thu theo mảng (tỷ VND)</t>
        </is>
      </c>
      <c r="B1" s="11" t="inlineStr">
        <is>
          <t>2021A</t>
        </is>
      </c>
      <c r="C1" s="11" t="inlineStr">
        <is>
          <t>2022A</t>
        </is>
      </c>
      <c r="D1" s="11" t="inlineStr">
        <is>
          <t>2023A</t>
        </is>
      </c>
      <c r="E1" s="11" t="inlineStr">
        <is>
          <t>2024A</t>
        </is>
      </c>
      <c r="F1" s="11" t="inlineStr">
        <is>
          <t>2025A</t>
        </is>
      </c>
      <c r="G1" s="11" t="inlineStr">
        <is>
          <t>2026E</t>
        </is>
      </c>
      <c r="H1" s="11" t="inlineStr">
        <is>
          <t>2027F</t>
        </is>
      </c>
      <c r="I1" s="11" t="inlineStr">
        <is>
          <t>2028F</t>
        </is>
      </c>
      <c r="J1" s="11" t="inlineStr">
        <is>
          <t>Ghi chú</t>
        </is>
      </c>
    </row>
    <row r="2">
      <c r="A2" s="9" t="inlineStr">
        <is>
          <t>── TGDD ──</t>
        </is>
      </c>
    </row>
    <row r="3">
      <c r="A3" s="20" t="inlineStr">
        <is>
          <t xml:space="preserve">  Số cửa hàng cuối kỳ</t>
        </is>
      </c>
      <c r="B3" s="12" t="n"/>
      <c r="C3" s="12" t="n"/>
      <c r="D3" s="12" t="n"/>
      <c r="E3" s="12" t="n">
        <v>1021</v>
      </c>
      <c r="F3" s="12" t="n">
        <v>1012</v>
      </c>
      <c r="G3" s="12">
        <f>'02_Assumptions'!G7</f>
        <v/>
      </c>
      <c r="H3" s="12">
        <f>'02_Assumptions'!H7</f>
        <v/>
      </c>
      <c r="I3" s="12">
        <f>'02_Assumptions'!I7</f>
        <v/>
      </c>
    </row>
    <row r="4">
      <c r="A4" s="20" t="inlineStr">
        <is>
          <t xml:space="preserve">  Hiệu quả DT/CH/tháng (tỷ VND)</t>
        </is>
      </c>
      <c r="B4" s="14" t="n"/>
      <c r="C4" s="14" t="n"/>
      <c r="D4" s="14" t="n"/>
      <c r="E4" s="14" t="n"/>
      <c r="F4" s="14" t="n"/>
      <c r="G4" s="14">
        <f>'02_Assumptions'!$B$13*(1+'02_Assumptions'!$B$17)^0</f>
        <v/>
      </c>
      <c r="H4" s="14">
        <f>'02_Assumptions'!$B$13*(1+'02_Assumptions'!$B$17)^1</f>
        <v/>
      </c>
      <c r="I4" s="14">
        <f>'02_Assumptions'!$B$13*(1+'02_Assumptions'!$B$17)^2</f>
        <v/>
      </c>
    </row>
    <row r="5">
      <c r="A5" s="9" t="inlineStr">
        <is>
          <t xml:space="preserve">  Doanh thu mảng</t>
        </is>
      </c>
      <c r="B5" s="21" t="n"/>
      <c r="C5" s="21" t="n"/>
      <c r="D5" s="21" t="n">
        <v>28037</v>
      </c>
      <c r="E5" s="21" t="n">
        <v>30000</v>
      </c>
      <c r="F5" s="21" t="n">
        <v>37300</v>
      </c>
      <c r="G5" s="21">
        <f>G3*G4*12</f>
        <v/>
      </c>
      <c r="H5" s="21">
        <f>H3*H4*12</f>
        <v/>
      </c>
      <c r="I5" s="21">
        <f>I3*I4*12</f>
        <v/>
      </c>
    </row>
    <row r="6">
      <c r="A6" s="9" t="inlineStr">
        <is>
          <t>── DMX ──</t>
        </is>
      </c>
    </row>
    <row r="7">
      <c r="A7" s="20" t="inlineStr">
        <is>
          <t xml:space="preserve">  Số cửa hàng cuối kỳ</t>
        </is>
      </c>
      <c r="B7" s="12" t="n"/>
      <c r="C7" s="12" t="n"/>
      <c r="D7" s="12" t="n"/>
      <c r="E7" s="12" t="n">
        <v>2026</v>
      </c>
      <c r="F7" s="12" t="n">
        <v>2008</v>
      </c>
      <c r="G7" s="12">
        <f>'02_Assumptions'!G8</f>
        <v/>
      </c>
      <c r="H7" s="12">
        <f>'02_Assumptions'!H8</f>
        <v/>
      </c>
      <c r="I7" s="12">
        <f>'02_Assumptions'!I8</f>
        <v/>
      </c>
    </row>
    <row r="8">
      <c r="A8" s="20" t="inlineStr">
        <is>
          <t xml:space="preserve">  Hiệu quả DT/CH/tháng (tỷ VND)</t>
        </is>
      </c>
      <c r="B8" s="14" t="n"/>
      <c r="C8" s="14" t="n"/>
      <c r="D8" s="14" t="n"/>
      <c r="E8" s="14" t="n"/>
      <c r="F8" s="14" t="n"/>
      <c r="G8" s="14">
        <f>'02_Assumptions'!$B$14*(1+'02_Assumptions'!$B$18)^0</f>
        <v/>
      </c>
      <c r="H8" s="14">
        <f>'02_Assumptions'!$B$14*(1+'02_Assumptions'!$B$18)^1</f>
        <v/>
      </c>
      <c r="I8" s="14">
        <f>'02_Assumptions'!$B$14*(1+'02_Assumptions'!$B$18)^2</f>
        <v/>
      </c>
    </row>
    <row r="9">
      <c r="A9" s="9" t="inlineStr">
        <is>
          <t xml:space="preserve">  Doanh thu mảng</t>
        </is>
      </c>
      <c r="B9" s="21" t="n"/>
      <c r="C9" s="21" t="n"/>
      <c r="D9" s="21" t="n">
        <v>55607</v>
      </c>
      <c r="E9" s="21" t="n">
        <v>59500</v>
      </c>
      <c r="F9" s="21" t="n">
        <v>68400</v>
      </c>
      <c r="G9" s="21">
        <f>G7*G8*12</f>
        <v/>
      </c>
      <c r="H9" s="21">
        <f>H7*H8*12</f>
        <v/>
      </c>
      <c r="I9" s="21">
        <f>I7*I8*12</f>
        <v/>
      </c>
    </row>
    <row r="10">
      <c r="A10" s="9" t="inlineStr">
        <is>
          <t>── BHX ──</t>
        </is>
      </c>
    </row>
    <row r="11">
      <c r="A11" s="20" t="inlineStr">
        <is>
          <t xml:space="preserve">  Số cửa hàng cuối kỳ</t>
        </is>
      </c>
      <c r="B11" s="12" t="n"/>
      <c r="C11" s="12" t="n"/>
      <c r="D11" s="12" t="n"/>
      <c r="E11" s="12" t="n">
        <v>1770</v>
      </c>
      <c r="F11" s="12" t="n">
        <v>2559</v>
      </c>
      <c r="G11" s="12">
        <f>'02_Assumptions'!G9</f>
        <v/>
      </c>
      <c r="H11" s="12">
        <f>'02_Assumptions'!H9</f>
        <v/>
      </c>
      <c r="I11" s="12">
        <f>'02_Assumptions'!I9</f>
        <v/>
      </c>
    </row>
    <row r="12">
      <c r="A12" s="20" t="inlineStr">
        <is>
          <t xml:space="preserve">  Hiệu quả DT/CH/tháng (tỷ VND)</t>
        </is>
      </c>
      <c r="B12" s="14" t="n"/>
      <c r="C12" s="14" t="n"/>
      <c r="D12" s="14" t="n"/>
      <c r="E12" s="14" t="n"/>
      <c r="F12" s="14" t="n"/>
      <c r="G12" s="14">
        <f>'02_Assumptions'!$B$15*(1+'02_Assumptions'!$B$19)^0</f>
        <v/>
      </c>
      <c r="H12" s="14">
        <f>'02_Assumptions'!$B$15*(1+'02_Assumptions'!$B$19)^1</f>
        <v/>
      </c>
      <c r="I12" s="14">
        <f>'02_Assumptions'!$B$15*(1+'02_Assumptions'!$B$19)^2</f>
        <v/>
      </c>
    </row>
    <row r="13">
      <c r="A13" s="9" t="inlineStr">
        <is>
          <t xml:space="preserve">  Doanh thu mảng</t>
        </is>
      </c>
      <c r="B13" s="21" t="n"/>
      <c r="C13" s="21" t="n"/>
      <c r="D13" s="21" t="n">
        <v>31538</v>
      </c>
      <c r="E13" s="21" t="n">
        <v>41000</v>
      </c>
      <c r="F13" s="21" t="n">
        <v>46900</v>
      </c>
      <c r="G13" s="21">
        <f>G11*G12*12</f>
        <v/>
      </c>
      <c r="H13" s="21">
        <f>H11*H12*12</f>
        <v/>
      </c>
      <c r="I13" s="21">
        <f>I11*I12*12</f>
        <v/>
      </c>
    </row>
    <row r="14">
      <c r="A14" s="9" t="inlineStr">
        <is>
          <t>── Khac ──</t>
        </is>
      </c>
    </row>
    <row r="15">
      <c r="A15" s="20" t="inlineStr">
        <is>
          <t xml:space="preserve">  Số cửa hàng cuối kỳ</t>
        </is>
      </c>
      <c r="B15" s="12" t="n"/>
      <c r="C15" s="12" t="n"/>
      <c r="D15" s="12" t="n"/>
      <c r="E15" s="12" t="n"/>
      <c r="F15" s="12" t="n"/>
      <c r="G15" s="12">
        <f>'02_Assumptions'!G10</f>
        <v/>
      </c>
      <c r="H15" s="12">
        <f>'02_Assumptions'!H10</f>
        <v/>
      </c>
      <c r="I15" s="12">
        <f>'02_Assumptions'!I10</f>
        <v/>
      </c>
    </row>
    <row r="16">
      <c r="A16" s="20" t="inlineStr">
        <is>
          <t xml:space="preserve">  Hiệu quả DT/CH/tháng (tỷ VND)</t>
        </is>
      </c>
      <c r="B16" s="14" t="n"/>
      <c r="C16" s="14" t="n"/>
      <c r="D16" s="14" t="n"/>
      <c r="E16" s="14" t="n"/>
      <c r="F16" s="14" t="n"/>
      <c r="G16" s="14">
        <f>'02_Assumptions'!$B$16*(1+'02_Assumptions'!$B$20)^0</f>
        <v/>
      </c>
      <c r="H16" s="14">
        <f>'02_Assumptions'!$B$16*(1+'02_Assumptions'!$B$20)^1</f>
        <v/>
      </c>
      <c r="I16" s="14">
        <f>'02_Assumptions'!$B$16*(1+'02_Assumptions'!$B$20)^2</f>
        <v/>
      </c>
    </row>
    <row r="17">
      <c r="A17" s="9" t="inlineStr">
        <is>
          <t xml:space="preserve">  Doanh thu mảng</t>
        </is>
      </c>
      <c r="B17" s="21" t="n"/>
      <c r="C17" s="21" t="n"/>
      <c r="D17" s="21" t="n">
        <v>3098</v>
      </c>
      <c r="E17" s="21" t="n">
        <v>3841.2</v>
      </c>
      <c r="F17" s="21" t="n">
        <v>3566</v>
      </c>
      <c r="G17" s="21">
        <f>G15*G16*12</f>
        <v/>
      </c>
      <c r="H17" s="21">
        <f>H15*H16*12</f>
        <v/>
      </c>
      <c r="I17" s="21">
        <f>I15*I16*12</f>
        <v/>
      </c>
    </row>
    <row r="18">
      <c r="A18" s="9" t="inlineStr">
        <is>
          <t>TỔNG DOANH THU</t>
        </is>
      </c>
      <c r="B18" s="22">
        <f>B5+B9+B13+B17</f>
        <v/>
      </c>
      <c r="C18" s="22">
        <f>C5+C9+C13+C17</f>
        <v/>
      </c>
      <c r="D18" s="22">
        <f>D5+D9+D13+D17</f>
        <v/>
      </c>
      <c r="E18" s="22">
        <f>E5+E9+E13+E17</f>
        <v/>
      </c>
      <c r="F18" s="22">
        <f>F5+F9+F13+F17</f>
        <v/>
      </c>
      <c r="G18" s="22">
        <f>G5+G9+G13+G17</f>
        <v/>
      </c>
      <c r="H18" s="22">
        <f>H5+H9+H13+H17</f>
        <v/>
      </c>
      <c r="I18" s="22">
        <f>I5+I9+I13+I17</f>
        <v/>
      </c>
    </row>
    <row r="19">
      <c r="A19" s="20" t="inlineStr">
        <is>
          <t>Tăng trưởng DT YoY (%)</t>
        </is>
      </c>
      <c r="C19" s="23">
        <f>C18/B18-1</f>
        <v/>
      </c>
      <c r="D19" s="23">
        <f>D18/C18-1</f>
        <v/>
      </c>
      <c r="E19" s="23">
        <f>E18/D18-1</f>
        <v/>
      </c>
      <c r="F19" s="23">
        <f>F18/E18-1</f>
        <v/>
      </c>
      <c r="G19" s="23">
        <f>G18/F18-1</f>
        <v/>
      </c>
      <c r="H19" s="23">
        <f>H18/G18-1</f>
        <v/>
      </c>
      <c r="I19" s="23">
        <f>I18/H18-1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40" customWidth="1" min="10" max="10"/>
  </cols>
  <sheetData>
    <row r="1">
      <c r="A1" s="11" t="inlineStr">
        <is>
          <t>Chỉ tiêu (tỷ VND)</t>
        </is>
      </c>
      <c r="B1" s="11" t="inlineStr">
        <is>
          <t>2021A</t>
        </is>
      </c>
      <c r="C1" s="11" t="inlineStr">
        <is>
          <t>2022A</t>
        </is>
      </c>
      <c r="D1" s="11" t="inlineStr">
        <is>
          <t>2023A</t>
        </is>
      </c>
      <c r="E1" s="11" t="inlineStr">
        <is>
          <t>2024A</t>
        </is>
      </c>
      <c r="F1" s="11" t="inlineStr">
        <is>
          <t>2025A</t>
        </is>
      </c>
      <c r="G1" s="11" t="inlineStr">
        <is>
          <t>2026E</t>
        </is>
      </c>
      <c r="H1" s="11" t="inlineStr">
        <is>
          <t>2027F</t>
        </is>
      </c>
      <c r="I1" s="11" t="inlineStr">
        <is>
          <t>2028F</t>
        </is>
      </c>
      <c r="J1" s="11" t="inlineStr">
        <is>
          <t>Ghi chú</t>
        </is>
      </c>
    </row>
    <row r="2">
      <c r="A2" s="2" t="inlineStr">
        <is>
          <t>Doanh thu thuần</t>
        </is>
      </c>
      <c r="B2" s="24" t="n">
        <v>122958.1</v>
      </c>
      <c r="C2" s="24" t="n">
        <v>133404.8</v>
      </c>
      <c r="D2" s="24" t="n">
        <v>118279.8</v>
      </c>
      <c r="E2" s="24" t="n">
        <v>134341.2</v>
      </c>
      <c r="F2" s="24" t="n">
        <v>155928.1</v>
      </c>
      <c r="G2" s="24">
        <f>'03_Revenue_Model'!G18</f>
        <v/>
      </c>
      <c r="H2" s="24">
        <f>'03_Revenue_Model'!H18</f>
        <v/>
      </c>
      <c r="I2" s="24">
        <f>'03_Revenue_Model'!I18</f>
        <v/>
      </c>
      <c r="J2" s="25" t="inlineStr">
        <is>
          <t>Link 03_Revenue_Model</t>
        </is>
      </c>
    </row>
    <row r="3">
      <c r="A3" s="10" t="inlineStr">
        <is>
          <t xml:space="preserve">  Tăng trưởng YoY (%)</t>
        </is>
      </c>
      <c r="B3" s="23" t="n"/>
      <c r="C3" s="23" t="n">
        <v>0.08500000000000001</v>
      </c>
      <c r="D3" s="23" t="n">
        <v>-0.1134</v>
      </c>
      <c r="E3" s="23" t="n">
        <v>0.1358</v>
      </c>
      <c r="F3" s="23" t="n">
        <v>0.1607</v>
      </c>
      <c r="G3" s="23">
        <f>G2/F2-1</f>
        <v/>
      </c>
      <c r="H3" s="23">
        <f>H2/G2-1</f>
        <v/>
      </c>
      <c r="I3" s="23">
        <f>I2/H2-1</f>
        <v/>
      </c>
      <c r="J3" s="25" t="inlineStr"/>
    </row>
    <row r="4">
      <c r="A4" s="10" t="inlineStr">
        <is>
          <t>Giá vốn hàng bán</t>
        </is>
      </c>
      <c r="B4" s="12" t="n">
        <v>-95326</v>
      </c>
      <c r="C4" s="12" t="n">
        <v>-102542.7</v>
      </c>
      <c r="D4" s="12" t="n">
        <v>-95759.2</v>
      </c>
      <c r="E4" s="12" t="n">
        <v>-106841.9</v>
      </c>
      <c r="F4" s="12" t="n">
        <v>-124926.3</v>
      </c>
      <c r="G4" s="12">
        <f>-G2*(1-'02_Assumptions'!G23)</f>
        <v/>
      </c>
      <c r="H4" s="12">
        <f>-H2*(1-'02_Assumptions'!H23)</f>
        <v/>
      </c>
      <c r="I4" s="12">
        <f>-I2*(1-'02_Assumptions'!I23)</f>
        <v/>
      </c>
      <c r="J4" s="25" t="inlineStr"/>
    </row>
    <row r="5">
      <c r="A5" s="2" t="inlineStr">
        <is>
          <t>Lợi nhuận gộp</t>
        </is>
      </c>
      <c r="B5" s="21" t="n">
        <v>27632.10000000001</v>
      </c>
      <c r="C5" s="21" t="n">
        <v>30862.09999999999</v>
      </c>
      <c r="D5" s="21" t="n">
        <v>22520.60000000001</v>
      </c>
      <c r="E5" s="21" t="n">
        <v>27499.30000000002</v>
      </c>
      <c r="F5" s="21" t="n">
        <v>31001.8</v>
      </c>
      <c r="G5" s="21">
        <f>G2+G4</f>
        <v/>
      </c>
      <c r="H5" s="21">
        <f>H2+H4</f>
        <v/>
      </c>
      <c r="I5" s="21">
        <f>I2+I4</f>
        <v/>
      </c>
      <c r="J5" s="25" t="inlineStr"/>
    </row>
    <row r="6">
      <c r="A6" s="10" t="inlineStr">
        <is>
          <t xml:space="preserve">  Biên LNG (%)</t>
        </is>
      </c>
      <c r="B6" s="19" t="n">
        <v>0.2247</v>
      </c>
      <c r="C6" s="19" t="n">
        <v>0.2313</v>
      </c>
      <c r="D6" s="19" t="n">
        <v>0.1904</v>
      </c>
      <c r="E6" s="19" t="n">
        <v>0.2047</v>
      </c>
      <c r="F6" s="19" t="n">
        <v>0.1988</v>
      </c>
      <c r="G6" s="19">
        <f>G5/G2</f>
        <v/>
      </c>
      <c r="H6" s="19">
        <f>H5/H2</f>
        <v/>
      </c>
      <c r="I6" s="19">
        <f>I5/I2</f>
        <v/>
      </c>
      <c r="J6" s="25" t="inlineStr"/>
    </row>
    <row r="7">
      <c r="A7" s="10" t="inlineStr">
        <is>
          <t>Chi phí bán hàng &amp; QLDN</t>
        </is>
      </c>
      <c r="B7" s="12" t="n">
        <v>-21737.6</v>
      </c>
      <c r="C7" s="12" t="n">
        <v>-24217.8</v>
      </c>
      <c r="D7" s="12" t="n">
        <v>-22084.4</v>
      </c>
      <c r="E7" s="12" t="n">
        <v>-23415.6</v>
      </c>
      <c r="F7" s="12" t="n">
        <v>-23927</v>
      </c>
      <c r="G7" s="12">
        <f>-G2*'02_Assumptions'!G24</f>
        <v/>
      </c>
      <c r="H7" s="12">
        <f>-H2*'02_Assumptions'!H24</f>
        <v/>
      </c>
      <c r="I7" s="12">
        <f>-I2*'02_Assumptions'!I24</f>
        <v/>
      </c>
      <c r="J7" s="25" t="inlineStr"/>
    </row>
    <row r="8">
      <c r="A8" s="2" t="inlineStr">
        <is>
          <t>EBIT</t>
        </is>
      </c>
      <c r="B8" s="21" t="n">
        <v>5894.500000000004</v>
      </c>
      <c r="C8" s="21" t="n">
        <v>6644.299999999992</v>
      </c>
      <c r="D8" s="21" t="n">
        <v>436.2000000000044</v>
      </c>
      <c r="E8" s="21" t="n">
        <v>4083.700000000019</v>
      </c>
      <c r="F8" s="21" t="n">
        <v>7074.800000000003</v>
      </c>
      <c r="G8" s="21">
        <f>G5+G7</f>
        <v/>
      </c>
      <c r="H8" s="21">
        <f>H5+H7</f>
        <v/>
      </c>
      <c r="I8" s="21">
        <f>I5+I7</f>
        <v/>
      </c>
      <c r="J8" s="25" t="inlineStr"/>
    </row>
    <row r="9">
      <c r="A9" s="10" t="inlineStr">
        <is>
          <t xml:space="preserve">  Biên EBIT (%)</t>
        </is>
      </c>
      <c r="B9" s="19" t="n">
        <v>0.0479</v>
      </c>
      <c r="C9" s="19" t="n">
        <v>0.0498</v>
      </c>
      <c r="D9" s="19" t="n">
        <v>0.0037</v>
      </c>
      <c r="E9" s="19" t="n">
        <v>0.0304</v>
      </c>
      <c r="F9" s="19" t="n">
        <v>0.0454</v>
      </c>
      <c r="G9" s="19">
        <f>G8/G2</f>
        <v/>
      </c>
      <c r="H9" s="19">
        <f>H8/H2</f>
        <v/>
      </c>
      <c r="I9" s="19">
        <f>I8/I2</f>
        <v/>
      </c>
      <c r="J9" s="25" t="inlineStr"/>
    </row>
    <row r="10">
      <c r="A10" s="10" t="inlineStr">
        <is>
          <t>D&amp;A</t>
        </is>
      </c>
      <c r="B10" s="12" t="n">
        <v>2920.7</v>
      </c>
      <c r="C10" s="12" t="n">
        <v>3540.3</v>
      </c>
      <c r="D10" s="12" t="n">
        <v>3351.3</v>
      </c>
      <c r="E10" s="12" t="n">
        <v>2913.4</v>
      </c>
      <c r="F10" s="12" t="n">
        <v>1890.9</v>
      </c>
      <c r="G10" s="12">
        <f>G2*'02_Assumptions'!$B$33</f>
        <v/>
      </c>
      <c r="H10" s="12">
        <f>H2*'02_Assumptions'!$B$33</f>
        <v/>
      </c>
      <c r="I10" s="12">
        <f>I2*'02_Assumptions'!$B$33</f>
        <v/>
      </c>
      <c r="J10" s="25" t="inlineStr"/>
    </row>
    <row r="11">
      <c r="A11" s="2" t="inlineStr">
        <is>
          <t>EBITDA</t>
        </is>
      </c>
      <c r="B11" s="21" t="n">
        <v>8815.200000000004</v>
      </c>
      <c r="C11" s="21" t="n">
        <v>10184.59999999999</v>
      </c>
      <c r="D11" s="21" t="n">
        <v>3787.500000000005</v>
      </c>
      <c r="E11" s="21" t="n">
        <v>6997.100000000019</v>
      </c>
      <c r="F11" s="21" t="n">
        <v>8965.700000000003</v>
      </c>
      <c r="G11" s="21">
        <f>G8+G10</f>
        <v/>
      </c>
      <c r="H11" s="21">
        <f>H8+H10</f>
        <v/>
      </c>
      <c r="I11" s="21">
        <f>I8+I10</f>
        <v/>
      </c>
      <c r="J11" s="25" t="inlineStr"/>
    </row>
    <row r="12">
      <c r="A12" s="10" t="inlineStr">
        <is>
          <t>DT/CP tài chính ròng</t>
        </is>
      </c>
      <c r="B12" s="12" t="n">
        <v>573.3</v>
      </c>
      <c r="C12" s="12" t="n">
        <v>-69.5</v>
      </c>
      <c r="D12" s="12" t="n">
        <v>610.9</v>
      </c>
      <c r="E12" s="12" t="n">
        <v>1188</v>
      </c>
      <c r="F12" s="12" t="n">
        <v>1564.8</v>
      </c>
      <c r="G12" s="12">
        <f>G2*'02_Assumptions'!$B$26</f>
        <v/>
      </c>
      <c r="H12" s="12">
        <f>H2*'02_Assumptions'!$B$26</f>
        <v/>
      </c>
      <c r="I12" s="12">
        <f>I2*'02_Assumptions'!$B$26</f>
        <v/>
      </c>
      <c r="J12" s="25" t="inlineStr"/>
    </row>
    <row r="13">
      <c r="A13" s="2" t="inlineStr">
        <is>
          <t>Lợi nhuận trước thuế (EBT)</t>
        </is>
      </c>
      <c r="B13" s="24" t="n">
        <v>6471.6</v>
      </c>
      <c r="C13" s="24" t="n">
        <v>6056.4</v>
      </c>
      <c r="D13" s="24" t="n">
        <v>689.7</v>
      </c>
      <c r="E13" s="24" t="n">
        <v>4825.8</v>
      </c>
      <c r="F13" s="24" t="n">
        <v>8633.1</v>
      </c>
      <c r="G13" s="24">
        <f>G8+G12</f>
        <v/>
      </c>
      <c r="H13" s="24">
        <f>H8+H12</f>
        <v/>
      </c>
      <c r="I13" s="24">
        <f>I8+I12</f>
        <v/>
      </c>
      <c r="J13" s="25" t="inlineStr"/>
    </row>
    <row r="14">
      <c r="A14" s="10" t="inlineStr">
        <is>
          <t>Thuế TNDN</t>
        </is>
      </c>
      <c r="B14" s="12" t="n">
        <v>1570.2</v>
      </c>
      <c r="C14" s="12" t="n">
        <v>1954.7</v>
      </c>
      <c r="D14" s="12" t="n">
        <v>521.9</v>
      </c>
      <c r="E14" s="12" t="n">
        <v>1092.5</v>
      </c>
      <c r="F14" s="12" t="n">
        <v>1560.5</v>
      </c>
      <c r="G14" s="12">
        <f>G13*'02_Assumptions'!$B$25</f>
        <v/>
      </c>
      <c r="H14" s="12">
        <f>H13*'02_Assumptions'!$B$25</f>
        <v/>
      </c>
      <c r="I14" s="12">
        <f>I13*'02_Assumptions'!$B$25</f>
        <v/>
      </c>
      <c r="J14" s="25" t="inlineStr"/>
    </row>
    <row r="15">
      <c r="A15" s="2" t="inlineStr">
        <is>
          <t>LNST hợp nhất</t>
        </is>
      </c>
      <c r="B15" s="21" t="n">
        <v>4901.4</v>
      </c>
      <c r="C15" s="21" t="n">
        <v>4101.7</v>
      </c>
      <c r="D15" s="21" t="n">
        <v>167.8</v>
      </c>
      <c r="E15" s="21" t="n">
        <v>3733.3</v>
      </c>
      <c r="F15" s="21" t="n">
        <v>7072.6</v>
      </c>
      <c r="G15" s="21">
        <f>G13-G14</f>
        <v/>
      </c>
      <c r="H15" s="21">
        <f>H13-H14</f>
        <v/>
      </c>
      <c r="I15" s="21">
        <f>I13-I14</f>
        <v/>
      </c>
      <c r="J15" s="25" t="inlineStr"/>
    </row>
    <row r="16">
      <c r="A16" s="2" t="inlineStr">
        <is>
          <t>LNST Cổ đông Công ty mẹ</t>
        </is>
      </c>
      <c r="B16" s="21" t="n">
        <v>4898.9</v>
      </c>
      <c r="C16" s="21" t="n">
        <v>4099.8</v>
      </c>
      <c r="D16" s="21" t="n">
        <v>167.7</v>
      </c>
      <c r="E16" s="21" t="n">
        <v>3721.9</v>
      </c>
      <c r="F16" s="21" t="n">
        <v>7033.7</v>
      </c>
      <c r="G16" s="21">
        <f>G15*0.9957</f>
        <v/>
      </c>
      <c r="H16" s="21">
        <f>H15*0.9957</f>
        <v/>
      </c>
      <c r="I16" s="21">
        <f>I15*0.9957</f>
        <v/>
      </c>
      <c r="J16" s="25" t="inlineStr">
        <is>
          <t>Tỷ lệ phân bổ cổ đông mẹ ~99.6% (TB 2 năm gần nhất)</t>
        </is>
      </c>
    </row>
    <row r="17">
      <c r="A17" s="2" t="inlineStr">
        <is>
          <t>EPS (VND/CP)</t>
        </is>
      </c>
      <c r="B17" s="24" t="n">
        <v>6871</v>
      </c>
      <c r="C17" s="24" t="n">
        <v>2800</v>
      </c>
      <c r="D17" s="24" t="n">
        <v>115</v>
      </c>
      <c r="E17" s="24" t="n">
        <v>2546</v>
      </c>
      <c r="F17" s="24" t="n">
        <v>4785</v>
      </c>
      <c r="G17" s="24">
        <f>G16*1e9/('02_Assumptions'!$B$3*1e6)</f>
        <v/>
      </c>
      <c r="H17" s="24">
        <f>H16*1e9/('02_Assumptions'!$B$3*1e6)</f>
        <v/>
      </c>
      <c r="I17" s="24">
        <f>I16*1e9/('02_Assumptions'!$B$3*1e6)</f>
        <v/>
      </c>
      <c r="J17" s="25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40" customWidth="1" min="10" max="10"/>
  </cols>
  <sheetData>
    <row r="1">
      <c r="A1" s="11" t="inlineStr">
        <is>
          <t>Chỉ tiêu (tỷ VND)</t>
        </is>
      </c>
      <c r="B1" s="11" t="inlineStr">
        <is>
          <t>2021A</t>
        </is>
      </c>
      <c r="C1" s="11" t="inlineStr">
        <is>
          <t>2022A</t>
        </is>
      </c>
      <c r="D1" s="11" t="inlineStr">
        <is>
          <t>2023A</t>
        </is>
      </c>
      <c r="E1" s="11" t="inlineStr">
        <is>
          <t>2024A</t>
        </is>
      </c>
      <c r="F1" s="11" t="inlineStr">
        <is>
          <t>2025A</t>
        </is>
      </c>
      <c r="G1" s="11" t="inlineStr">
        <is>
          <t>2026E</t>
        </is>
      </c>
      <c r="H1" s="11" t="inlineStr">
        <is>
          <t>2027F</t>
        </is>
      </c>
      <c r="I1" s="11" t="inlineStr">
        <is>
          <t>2028F</t>
        </is>
      </c>
      <c r="J1" s="11" t="inlineStr">
        <is>
          <t>Ghi chú</t>
        </is>
      </c>
    </row>
    <row r="2">
      <c r="A2" s="9" t="inlineStr">
        <is>
          <t>TÀI SẢN</t>
        </is>
      </c>
    </row>
    <row r="3">
      <c r="A3" s="10" t="inlineStr">
        <is>
          <t>Tiền &amp; tương đương tiền</t>
        </is>
      </c>
      <c r="B3" s="12" t="n">
        <v>18378.6</v>
      </c>
      <c r="C3" s="12" t="n">
        <v>15130.2</v>
      </c>
      <c r="D3" s="12" t="n">
        <v>24302.7</v>
      </c>
      <c r="E3" s="12" t="n">
        <v>34221.7</v>
      </c>
      <c r="F3" s="12" t="n">
        <v>38874.2</v>
      </c>
      <c r="G3" s="12">
        <f>F3*(1+'02_Assumptions'!$B$36)</f>
        <v/>
      </c>
      <c r="H3" s="12">
        <f>G3*(1+'02_Assumptions'!$B$36)</f>
        <v/>
      </c>
      <c r="I3" s="12">
        <f>H3*(1+'02_Assumptions'!$B$36)</f>
        <v/>
      </c>
      <c r="J3" s="25" t="inlineStr"/>
    </row>
    <row r="4">
      <c r="A4" s="10" t="inlineStr">
        <is>
          <t>Hàng tồn kho</t>
        </is>
      </c>
      <c r="B4" s="12" t="n">
        <v>29167.2</v>
      </c>
      <c r="C4" s="12" t="n">
        <v>25696.1</v>
      </c>
      <c r="D4" s="12" t="n">
        <v>21824.2</v>
      </c>
      <c r="E4" s="12" t="n">
        <v>22244.7</v>
      </c>
      <c r="F4" s="12" t="n">
        <v>27266.9</v>
      </c>
      <c r="G4" s="12">
        <f>-'04_PnL'!G4*'02_Assumptions'!$B$30/365</f>
        <v/>
      </c>
      <c r="H4" s="12">
        <f>-'04_PnL'!H4*'02_Assumptions'!$B$30/365</f>
        <v/>
      </c>
      <c r="I4" s="12">
        <f>-'04_PnL'!I4*'02_Assumptions'!$B$30/365</f>
        <v/>
      </c>
      <c r="J4" s="25" t="inlineStr"/>
    </row>
    <row r="5">
      <c r="A5" s="10" t="inlineStr">
        <is>
          <t>Phải thu khách hàng</t>
        </is>
      </c>
      <c r="B5" s="12" t="n">
        <v>3162.1</v>
      </c>
      <c r="C5" s="12" t="n">
        <v>3000.8</v>
      </c>
      <c r="D5" s="12" t="n">
        <v>5158.9</v>
      </c>
      <c r="E5" s="12" t="n">
        <v>8825.9</v>
      </c>
      <c r="F5" s="12" t="n">
        <v>10182.8</v>
      </c>
      <c r="G5" s="12">
        <f>'04_PnL'!G2*'02_Assumptions'!$B$31/365</f>
        <v/>
      </c>
      <c r="H5" s="12">
        <f>'04_PnL'!H2*'02_Assumptions'!$B$31/365</f>
        <v/>
      </c>
      <c r="I5" s="12">
        <f>'04_PnL'!I2*'02_Assumptions'!$B$31/365</f>
        <v/>
      </c>
      <c r="J5" s="25" t="inlineStr"/>
    </row>
    <row r="6">
      <c r="A6" s="10" t="inlineStr">
        <is>
          <t>Tài sản khác</t>
        </is>
      </c>
      <c r="B6" s="12" t="n">
        <v>12263.5</v>
      </c>
      <c r="C6" s="12" t="n">
        <v>12007</v>
      </c>
      <c r="D6" s="12" t="n">
        <v>8825.4</v>
      </c>
      <c r="E6" s="12" t="n">
        <v>5145.5</v>
      </c>
      <c r="F6" s="12" t="n">
        <v>7621.7</v>
      </c>
      <c r="G6" s="12">
        <f>'04_PnL'!G2*0.043590653499396254</f>
        <v/>
      </c>
      <c r="H6" s="12">
        <f>'04_PnL'!H2*0.043590653499396254</f>
        <v/>
      </c>
      <c r="I6" s="12">
        <f>'04_PnL'!I2*0.043590653499396254</f>
        <v/>
      </c>
      <c r="J6" s="25" t="inlineStr"/>
    </row>
    <row r="7">
      <c r="A7" s="2" t="inlineStr">
        <is>
          <t>TỔNG TÀI SẢN</t>
        </is>
      </c>
      <c r="B7" s="26" t="n">
        <v>62971.4</v>
      </c>
      <c r="C7" s="26" t="n">
        <v>55834.1</v>
      </c>
      <c r="D7" s="26" t="n">
        <v>60111.2</v>
      </c>
      <c r="E7" s="26" t="n">
        <v>70437.8</v>
      </c>
      <c r="F7" s="26" t="n">
        <v>83945.60000000001</v>
      </c>
      <c r="G7" s="26">
        <f>G3+G4+G5+G6</f>
        <v/>
      </c>
      <c r="H7" s="26">
        <f>H3+H4+H5+H6</f>
        <v/>
      </c>
      <c r="I7" s="26">
        <f>I3+I4+I5+I6</f>
        <v/>
      </c>
      <c r="J7" s="25" t="inlineStr"/>
    </row>
    <row r="9">
      <c r="A9" s="9" t="inlineStr">
        <is>
          <t>NGUỒN VỐN</t>
        </is>
      </c>
    </row>
    <row r="10">
      <c r="A10" s="10" t="inlineStr">
        <is>
          <t>Nợ vay (NH+DH)</t>
        </is>
      </c>
      <c r="B10" s="12" t="n">
        <v>24647.5</v>
      </c>
      <c r="C10" s="12" t="n">
        <v>16589.3</v>
      </c>
      <c r="D10" s="12" t="n">
        <v>25113.7</v>
      </c>
      <c r="E10" s="12" t="n">
        <v>27300.2</v>
      </c>
      <c r="F10" s="12" t="n">
        <v>29930.9</v>
      </c>
      <c r="G10" s="12">
        <f>F10*(1+'02_Assumptions'!$B$35)</f>
        <v/>
      </c>
      <c r="H10" s="12">
        <f>G10*(1+'02_Assumptions'!$B$35)</f>
        <v/>
      </c>
      <c r="I10" s="12">
        <f>H10*(1+'02_Assumptions'!$B$35)</f>
        <v/>
      </c>
      <c r="J10" s="25" t="inlineStr"/>
    </row>
    <row r="11">
      <c r="A11" s="10" t="inlineStr">
        <is>
          <t>Phải trả người bán</t>
        </is>
      </c>
      <c r="B11" s="12" t="n">
        <v>12179.8</v>
      </c>
      <c r="C11" s="12" t="n">
        <v>8745.799999999999</v>
      </c>
      <c r="D11" s="12" t="n">
        <v>7927.1</v>
      </c>
      <c r="E11" s="12" t="n">
        <v>9179.6</v>
      </c>
      <c r="F11" s="12" t="n">
        <v>13113.9</v>
      </c>
      <c r="G11" s="12">
        <f>-'04_PnL'!G4*'02_Assumptions'!$B$32/365</f>
        <v/>
      </c>
      <c r="H11" s="12">
        <f>-'04_PnL'!H4*'02_Assumptions'!$B$32/365</f>
        <v/>
      </c>
      <c r="I11" s="12">
        <f>-'04_PnL'!I4*'02_Assumptions'!$B$32/365</f>
        <v/>
      </c>
      <c r="J11" s="25" t="inlineStr"/>
    </row>
    <row r="12">
      <c r="A12" s="2" t="inlineStr">
        <is>
          <t>Vốn chủ sở hữu</t>
        </is>
      </c>
      <c r="B12" s="24" t="n">
        <v>20378.2</v>
      </c>
      <c r="C12" s="24" t="n">
        <v>23932.6</v>
      </c>
      <c r="D12" s="24" t="n">
        <v>23359.6</v>
      </c>
      <c r="E12" s="24" t="n">
        <v>28121.6</v>
      </c>
      <c r="F12" s="24" t="n">
        <v>33176.1</v>
      </c>
      <c r="G12" s="24">
        <f>F12+'04_PnL'!G15*(1-'02_Assumptions'!$B$27)</f>
        <v/>
      </c>
      <c r="H12" s="24">
        <f>G12+'04_PnL'!H15*(1-'02_Assumptions'!$B$27)</f>
        <v/>
      </c>
      <c r="I12" s="24">
        <f>H12+'04_PnL'!I15*(1-'02_Assumptions'!$B$27)</f>
        <v/>
      </c>
      <c r="J12" s="25" t="inlineStr"/>
    </row>
    <row r="13">
      <c r="A13" s="10" t="inlineStr">
        <is>
          <t>Nợ khác (plug cân bằng)</t>
        </is>
      </c>
      <c r="B13" s="12" t="n">
        <v>5765.9</v>
      </c>
      <c r="C13" s="12" t="n">
        <v>6566.4</v>
      </c>
      <c r="D13" s="12" t="n">
        <v>3710.8</v>
      </c>
      <c r="E13" s="12" t="n">
        <v>5836.4</v>
      </c>
      <c r="F13" s="12" t="n">
        <v>7724.7</v>
      </c>
      <c r="G13" s="12">
        <f>G7-G10-G11-G12</f>
        <v/>
      </c>
      <c r="H13" s="12">
        <f>H7-H10-H11-H12</f>
        <v/>
      </c>
      <c r="I13" s="12">
        <f>I7-I10-I11-I12</f>
        <v/>
      </c>
      <c r="J13" s="25" t="inlineStr"/>
    </row>
    <row r="14">
      <c r="A14" s="2" t="inlineStr">
        <is>
          <t>TỔNG NGUỒN VỐN</t>
        </is>
      </c>
      <c r="B14" s="26" t="n">
        <v>62971.4</v>
      </c>
      <c r="C14" s="26" t="n">
        <v>55834.1</v>
      </c>
      <c r="D14" s="26" t="n">
        <v>60111.2</v>
      </c>
      <c r="E14" s="26" t="n">
        <v>70437.8</v>
      </c>
      <c r="F14" s="26" t="n">
        <v>83945.60000000001</v>
      </c>
      <c r="G14" s="26">
        <f>G10+G11+G13+G12</f>
        <v/>
      </c>
      <c r="H14" s="26">
        <f>H10+H11+H13+H12</f>
        <v/>
      </c>
      <c r="I14" s="26">
        <f>I10+I11+I13+I12</f>
        <v/>
      </c>
      <c r="J14" s="25" t="inlineStr"/>
    </row>
    <row r="16">
      <c r="A16" s="10" t="inlineStr">
        <is>
          <t>Net Debt (Nợ vay - Tiền mặt)</t>
        </is>
      </c>
      <c r="B16" s="12" t="n">
        <v>6268.9</v>
      </c>
      <c r="C16" s="12" t="n">
        <v>1459.1</v>
      </c>
      <c r="D16" s="12" t="n">
        <v>811</v>
      </c>
      <c r="E16" s="12" t="n">
        <v>-6921.5</v>
      </c>
      <c r="F16" s="12" t="n">
        <v>-8943.299999999999</v>
      </c>
      <c r="G16" s="12">
        <f>G10-G3</f>
        <v/>
      </c>
      <c r="H16" s="12">
        <f>H10-H3</f>
        <v/>
      </c>
      <c r="I16" s="12">
        <f>I10-I3</f>
        <v/>
      </c>
      <c r="J16" s="25" t="inlineStr"/>
    </row>
    <row r="17">
      <c r="A17" s="10" t="inlineStr">
        <is>
          <t>D/E (Net Debt/VCSH)</t>
        </is>
      </c>
      <c r="B17" s="17" t="n">
        <v>0.308</v>
      </c>
      <c r="C17" s="17" t="n">
        <v>0.061</v>
      </c>
      <c r="D17" s="17" t="n">
        <v>0.035</v>
      </c>
      <c r="E17" s="17" t="n">
        <v>-0.246</v>
      </c>
      <c r="F17" s="17" t="n">
        <v>-0.27</v>
      </c>
      <c r="G17" s="17">
        <f>G16/G12</f>
        <v/>
      </c>
      <c r="H17" s="17">
        <f>H16/H12</f>
        <v/>
      </c>
      <c r="I17" s="17">
        <f>I16/I12</f>
        <v/>
      </c>
      <c r="J17" s="2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40" customWidth="1" min="5" max="5"/>
  </cols>
  <sheetData>
    <row r="1">
      <c r="A1" s="11" t="inlineStr">
        <is>
          <t>Chỉ tiêu (tỷ VND)</t>
        </is>
      </c>
      <c r="B1" s="11" t="inlineStr">
        <is>
          <t>2026E</t>
        </is>
      </c>
      <c r="C1" s="11" t="inlineStr">
        <is>
          <t>2027F</t>
        </is>
      </c>
      <c r="D1" s="11" t="inlineStr">
        <is>
          <t>2028F</t>
        </is>
      </c>
      <c r="E1" s="11" t="inlineStr">
        <is>
          <t>Ghi chú</t>
        </is>
      </c>
    </row>
    <row r="2">
      <c r="A2" s="10" t="inlineStr">
        <is>
          <t>LNST hợp nhất</t>
        </is>
      </c>
      <c r="B2" s="12">
        <f>'04_PnL'!G15</f>
        <v/>
      </c>
      <c r="C2" s="12">
        <f>'04_PnL'!H15</f>
        <v/>
      </c>
      <c r="D2" s="12">
        <f>'04_PnL'!I15</f>
        <v/>
      </c>
    </row>
    <row r="3">
      <c r="A3" s="10" t="inlineStr">
        <is>
          <t>+ D&amp;A</t>
        </is>
      </c>
      <c r="B3" s="12">
        <f>'04_PnL'!G10</f>
        <v/>
      </c>
      <c r="C3" s="12">
        <f>'04_PnL'!H10</f>
        <v/>
      </c>
      <c r="D3" s="12">
        <f>'04_PnL'!I10</f>
        <v/>
      </c>
    </row>
    <row r="4">
      <c r="A4" s="10" t="inlineStr">
        <is>
          <t>+/- Thay đổi vốn lưu động</t>
        </is>
      </c>
      <c r="B4" s="12">
        <f>('05_Balance_Sheet'!F4-'05_Balance_Sheet'!G4)+('05_Balance_Sheet'!F5-'05_Balance_Sheet'!G5)+('05_Balance_Sheet'!G11-'05_Balance_Sheet'!F11)</f>
        <v/>
      </c>
      <c r="C4" s="12">
        <f>('05_Balance_Sheet'!G4-'05_Balance_Sheet'!H4)+('05_Balance_Sheet'!G5-'05_Balance_Sheet'!H5)+('05_Balance_Sheet'!H11-'05_Balance_Sheet'!G11)</f>
        <v/>
      </c>
      <c r="D4" s="12">
        <f>('05_Balance_Sheet'!H4-'05_Balance_Sheet'!I4)+('05_Balance_Sheet'!H5-'05_Balance_Sheet'!I5)+('05_Balance_Sheet'!I11-'05_Balance_Sheet'!H11)</f>
        <v/>
      </c>
    </row>
    <row r="5">
      <c r="A5" s="2" t="inlineStr">
        <is>
          <t>Dòng tiền HĐKD (CFO)</t>
        </is>
      </c>
      <c r="B5" s="21">
        <f>B2+B3+B4</f>
        <v/>
      </c>
      <c r="C5" s="21">
        <f>C2+C3+C4</f>
        <v/>
      </c>
      <c r="D5" s="21">
        <f>D2+D3+D4</f>
        <v/>
      </c>
    </row>
    <row r="6">
      <c r="A6" s="10" t="inlineStr">
        <is>
          <t>CAPEX (CFI)</t>
        </is>
      </c>
      <c r="B6" s="12">
        <f>-'04_PnL'!G2*'02_Assumptions'!$B$34</f>
        <v/>
      </c>
      <c r="C6" s="12">
        <f>-'04_PnL'!H2*'02_Assumptions'!$B$34</f>
        <v/>
      </c>
      <c r="D6" s="12">
        <f>-'04_PnL'!I2*'02_Assumptions'!$B$34</f>
        <v/>
      </c>
    </row>
    <row r="7">
      <c r="A7" s="2" t="inlineStr">
        <is>
          <t>FCFF (CFO+CAPEX)</t>
        </is>
      </c>
      <c r="B7" s="21">
        <f>B5+B6</f>
        <v/>
      </c>
      <c r="C7" s="21">
        <f>C5+C6</f>
        <v/>
      </c>
      <c r="D7" s="21">
        <f>D5+D6</f>
        <v/>
      </c>
    </row>
    <row r="8">
      <c r="A8" s="10" t="inlineStr">
        <is>
          <t>FCF Yield (%)</t>
        </is>
      </c>
      <c r="B8" s="19">
        <f>B7/'02_Assumptions'!$B$4</f>
        <v/>
      </c>
      <c r="C8" s="19">
        <f>C7/'02_Assumptions'!$B$4</f>
        <v/>
      </c>
      <c r="D8" s="19">
        <f>D7/'02_Assumptions'!$B$4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46" customWidth="1" min="5" max="5"/>
  </cols>
  <sheetData>
    <row r="1">
      <c r="A1" s="27" t="inlineStr">
        <is>
          <t>ĐỊNH GIÁ MWG — 5 PHƯƠNG PHÁP TỔNG HỢP (skill ban-le)</t>
        </is>
      </c>
    </row>
    <row r="2">
      <c r="A2" s="28" t="inlineStr">
        <is>
          <t>Chi phí vốn CSH (COE)</t>
        </is>
      </c>
      <c r="B2" s="29">
        <f>B28</f>
        <v/>
      </c>
    </row>
    <row r="3">
      <c r="A3" s="28" t="inlineStr">
        <is>
          <t>Tăng trưởng dài hạn (g)</t>
        </is>
      </c>
      <c r="B3" s="29">
        <f>B29</f>
        <v/>
      </c>
    </row>
    <row r="5">
      <c r="A5" s="30" t="inlineStr">
        <is>
          <t>Phương pháp</t>
        </is>
      </c>
      <c r="B5" s="30" t="inlineStr">
        <is>
          <t>Trọng số</t>
        </is>
      </c>
      <c r="C5" s="30" t="inlineStr">
        <is>
          <t>Giá mục tiêu (VND)</t>
        </is>
      </c>
    </row>
    <row r="6">
      <c r="A6" s="28" t="inlineStr">
        <is>
          <t>P/E Median</t>
        </is>
      </c>
      <c r="B6" s="8">
        <f>'02_Assumptions'!$B$47</f>
        <v/>
      </c>
      <c r="C6" s="4">
        <f>B20</f>
        <v/>
      </c>
    </row>
    <row r="7">
      <c r="A7" s="28" t="inlineStr">
        <is>
          <t>P/B Median</t>
        </is>
      </c>
      <c r="B7" s="8">
        <f>'02_Assumptions'!$B$48</f>
        <v/>
      </c>
      <c r="C7" s="4">
        <f>B25</f>
        <v/>
      </c>
    </row>
    <row r="8">
      <c r="A8" s="28" t="inlineStr">
        <is>
          <t>Residual Income (cả công ty)</t>
        </is>
      </c>
      <c r="B8" s="8">
        <f>'02_Assumptions'!$B$49</f>
        <v/>
      </c>
      <c r="C8" s="4">
        <f>B39</f>
        <v/>
      </c>
    </row>
    <row r="9">
      <c r="A9" s="28" t="inlineStr">
        <is>
          <t>P/S+P/E theo mảng</t>
        </is>
      </c>
      <c r="B9" s="8">
        <f>'02_Assumptions'!$B$50</f>
        <v/>
      </c>
      <c r="C9" s="4">
        <f>B46</f>
        <v/>
      </c>
    </row>
    <row r="10">
      <c r="A10" s="28" t="inlineStr">
        <is>
          <t>P/S+P/B theo mảng</t>
        </is>
      </c>
      <c r="B10" s="8">
        <f>'02_Assumptions'!$B$51</f>
        <v/>
      </c>
      <c r="C10" s="4">
        <f>B51</f>
        <v/>
      </c>
    </row>
    <row r="12">
      <c r="A12" s="31" t="inlineStr">
        <is>
          <t>GIÁ MỤC TIÊU (bình quân trọng số)</t>
        </is>
      </c>
      <c r="C12" s="32">
        <f>SUMPRODUCT(B6:B10,C6:C10)</f>
        <v/>
      </c>
    </row>
    <row r="13">
      <c r="A13" s="28" t="inlineStr">
        <is>
          <t>Giá hiện tại</t>
        </is>
      </c>
      <c r="C13" s="4">
        <f>'02_Assumptions'!$B$2</f>
        <v/>
      </c>
    </row>
    <row r="14">
      <c r="A14" s="31" t="inlineStr">
        <is>
          <t>Upside/Downside</t>
        </is>
      </c>
      <c r="C14" s="33">
        <f>C12/C13-1</f>
        <v/>
      </c>
    </row>
    <row r="17">
      <c r="A17" s="31" t="inlineStr">
        <is>
          <t>1) P/E MEDIAN (trọng số 20%)</t>
        </is>
      </c>
    </row>
    <row r="18">
      <c r="A18" s="28" t="inlineStr">
        <is>
          <t>P/E median lịch sử (x)</t>
        </is>
      </c>
      <c r="B18" s="6">
        <f>'02_Assumptions'!$B$39</f>
        <v/>
      </c>
    </row>
    <row r="19">
      <c r="A19" s="28" t="inlineStr">
        <is>
          <t>EPS 2026E (VND/CP)</t>
        </is>
      </c>
      <c r="B19" s="4">
        <f>'04_PnL'!G17</f>
        <v/>
      </c>
    </row>
    <row r="20">
      <c r="A20" s="31" t="inlineStr">
        <is>
          <t>→ P/E Target Price</t>
        </is>
      </c>
      <c r="B20" s="34">
        <f>B18*B19</f>
        <v/>
      </c>
    </row>
    <row r="22">
      <c r="A22" s="31" t="inlineStr">
        <is>
          <t>2) P/B MEDIAN (trọng số 20%)</t>
        </is>
      </c>
    </row>
    <row r="23">
      <c r="A23" s="28" t="inlineStr">
        <is>
          <t>P/B median lịch sử (x)</t>
        </is>
      </c>
      <c r="B23" s="6">
        <f>'02_Assumptions'!$B$40</f>
        <v/>
      </c>
    </row>
    <row r="24">
      <c r="A24" s="28" t="inlineStr">
        <is>
          <t>BVPS 2026E (VND/CP)</t>
        </is>
      </c>
      <c r="B24" s="4">
        <f>'05_Balance_Sheet'!G12*1e9/('02_Assumptions'!$B$3*1e6)</f>
        <v/>
      </c>
    </row>
    <row r="25">
      <c r="A25" s="31" t="inlineStr">
        <is>
          <t>→ P/B Target Price</t>
        </is>
      </c>
      <c r="B25" s="34">
        <f>B23*B24</f>
        <v/>
      </c>
    </row>
    <row r="27">
      <c r="A27" s="31" t="inlineStr">
        <is>
          <t>3) RESIDUAL INCOME — cả công ty (trọng số 10%)</t>
        </is>
      </c>
    </row>
    <row r="28">
      <c r="A28" s="28" t="inlineStr">
        <is>
          <t>Chi phí vốn CSH (COE)</t>
        </is>
      </c>
      <c r="B28" s="29">
        <f>'02_Assumptions'!$B$45</f>
        <v/>
      </c>
    </row>
    <row r="29">
      <c r="A29" s="28" t="inlineStr">
        <is>
          <t>Tăng trưởng dài hạn (g)</t>
        </is>
      </c>
      <c r="B29" s="29">
        <f>'02_Assumptions'!$B$46</f>
        <v/>
      </c>
    </row>
    <row r="30">
      <c r="A30" s="28" t="inlineStr">
        <is>
          <t>BVPS hiện tại (gốc)</t>
        </is>
      </c>
      <c r="B30" s="4">
        <f>'05_Balance_Sheet'!F12*1e9/('02_Assumptions'!$B$3*1e6)</f>
        <v/>
      </c>
    </row>
    <row r="31">
      <c r="A31" s="28" t="inlineStr">
        <is>
          <t>EPS dự phóng 3 năm (VND)</t>
        </is>
      </c>
      <c r="B31" s="4">
        <f>'04_PnL'!G17</f>
        <v/>
      </c>
      <c r="C31" s="4">
        <f>'04_PnL'!H17</f>
        <v/>
      </c>
      <c r="D31" s="4">
        <f>'04_PnL'!I17</f>
        <v/>
      </c>
    </row>
    <row r="32">
      <c r="A32" s="28" t="inlineStr">
        <is>
          <t>BVPS đầu kỳ mỗi năm (VND)</t>
        </is>
      </c>
      <c r="B32" s="4">
        <f>B30</f>
        <v/>
      </c>
      <c r="C32" s="4">
        <f>B32+B31*(1-'02_Assumptions'!$B$27)</f>
        <v/>
      </c>
      <c r="D32" s="4">
        <f>C32+C31*(1-'02_Assumptions'!$B$27)</f>
        <v/>
      </c>
    </row>
    <row r="33">
      <c r="A33" s="28" t="inlineStr">
        <is>
          <t>Capital Charge (BVPS đầu kỳ × COE)</t>
        </is>
      </c>
      <c r="B33" s="4">
        <f>B32*$B$28</f>
        <v/>
      </c>
      <c r="C33" s="4">
        <f>C32*$B$28</f>
        <v/>
      </c>
      <c r="D33" s="4">
        <f>D32*$B$28</f>
        <v/>
      </c>
    </row>
    <row r="34">
      <c r="A34" s="28" t="inlineStr">
        <is>
          <t>Residual Income (EPS - Capital Charge)</t>
        </is>
      </c>
      <c r="B34" s="4">
        <f>B31-B33</f>
        <v/>
      </c>
      <c r="C34" s="4">
        <f>C31-C33</f>
        <v/>
      </c>
      <c r="D34" s="4">
        <f>D31-D33</f>
        <v/>
      </c>
    </row>
    <row r="35">
      <c r="A35" s="28" t="inlineStr">
        <is>
          <t>PV of RI</t>
        </is>
      </c>
      <c r="B35" s="4">
        <f>B34/(1+$B$28)^1</f>
        <v/>
      </c>
      <c r="C35" s="4">
        <f>C34/(1+$B$28)^2</f>
        <v/>
      </c>
      <c r="D35" s="4">
        <f>D34/(1+$B$28)^3</f>
        <v/>
      </c>
    </row>
    <row r="36">
      <c r="A36" s="28" t="inlineStr">
        <is>
          <t>Tổng PV(RI)</t>
        </is>
      </c>
      <c r="B36" s="4">
        <f>SUM(B35:D35)</f>
        <v/>
      </c>
    </row>
    <row r="37">
      <c r="A37" s="28" t="inlineStr">
        <is>
          <t>Continuing Value (CV)</t>
        </is>
      </c>
      <c r="B37" s="4">
        <f>D34*(1+$B$29)/($B$28-$B$29)</f>
        <v/>
      </c>
    </row>
    <row r="38">
      <c r="A38" s="28" t="inlineStr">
        <is>
          <t>PV of CV</t>
        </is>
      </c>
      <c r="B38" s="4">
        <f>B37/(1+$B$28)^3</f>
        <v/>
      </c>
    </row>
    <row r="39">
      <c r="A39" s="31" t="inlineStr">
        <is>
          <t>→ RI Target Price</t>
        </is>
      </c>
      <c r="B39" s="34">
        <f>B30+B36+B38</f>
        <v/>
      </c>
    </row>
    <row r="41">
      <c r="A41" s="31" t="inlineStr">
        <is>
          <t>4) P/S + P/E theo mảng (trọng số 35%) — TGDĐ, ĐMX, BHX</t>
        </is>
      </c>
    </row>
    <row r="42">
      <c r="A42" s="30" t="inlineStr">
        <is>
          <t>Mảng</t>
        </is>
      </c>
      <c r="B42" s="30" t="inlineStr">
        <is>
          <t>DT 2026E (tỷ)</t>
        </is>
      </c>
      <c r="C42" s="30" t="inlineStr">
        <is>
          <t>Biên LNST (%)</t>
        </is>
      </c>
      <c r="D42" s="30" t="inlineStr">
        <is>
          <t>P/E áp dụng (x)</t>
        </is>
      </c>
    </row>
    <row r="43">
      <c r="A43" s="28" t="inlineStr">
        <is>
          <t>TGDD</t>
        </is>
      </c>
      <c r="B43" s="4">
        <f>'03_Revenue_Model'!G5</f>
        <v/>
      </c>
      <c r="C43" s="29" t="n">
        <v>0.045</v>
      </c>
      <c r="D43" s="6" t="n">
        <v>14</v>
      </c>
    </row>
    <row r="44">
      <c r="A44" s="28" t="inlineStr">
        <is>
          <t>DMX</t>
        </is>
      </c>
      <c r="B44" s="4">
        <f>'03_Revenue_Model'!G9</f>
        <v/>
      </c>
      <c r="C44" s="29" t="n">
        <v>0.04</v>
      </c>
      <c r="D44" s="6" t="n">
        <v>14</v>
      </c>
    </row>
    <row r="45">
      <c r="A45" s="28" t="inlineStr">
        <is>
          <t>BHX</t>
        </is>
      </c>
      <c r="B45" s="4">
        <f>'03_Revenue_Model'!G13</f>
        <v/>
      </c>
      <c r="C45" s="29" t="n">
        <v>0.02</v>
      </c>
      <c r="D45" s="6" t="n">
        <v>16</v>
      </c>
    </row>
    <row r="46">
      <c r="A46" s="31" t="inlineStr">
        <is>
          <t>→ P/S+P/E Target Price (tổng giá trị mảng / SL CP)</t>
        </is>
      </c>
      <c r="B46" s="34">
        <f>(B43*C43*D43+B44*C44*D44+B45*C45*D45)*1e9/('02_Assumptions'!$B$3*1e6)</f>
        <v/>
      </c>
    </row>
    <row r="48">
      <c r="A48" s="31" t="inlineStr">
        <is>
          <t>5) P/S + P/B theo mảng (trọng số 15%) — Khác (An Khang/AvaKids/EraBlue)</t>
        </is>
      </c>
    </row>
    <row r="49">
      <c r="A49" s="30" t="inlineStr">
        <is>
          <t>Mảng</t>
        </is>
      </c>
      <c r="B49" s="30" t="inlineStr">
        <is>
          <t>DT 2026E (tỷ)</t>
        </is>
      </c>
      <c r="C49" s="30" t="inlineStr">
        <is>
          <t>Biên LNST (%)</t>
        </is>
      </c>
      <c r="D49" s="30" t="inlineStr">
        <is>
          <t>P/B áp dụng (x)</t>
        </is>
      </c>
    </row>
    <row r="50">
      <c r="A50" s="28" t="inlineStr">
        <is>
          <t>Khac</t>
        </is>
      </c>
      <c r="B50" s="4">
        <f>'03_Revenue_Model'!G17</f>
        <v/>
      </c>
      <c r="C50" s="29" t="n">
        <v>0.01</v>
      </c>
      <c r="D50" s="6">
        <f>'02_Assumptions'!$B$40</f>
        <v/>
      </c>
    </row>
    <row r="51">
      <c r="A51" s="31" t="inlineStr">
        <is>
          <t>→ P/S+P/B Target Price (tổng giá trị mảng / SL CP)</t>
        </is>
      </c>
      <c r="B51" s="34">
        <f>(B50*C50/0.1360*D50)*1e9/('02_Assumptions'!$B$3*1e6)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35" t="inlineStr">
        <is>
          <t>MA TRẬN NHẠY CẢM: P/E × EPS 2026E</t>
        </is>
      </c>
    </row>
    <row r="2">
      <c r="A2" s="36" t="inlineStr">
        <is>
          <t>P/E \ EPS</t>
        </is>
      </c>
      <c r="B2" s="37">
        <f>'07_Valuation'!$B$19*(1+-0.1)</f>
        <v/>
      </c>
      <c r="C2" s="37">
        <f>'07_Valuation'!$B$19*(1+-0.05)</f>
        <v/>
      </c>
      <c r="D2" s="37">
        <f>'07_Valuation'!$B$19*(1+0)</f>
        <v/>
      </c>
      <c r="E2" s="37">
        <f>'07_Valuation'!$B$19*(1+0.05)</f>
        <v/>
      </c>
      <c r="F2" s="37">
        <f>'07_Valuation'!$B$19*(1+0.1)</f>
        <v/>
      </c>
    </row>
    <row r="3">
      <c r="A3" s="38">
        <f>'07_Valuation'!$B$18+-2</f>
        <v/>
      </c>
      <c r="B3" s="39">
        <f>$A3*B$2</f>
        <v/>
      </c>
      <c r="C3" s="39">
        <f>$A3*C$2</f>
        <v/>
      </c>
      <c r="D3" s="39">
        <f>$A3*D$2</f>
        <v/>
      </c>
      <c r="E3" s="39">
        <f>$A3*E$2</f>
        <v/>
      </c>
      <c r="F3" s="39">
        <f>$A3*F$2</f>
        <v/>
      </c>
    </row>
    <row r="4">
      <c r="A4" s="38">
        <f>'07_Valuation'!$B$18+-1</f>
        <v/>
      </c>
      <c r="B4" s="39">
        <f>$A4*B$2</f>
        <v/>
      </c>
      <c r="C4" s="39">
        <f>$A4*C$2</f>
        <v/>
      </c>
      <c r="D4" s="39">
        <f>$A4*D$2</f>
        <v/>
      </c>
      <c r="E4" s="39">
        <f>$A4*E$2</f>
        <v/>
      </c>
      <c r="F4" s="39">
        <f>$A4*F$2</f>
        <v/>
      </c>
    </row>
    <row r="5">
      <c r="A5" s="38">
        <f>'07_Valuation'!$B$18+0</f>
        <v/>
      </c>
      <c r="B5" s="39">
        <f>$A5*B$2</f>
        <v/>
      </c>
      <c r="C5" s="39">
        <f>$A5*C$2</f>
        <v/>
      </c>
      <c r="D5" s="39">
        <f>$A5*D$2</f>
        <v/>
      </c>
      <c r="E5" s="39">
        <f>$A5*E$2</f>
        <v/>
      </c>
      <c r="F5" s="39">
        <f>$A5*F$2</f>
        <v/>
      </c>
    </row>
    <row r="6">
      <c r="A6" s="38">
        <f>'07_Valuation'!$B$18+1</f>
        <v/>
      </c>
      <c r="B6" s="39">
        <f>$A6*B$2</f>
        <v/>
      </c>
      <c r="C6" s="39">
        <f>$A6*C$2</f>
        <v/>
      </c>
      <c r="D6" s="39">
        <f>$A6*D$2</f>
        <v/>
      </c>
      <c r="E6" s="39">
        <f>$A6*E$2</f>
        <v/>
      </c>
      <c r="F6" s="39">
        <f>$A6*F$2</f>
        <v/>
      </c>
    </row>
    <row r="7">
      <c r="A7" s="38">
        <f>'07_Valuation'!$B$18+2</f>
        <v/>
      </c>
      <c r="B7" s="39">
        <f>$A7*B$2</f>
        <v/>
      </c>
      <c r="C7" s="39">
        <f>$A7*C$2</f>
        <v/>
      </c>
      <c r="D7" s="39">
        <f>$A7*D$2</f>
        <v/>
      </c>
      <c r="E7" s="39">
        <f>$A7*E$2</f>
        <v/>
      </c>
      <c r="F7" s="39">
        <f>$A7*F$2</f>
        <v/>
      </c>
    </row>
    <row r="10">
      <c r="A10" s="35" t="inlineStr">
        <is>
          <t>MA TRẬN NHẠY CẢM: P/B × BVPS 2026E</t>
        </is>
      </c>
    </row>
    <row r="11">
      <c r="A11" s="36" t="inlineStr">
        <is>
          <t>P/B \ BVPS</t>
        </is>
      </c>
      <c r="B11" s="37">
        <f>'07_Valuation'!$B$24*(1+-0.1)</f>
        <v/>
      </c>
      <c r="C11" s="37">
        <f>'07_Valuation'!$B$24*(1+-0.05)</f>
        <v/>
      </c>
      <c r="D11" s="37">
        <f>'07_Valuation'!$B$24*(1+0)</f>
        <v/>
      </c>
      <c r="E11" s="37">
        <f>'07_Valuation'!$B$24*(1+0.05)</f>
        <v/>
      </c>
      <c r="F11" s="37">
        <f>'07_Valuation'!$B$24*(1+0.1)</f>
        <v/>
      </c>
    </row>
    <row r="12">
      <c r="A12" s="38">
        <f>'07_Valuation'!$B$23+-0.5</f>
        <v/>
      </c>
      <c r="B12" s="39">
        <f>$A12*B$11</f>
        <v/>
      </c>
      <c r="C12" s="39">
        <f>$A12*C$11</f>
        <v/>
      </c>
      <c r="D12" s="39">
        <f>$A12*D$11</f>
        <v/>
      </c>
      <c r="E12" s="39">
        <f>$A12*E$11</f>
        <v/>
      </c>
      <c r="F12" s="39">
        <f>$A12*F$11</f>
        <v/>
      </c>
    </row>
    <row r="13">
      <c r="A13" s="38">
        <f>'07_Valuation'!$B$23+-0.25</f>
        <v/>
      </c>
      <c r="B13" s="39">
        <f>$A13*B$11</f>
        <v/>
      </c>
      <c r="C13" s="39">
        <f>$A13*C$11</f>
        <v/>
      </c>
      <c r="D13" s="39">
        <f>$A13*D$11</f>
        <v/>
      </c>
      <c r="E13" s="39">
        <f>$A13*E$11</f>
        <v/>
      </c>
      <c r="F13" s="39">
        <f>$A13*F$11</f>
        <v/>
      </c>
    </row>
    <row r="14">
      <c r="A14" s="38">
        <f>'07_Valuation'!$B$23+0</f>
        <v/>
      </c>
      <c r="B14" s="39">
        <f>$A14*B$11</f>
        <v/>
      </c>
      <c r="C14" s="39">
        <f>$A14*C$11</f>
        <v/>
      </c>
      <c r="D14" s="39">
        <f>$A14*D$11</f>
        <v/>
      </c>
      <c r="E14" s="39">
        <f>$A14*E$11</f>
        <v/>
      </c>
      <c r="F14" s="39">
        <f>$A14*F$11</f>
        <v/>
      </c>
    </row>
    <row r="15">
      <c r="A15" s="38">
        <f>'07_Valuation'!$B$23+0.25</f>
        <v/>
      </c>
      <c r="B15" s="39">
        <f>$A15*B$11</f>
        <v/>
      </c>
      <c r="C15" s="39">
        <f>$A15*C$11</f>
        <v/>
      </c>
      <c r="D15" s="39">
        <f>$A15*D$11</f>
        <v/>
      </c>
      <c r="E15" s="39">
        <f>$A15*E$11</f>
        <v/>
      </c>
      <c r="F15" s="39">
        <f>$A15*F$11</f>
        <v/>
      </c>
    </row>
    <row r="16">
      <c r="A16" s="38">
        <f>'07_Valuation'!$B$23+0.5</f>
        <v/>
      </c>
      <c r="B16" s="39">
        <f>$A16*B$11</f>
        <v/>
      </c>
      <c r="C16" s="39">
        <f>$A16*C$11</f>
        <v/>
      </c>
      <c r="D16" s="39">
        <f>$A16*D$11</f>
        <v/>
      </c>
      <c r="E16" s="39">
        <f>$A16*E$11</f>
        <v/>
      </c>
      <c r="F16" s="39">
        <f>$A16*F$11</f>
        <v/>
      </c>
    </row>
  </sheetData>
  <mergeCells count="2">
    <mergeCell ref="A1:F1"/>
    <mergeCell ref="A10:F10"/>
  </mergeCells>
  <conditionalFormatting sqref="B3">
    <cfRule type="cellIs" priority="1" operator="lessThan" dxfId="0">
      <formula>'02_Assumptions'!$B$2</formula>
    </cfRule>
    <cfRule type="cellIs" priority="2" operator="greaterThan" dxfId="1">
      <formula>'07_Valuation'!$C$12</formula>
    </cfRule>
  </conditionalFormatting>
  <conditionalFormatting sqref="C3">
    <cfRule type="cellIs" priority="3" operator="lessThan" dxfId="0">
      <formula>'02_Assumptions'!$B$2</formula>
    </cfRule>
    <cfRule type="cellIs" priority="4" operator="greaterThan" dxfId="1">
      <formula>'07_Valuation'!$C$12</formula>
    </cfRule>
  </conditionalFormatting>
  <conditionalFormatting sqref="D3">
    <cfRule type="cellIs" priority="5" operator="lessThan" dxfId="0">
      <formula>'02_Assumptions'!$B$2</formula>
    </cfRule>
    <cfRule type="cellIs" priority="6" operator="greaterThan" dxfId="1">
      <formula>'07_Valuation'!$C$12</formula>
    </cfRule>
  </conditionalFormatting>
  <conditionalFormatting sqref="E3">
    <cfRule type="cellIs" priority="7" operator="lessThan" dxfId="0">
      <formula>'02_Assumptions'!$B$2</formula>
    </cfRule>
    <cfRule type="cellIs" priority="8" operator="greaterThan" dxfId="1">
      <formula>'07_Valuation'!$C$12</formula>
    </cfRule>
  </conditionalFormatting>
  <conditionalFormatting sqref="F3">
    <cfRule type="cellIs" priority="9" operator="lessThan" dxfId="0">
      <formula>'02_Assumptions'!$B$2</formula>
    </cfRule>
    <cfRule type="cellIs" priority="10" operator="greaterThan" dxfId="1">
      <formula>'07_Valuation'!$C$12</formula>
    </cfRule>
  </conditionalFormatting>
  <conditionalFormatting sqref="B4">
    <cfRule type="cellIs" priority="11" operator="lessThan" dxfId="0">
      <formula>'02_Assumptions'!$B$2</formula>
    </cfRule>
    <cfRule type="cellIs" priority="12" operator="greaterThan" dxfId="1">
      <formula>'07_Valuation'!$C$12</formula>
    </cfRule>
  </conditionalFormatting>
  <conditionalFormatting sqref="C4">
    <cfRule type="cellIs" priority="13" operator="lessThan" dxfId="0">
      <formula>'02_Assumptions'!$B$2</formula>
    </cfRule>
    <cfRule type="cellIs" priority="14" operator="greaterThan" dxfId="1">
      <formula>'07_Valuation'!$C$12</formula>
    </cfRule>
  </conditionalFormatting>
  <conditionalFormatting sqref="D4">
    <cfRule type="cellIs" priority="15" operator="lessThan" dxfId="0">
      <formula>'02_Assumptions'!$B$2</formula>
    </cfRule>
    <cfRule type="cellIs" priority="16" operator="greaterThan" dxfId="1">
      <formula>'07_Valuation'!$C$12</formula>
    </cfRule>
  </conditionalFormatting>
  <conditionalFormatting sqref="E4">
    <cfRule type="cellIs" priority="17" operator="lessThan" dxfId="0">
      <formula>'02_Assumptions'!$B$2</formula>
    </cfRule>
    <cfRule type="cellIs" priority="18" operator="greaterThan" dxfId="1">
      <formula>'07_Valuation'!$C$12</formula>
    </cfRule>
  </conditionalFormatting>
  <conditionalFormatting sqref="F4">
    <cfRule type="cellIs" priority="19" operator="lessThan" dxfId="0">
      <formula>'02_Assumptions'!$B$2</formula>
    </cfRule>
    <cfRule type="cellIs" priority="20" operator="greaterThan" dxfId="1">
      <formula>'07_Valuation'!$C$12</formula>
    </cfRule>
  </conditionalFormatting>
  <conditionalFormatting sqref="B5">
    <cfRule type="cellIs" priority="21" operator="lessThan" dxfId="0">
      <formula>'02_Assumptions'!$B$2</formula>
    </cfRule>
    <cfRule type="cellIs" priority="22" operator="greaterThan" dxfId="1">
      <formula>'07_Valuation'!$C$12</formula>
    </cfRule>
  </conditionalFormatting>
  <conditionalFormatting sqref="C5">
    <cfRule type="cellIs" priority="23" operator="lessThan" dxfId="0">
      <formula>'02_Assumptions'!$B$2</formula>
    </cfRule>
    <cfRule type="cellIs" priority="24" operator="greaterThan" dxfId="1">
      <formula>'07_Valuation'!$C$12</formula>
    </cfRule>
  </conditionalFormatting>
  <conditionalFormatting sqref="D5">
    <cfRule type="cellIs" priority="25" operator="lessThan" dxfId="0">
      <formula>'02_Assumptions'!$B$2</formula>
    </cfRule>
    <cfRule type="cellIs" priority="26" operator="greaterThan" dxfId="1">
      <formula>'07_Valuation'!$C$12</formula>
    </cfRule>
  </conditionalFormatting>
  <conditionalFormatting sqref="E5">
    <cfRule type="cellIs" priority="27" operator="lessThan" dxfId="0">
      <formula>'02_Assumptions'!$B$2</formula>
    </cfRule>
    <cfRule type="cellIs" priority="28" operator="greaterThan" dxfId="1">
      <formula>'07_Valuation'!$C$12</formula>
    </cfRule>
  </conditionalFormatting>
  <conditionalFormatting sqref="F5">
    <cfRule type="cellIs" priority="29" operator="lessThan" dxfId="0">
      <formula>'02_Assumptions'!$B$2</formula>
    </cfRule>
    <cfRule type="cellIs" priority="30" operator="greaterThan" dxfId="1">
      <formula>'07_Valuation'!$C$12</formula>
    </cfRule>
  </conditionalFormatting>
  <conditionalFormatting sqref="B6">
    <cfRule type="cellIs" priority="31" operator="lessThan" dxfId="0">
      <formula>'02_Assumptions'!$B$2</formula>
    </cfRule>
    <cfRule type="cellIs" priority="32" operator="greaterThan" dxfId="1">
      <formula>'07_Valuation'!$C$12</formula>
    </cfRule>
  </conditionalFormatting>
  <conditionalFormatting sqref="C6">
    <cfRule type="cellIs" priority="33" operator="lessThan" dxfId="0">
      <formula>'02_Assumptions'!$B$2</formula>
    </cfRule>
    <cfRule type="cellIs" priority="34" operator="greaterThan" dxfId="1">
      <formula>'07_Valuation'!$C$12</formula>
    </cfRule>
  </conditionalFormatting>
  <conditionalFormatting sqref="D6">
    <cfRule type="cellIs" priority="35" operator="lessThan" dxfId="0">
      <formula>'02_Assumptions'!$B$2</formula>
    </cfRule>
    <cfRule type="cellIs" priority="36" operator="greaterThan" dxfId="1">
      <formula>'07_Valuation'!$C$12</formula>
    </cfRule>
  </conditionalFormatting>
  <conditionalFormatting sqref="E6">
    <cfRule type="cellIs" priority="37" operator="lessThan" dxfId="0">
      <formula>'02_Assumptions'!$B$2</formula>
    </cfRule>
    <cfRule type="cellIs" priority="38" operator="greaterThan" dxfId="1">
      <formula>'07_Valuation'!$C$12</formula>
    </cfRule>
  </conditionalFormatting>
  <conditionalFormatting sqref="F6">
    <cfRule type="cellIs" priority="39" operator="lessThan" dxfId="0">
      <formula>'02_Assumptions'!$B$2</formula>
    </cfRule>
    <cfRule type="cellIs" priority="40" operator="greaterThan" dxfId="1">
      <formula>'07_Valuation'!$C$12</formula>
    </cfRule>
  </conditionalFormatting>
  <conditionalFormatting sqref="B7">
    <cfRule type="cellIs" priority="41" operator="lessThan" dxfId="0">
      <formula>'02_Assumptions'!$B$2</formula>
    </cfRule>
    <cfRule type="cellIs" priority="42" operator="greaterThan" dxfId="1">
      <formula>'07_Valuation'!$C$12</formula>
    </cfRule>
  </conditionalFormatting>
  <conditionalFormatting sqref="C7">
    <cfRule type="cellIs" priority="43" operator="lessThan" dxfId="0">
      <formula>'02_Assumptions'!$B$2</formula>
    </cfRule>
    <cfRule type="cellIs" priority="44" operator="greaterThan" dxfId="1">
      <formula>'07_Valuation'!$C$12</formula>
    </cfRule>
  </conditionalFormatting>
  <conditionalFormatting sqref="D7">
    <cfRule type="cellIs" priority="45" operator="lessThan" dxfId="0">
      <formula>'02_Assumptions'!$B$2</formula>
    </cfRule>
    <cfRule type="cellIs" priority="46" operator="greaterThan" dxfId="1">
      <formula>'07_Valuation'!$C$12</formula>
    </cfRule>
  </conditionalFormatting>
  <conditionalFormatting sqref="E7">
    <cfRule type="cellIs" priority="47" operator="lessThan" dxfId="0">
      <formula>'02_Assumptions'!$B$2</formula>
    </cfRule>
    <cfRule type="cellIs" priority="48" operator="greaterThan" dxfId="1">
      <formula>'07_Valuation'!$C$12</formula>
    </cfRule>
  </conditionalFormatting>
  <conditionalFormatting sqref="F7">
    <cfRule type="cellIs" priority="49" operator="lessThan" dxfId="0">
      <formula>'02_Assumptions'!$B$2</formula>
    </cfRule>
    <cfRule type="cellIs" priority="50" operator="greaterThan" dxfId="1">
      <formula>'07_Valuation'!$C$12</formula>
    </cfRule>
  </conditionalFormatting>
  <conditionalFormatting sqref="B12">
    <cfRule type="cellIs" priority="51" operator="lessThan" dxfId="0">
      <formula>'02_Assumptions'!$B$2</formula>
    </cfRule>
    <cfRule type="cellIs" priority="52" operator="greaterThan" dxfId="1">
      <formula>'07_Valuation'!$C$12</formula>
    </cfRule>
  </conditionalFormatting>
  <conditionalFormatting sqref="C12">
    <cfRule type="cellIs" priority="53" operator="lessThan" dxfId="0">
      <formula>'02_Assumptions'!$B$2</formula>
    </cfRule>
    <cfRule type="cellIs" priority="54" operator="greaterThan" dxfId="1">
      <formula>'07_Valuation'!$C$12</formula>
    </cfRule>
  </conditionalFormatting>
  <conditionalFormatting sqref="D12">
    <cfRule type="cellIs" priority="55" operator="lessThan" dxfId="0">
      <formula>'02_Assumptions'!$B$2</formula>
    </cfRule>
    <cfRule type="cellIs" priority="56" operator="greaterThan" dxfId="1">
      <formula>'07_Valuation'!$C$12</formula>
    </cfRule>
  </conditionalFormatting>
  <conditionalFormatting sqref="E12">
    <cfRule type="cellIs" priority="57" operator="lessThan" dxfId="0">
      <formula>'02_Assumptions'!$B$2</formula>
    </cfRule>
    <cfRule type="cellIs" priority="58" operator="greaterThan" dxfId="1">
      <formula>'07_Valuation'!$C$12</formula>
    </cfRule>
  </conditionalFormatting>
  <conditionalFormatting sqref="F12">
    <cfRule type="cellIs" priority="59" operator="lessThan" dxfId="0">
      <formula>'02_Assumptions'!$B$2</formula>
    </cfRule>
    <cfRule type="cellIs" priority="60" operator="greaterThan" dxfId="1">
      <formula>'07_Valuation'!$C$12</formula>
    </cfRule>
  </conditionalFormatting>
  <conditionalFormatting sqref="B13">
    <cfRule type="cellIs" priority="61" operator="lessThan" dxfId="0">
      <formula>'02_Assumptions'!$B$2</formula>
    </cfRule>
    <cfRule type="cellIs" priority="62" operator="greaterThan" dxfId="1">
      <formula>'07_Valuation'!$C$12</formula>
    </cfRule>
  </conditionalFormatting>
  <conditionalFormatting sqref="C13">
    <cfRule type="cellIs" priority="63" operator="lessThan" dxfId="0">
      <formula>'02_Assumptions'!$B$2</formula>
    </cfRule>
    <cfRule type="cellIs" priority="64" operator="greaterThan" dxfId="1">
      <formula>'07_Valuation'!$C$12</formula>
    </cfRule>
  </conditionalFormatting>
  <conditionalFormatting sqref="D13">
    <cfRule type="cellIs" priority="65" operator="lessThan" dxfId="0">
      <formula>'02_Assumptions'!$B$2</formula>
    </cfRule>
    <cfRule type="cellIs" priority="66" operator="greaterThan" dxfId="1">
      <formula>'07_Valuation'!$C$12</formula>
    </cfRule>
  </conditionalFormatting>
  <conditionalFormatting sqref="E13">
    <cfRule type="cellIs" priority="67" operator="lessThan" dxfId="0">
      <formula>'02_Assumptions'!$B$2</formula>
    </cfRule>
    <cfRule type="cellIs" priority="68" operator="greaterThan" dxfId="1">
      <formula>'07_Valuation'!$C$12</formula>
    </cfRule>
  </conditionalFormatting>
  <conditionalFormatting sqref="F13">
    <cfRule type="cellIs" priority="69" operator="lessThan" dxfId="0">
      <formula>'02_Assumptions'!$B$2</formula>
    </cfRule>
    <cfRule type="cellIs" priority="70" operator="greaterThan" dxfId="1">
      <formula>'07_Valuation'!$C$12</formula>
    </cfRule>
  </conditionalFormatting>
  <conditionalFormatting sqref="B14">
    <cfRule type="cellIs" priority="71" operator="lessThan" dxfId="0">
      <formula>'02_Assumptions'!$B$2</formula>
    </cfRule>
    <cfRule type="cellIs" priority="72" operator="greaterThan" dxfId="1">
      <formula>'07_Valuation'!$C$12</formula>
    </cfRule>
  </conditionalFormatting>
  <conditionalFormatting sqref="C14">
    <cfRule type="cellIs" priority="73" operator="lessThan" dxfId="0">
      <formula>'02_Assumptions'!$B$2</formula>
    </cfRule>
    <cfRule type="cellIs" priority="74" operator="greaterThan" dxfId="1">
      <formula>'07_Valuation'!$C$12</formula>
    </cfRule>
  </conditionalFormatting>
  <conditionalFormatting sqref="D14">
    <cfRule type="cellIs" priority="75" operator="lessThan" dxfId="0">
      <formula>'02_Assumptions'!$B$2</formula>
    </cfRule>
    <cfRule type="cellIs" priority="76" operator="greaterThan" dxfId="1">
      <formula>'07_Valuation'!$C$12</formula>
    </cfRule>
  </conditionalFormatting>
  <conditionalFormatting sqref="E14">
    <cfRule type="cellIs" priority="77" operator="lessThan" dxfId="0">
      <formula>'02_Assumptions'!$B$2</formula>
    </cfRule>
    <cfRule type="cellIs" priority="78" operator="greaterThan" dxfId="1">
      <formula>'07_Valuation'!$C$12</formula>
    </cfRule>
  </conditionalFormatting>
  <conditionalFormatting sqref="F14">
    <cfRule type="cellIs" priority="79" operator="lessThan" dxfId="0">
      <formula>'02_Assumptions'!$B$2</formula>
    </cfRule>
    <cfRule type="cellIs" priority="80" operator="greaterThan" dxfId="1">
      <formula>'07_Valuation'!$C$12</formula>
    </cfRule>
  </conditionalFormatting>
  <conditionalFormatting sqref="B15">
    <cfRule type="cellIs" priority="81" operator="lessThan" dxfId="0">
      <formula>'02_Assumptions'!$B$2</formula>
    </cfRule>
    <cfRule type="cellIs" priority="82" operator="greaterThan" dxfId="1">
      <formula>'07_Valuation'!$C$12</formula>
    </cfRule>
  </conditionalFormatting>
  <conditionalFormatting sqref="C15">
    <cfRule type="cellIs" priority="83" operator="lessThan" dxfId="0">
      <formula>'02_Assumptions'!$B$2</formula>
    </cfRule>
    <cfRule type="cellIs" priority="84" operator="greaterThan" dxfId="1">
      <formula>'07_Valuation'!$C$12</formula>
    </cfRule>
  </conditionalFormatting>
  <conditionalFormatting sqref="D15">
    <cfRule type="cellIs" priority="85" operator="lessThan" dxfId="0">
      <formula>'02_Assumptions'!$B$2</formula>
    </cfRule>
    <cfRule type="cellIs" priority="86" operator="greaterThan" dxfId="1">
      <formula>'07_Valuation'!$C$12</formula>
    </cfRule>
  </conditionalFormatting>
  <conditionalFormatting sqref="E15">
    <cfRule type="cellIs" priority="87" operator="lessThan" dxfId="0">
      <formula>'02_Assumptions'!$B$2</formula>
    </cfRule>
    <cfRule type="cellIs" priority="88" operator="greaterThan" dxfId="1">
      <formula>'07_Valuation'!$C$12</formula>
    </cfRule>
  </conditionalFormatting>
  <conditionalFormatting sqref="F15">
    <cfRule type="cellIs" priority="89" operator="lessThan" dxfId="0">
      <formula>'02_Assumptions'!$B$2</formula>
    </cfRule>
    <cfRule type="cellIs" priority="90" operator="greaterThan" dxfId="1">
      <formula>'07_Valuation'!$C$12</formula>
    </cfRule>
  </conditionalFormatting>
  <conditionalFormatting sqref="B16">
    <cfRule type="cellIs" priority="91" operator="lessThan" dxfId="0">
      <formula>'02_Assumptions'!$B$2</formula>
    </cfRule>
    <cfRule type="cellIs" priority="92" operator="greaterThan" dxfId="1">
      <formula>'07_Valuation'!$C$12</formula>
    </cfRule>
  </conditionalFormatting>
  <conditionalFormatting sqref="C16">
    <cfRule type="cellIs" priority="93" operator="lessThan" dxfId="0">
      <formula>'02_Assumptions'!$B$2</formula>
    </cfRule>
    <cfRule type="cellIs" priority="94" operator="greaterThan" dxfId="1">
      <formula>'07_Valuation'!$C$12</formula>
    </cfRule>
  </conditionalFormatting>
  <conditionalFormatting sqref="D16">
    <cfRule type="cellIs" priority="95" operator="lessThan" dxfId="0">
      <formula>'02_Assumptions'!$B$2</formula>
    </cfRule>
    <cfRule type="cellIs" priority="96" operator="greaterThan" dxfId="1">
      <formula>'07_Valuation'!$C$12</formula>
    </cfRule>
  </conditionalFormatting>
  <conditionalFormatting sqref="E16">
    <cfRule type="cellIs" priority="97" operator="lessThan" dxfId="0">
      <formula>'02_Assumptions'!$B$2</formula>
    </cfRule>
    <cfRule type="cellIs" priority="98" operator="greaterThan" dxfId="1">
      <formula>'07_Valuation'!$C$12</formula>
    </cfRule>
  </conditionalFormatting>
  <conditionalFormatting sqref="F16">
    <cfRule type="cellIs" priority="99" operator="lessThan" dxfId="0">
      <formula>'02_Assumptions'!$B$2</formula>
    </cfRule>
    <cfRule type="cellIs" priority="100" operator="greaterThan" dxfId="1">
      <formula>'07_Valuation'!$C$12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70" customWidth="1" min="2" max="2"/>
    <col width="40" customWidth="1" min="3" max="3"/>
    <col width="14" customWidth="1" min="4" max="4"/>
  </cols>
  <sheetData>
    <row r="1">
      <c r="A1" s="11" t="inlineStr">
        <is>
          <t>Yếu tố</t>
        </is>
      </c>
      <c r="B1" s="11" t="inlineStr">
        <is>
          <t>Nội dung</t>
        </is>
      </c>
      <c r="C1" s="11" t="inlineStr">
        <is>
          <t>Tác động</t>
        </is>
      </c>
      <c r="D1" s="11" t="inlineStr">
        <is>
          <t>Mức độ</t>
        </is>
      </c>
    </row>
    <row r="2" ht="60" customHeight="1">
      <c r="A2" s="40" t="inlineStr">
        <is>
          <t>Political</t>
        </is>
      </c>
      <c r="B2" s="41" t="inlineStr">
        <is>
          <t>Nhà nước kiểm soát chặt giá thuốc (An Khang) và an toàn thực phẩm (BHX); chính sách thuế VAT hàng điện máy/ICT ổn định, không có thay đổi lớn gần đây.</t>
        </is>
      </c>
      <c r="C2" s="41" t="inlineStr">
        <is>
          <t>Trung tính — không có rủi ro chính sách đột biến trong ngắn hạn.</t>
        </is>
      </c>
      <c r="D2" s="40" t="inlineStr">
        <is>
          <t>Trung tính</t>
        </is>
      </c>
    </row>
    <row r="3" ht="60" customHeight="1">
      <c r="A3" s="40" t="inlineStr">
        <is>
          <t>Economic</t>
        </is>
      </c>
      <c r="B3" s="41" t="inlineStr">
        <is>
          <t>Sức mua hồi phục sau giai đoạn khó khăn 2022-2023 (lãi suất cao, thất nghiệp), CPI ổn định quanh 3-4%/năm hỗ trợ tiêu dùng không thiết yếu (ICT/điện máy) tăng trở lại.</t>
        </is>
      </c>
      <c r="C3" s="41" t="inlineStr">
        <is>
          <t>Tích cực — SSSG TGDĐ/ĐMX +33% (5T2026) phản ánh sức mua phục hồi rõ rệt.</t>
        </is>
      </c>
      <c r="D3" s="40" t="inlineStr">
        <is>
          <t>Tích cực</t>
        </is>
      </c>
    </row>
    <row r="4" ht="60" customHeight="1">
      <c r="A4" s="40" t="inlineStr">
        <is>
          <t>Social</t>
        </is>
      </c>
      <c r="B4" s="41" t="inlineStr">
        <is>
          <t>Xu hướng mua sắm hiện đại hoá (siêu thị mini, tiện lợi) thay thế chợ truyền thống hỗ trợ BHX; tầng lớp trung lưu tăng thúc đẩy nhu cầu điện thoại/laptop cao cấp hơn.</t>
        </is>
      </c>
      <c r="C4" s="41" t="inlineStr">
        <is>
          <t>Tích cực — dư địa dài hạn cho BHX thay thế kênh GT truyền thống.</t>
        </is>
      </c>
      <c r="D4" s="40" t="inlineStr">
        <is>
          <t>Tích cực</t>
        </is>
      </c>
    </row>
    <row r="5" ht="60" customHeight="1">
      <c r="A5" s="40" t="inlineStr">
        <is>
          <t>Technological</t>
        </is>
      </c>
      <c r="B5" s="41" t="inlineStr">
        <is>
          <t>Chu kỳ nâng cấp iPhone/Samsung, xu hướng AI trên thiết bị di động thúc đẩy nhu cầu thay máy; MWG đầu tư Super App/thanh toán trả chậm để tăng biên lợi nhuận dịch vụ tài chính.</t>
        </is>
      </c>
      <c r="C5" s="41" t="inlineStr">
        <is>
          <t>Tích cực — doanh thu Super App/trả chậm tăng trưởng 2 chữ số.</t>
        </is>
      </c>
      <c r="D5" s="40" t="inlineStr">
        <is>
          <t>Tích cực</t>
        </is>
      </c>
    </row>
    <row r="6" ht="60" customHeight="1">
      <c r="A6" s="40" t="inlineStr">
        <is>
          <t>Legal</t>
        </is>
      </c>
      <c r="B6" s="41" t="inlineStr">
        <is>
          <t>Yêu cầu hoá đơn điện tử/truy xuất nguồn gốc thực phẩm ngày càng chặt với BHX/An Khang — chi phí tuân thủ tăng nhưng cũng là rào cản gia nhập với đối thủ nhỏ lẻ.</t>
        </is>
      </c>
      <c r="C6" s="41" t="inlineStr">
        <is>
          <t>Trung tính — chi phí tuân thủ tăng nhẹ, bù lại bằng lợi thế quy mô.</t>
        </is>
      </c>
      <c r="D6" s="40" t="inlineStr">
        <is>
          <t>Trung tính</t>
        </is>
      </c>
    </row>
    <row r="7" ht="60" customHeight="1">
      <c r="A7" s="40" t="inlineStr">
        <is>
          <t>Environmental</t>
        </is>
      </c>
      <c r="B7" s="41" t="inlineStr">
        <is>
          <t>Áp lực giảm rác thải nhựa/bao bì tại chuỗi BHX, yêu cầu chuỗi lạnh (cold chain) tiêu tốn năng lượng cho hàng tươi sống — chi phí vận hành có thể tăng theo quy định môi trường mới.</t>
        </is>
      </c>
      <c r="C7" s="41" t="inlineStr">
        <is>
          <t>Tiêu cực nhẹ — chi phí tuân thủ môi trường tăng dần theo thời gian.</t>
        </is>
      </c>
      <c r="D7" s="40" t="inlineStr">
        <is>
          <t>Tiêu cực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20" customWidth="1" min="4" max="4"/>
    <col width="16" customWidth="1" min="5" max="5"/>
  </cols>
  <sheetData>
    <row r="1">
      <c r="A1" s="11" t="inlineStr">
        <is>
          <t>Chỉ báo</t>
        </is>
      </c>
      <c r="B1" s="11" t="inlineStr">
        <is>
          <t>Ngưỡng tích cực</t>
        </is>
      </c>
      <c r="C1" s="11" t="inlineStr">
        <is>
          <t>Ngưỡng tiêu cực</t>
        </is>
      </c>
      <c r="D1" s="11" t="inlineStr">
        <is>
          <t>Giá trị hiện tại</t>
        </is>
      </c>
      <c r="E1" s="11" t="inlineStr">
        <is>
          <t>Trạng thái</t>
        </is>
      </c>
    </row>
    <row r="2">
      <c r="A2" s="40" t="inlineStr">
        <is>
          <t>SSSG (tăng trưởng cửa hàng hiện hữu)</t>
        </is>
      </c>
      <c r="B2" s="40" t="inlineStr">
        <is>
          <t>&gt; 10%</t>
        </is>
      </c>
      <c r="C2" s="40" t="inlineStr">
        <is>
          <t>&lt; 0%</t>
        </is>
      </c>
      <c r="D2" s="40" t="inlineStr">
        <is>
          <t>33%</t>
        </is>
      </c>
      <c r="E2" s="42" t="inlineStr">
        <is>
          <t>Tích cực</t>
        </is>
      </c>
    </row>
    <row r="3">
      <c r="A3" s="40" t="inlineStr">
        <is>
          <t>Tăng trưởng DT YoY 5T2026</t>
        </is>
      </c>
      <c r="B3" s="40" t="inlineStr">
        <is>
          <t>&gt; 15%</t>
        </is>
      </c>
      <c r="C3" s="40" t="inlineStr">
        <is>
          <t>&lt; 5%</t>
        </is>
      </c>
      <c r="D3" s="40" t="inlineStr">
        <is>
          <t>29.3%</t>
        </is>
      </c>
      <c r="E3" s="42" t="inlineStr">
        <is>
          <t>Tích cực</t>
        </is>
      </c>
    </row>
    <row r="4">
      <c r="A4" s="40" t="inlineStr">
        <is>
          <t>Số cửa hàng BHX mở mới/năm</t>
        </is>
      </c>
      <c r="B4" s="40" t="inlineStr">
        <is>
          <t>&gt; 800</t>
        </is>
      </c>
      <c r="C4" s="40" t="inlineStr">
        <is>
          <t>&lt; 300</t>
        </is>
      </c>
      <c r="D4" s="40" t="inlineStr">
        <is>
          <t>~492/5T</t>
        </is>
      </c>
      <c r="E4" s="42" t="inlineStr">
        <is>
          <t>Tích cực</t>
        </is>
      </c>
    </row>
    <row r="5">
      <c r="A5" s="40" t="inlineStr">
        <is>
          <t>Biên LNG (%)</t>
        </is>
      </c>
      <c r="B5" s="40" t="inlineStr">
        <is>
          <t>&gt; 20%</t>
        </is>
      </c>
      <c r="C5" s="40" t="inlineStr">
        <is>
          <t>&lt; 17%</t>
        </is>
      </c>
      <c r="D5" s="40" t="inlineStr">
        <is>
          <t>20.8%</t>
        </is>
      </c>
      <c r="E5" s="42" t="inlineStr">
        <is>
          <t>Tích cực</t>
        </is>
      </c>
    </row>
    <row r="6">
      <c r="A6" s="40" t="inlineStr">
        <is>
          <t>SG&amp;A/DT (%)</t>
        </is>
      </c>
      <c r="B6" s="40" t="inlineStr">
        <is>
          <t>&lt; 14%</t>
        </is>
      </c>
      <c r="C6" s="40" t="inlineStr">
        <is>
          <t>&gt; 17%</t>
        </is>
      </c>
      <c r="D6" s="40" t="inlineStr">
        <is>
          <t>14.5%</t>
        </is>
      </c>
      <c r="E6" s="40" t="inlineStr">
        <is>
          <t>Theo dõi</t>
        </is>
      </c>
    </row>
    <row r="7">
      <c r="A7" s="40" t="inlineStr">
        <is>
          <t>Tỷ trọng DT online/tổng</t>
        </is>
      </c>
      <c r="B7" s="40" t="inlineStr">
        <is>
          <t>&gt; 12%</t>
        </is>
      </c>
      <c r="C7" s="40" t="inlineStr">
        <is>
          <t>&lt; 8%</t>
        </is>
      </c>
      <c r="D7" s="40" t="inlineStr">
        <is>
          <t>~11%</t>
        </is>
      </c>
      <c r="E7" s="40" t="inlineStr">
        <is>
          <t>Trung tính</t>
        </is>
      </c>
    </row>
    <row r="8">
      <c r="A8" s="40" t="inlineStr">
        <is>
          <t>Chu kỳ iPhone mới (tháng 9 hàng năm)</t>
        </is>
      </c>
      <c r="B8" s="40" t="inlineStr">
        <is>
          <t>Ra mắt đúng hẹn</t>
        </is>
      </c>
      <c r="C8" s="40" t="inlineStr">
        <is>
          <t>Trì hoãn/thiếu hàng</t>
        </is>
      </c>
      <c r="D8" s="40" t="inlineStr">
        <is>
          <t>Đang chuẩn bị (T9/2026)</t>
        </is>
      </c>
      <c r="E8" s="40" t="inlineStr">
        <is>
          <t>Theo dõi</t>
        </is>
      </c>
    </row>
    <row r="9">
      <c r="A9" s="40" t="inlineStr">
        <is>
          <t>CPI Việt Nam YoY</t>
        </is>
      </c>
      <c r="B9" s="40" t="inlineStr">
        <is>
          <t>2-4%</t>
        </is>
      </c>
      <c r="C9" s="40" t="inlineStr">
        <is>
          <t>&gt; 5% hoặc &lt; 0%</t>
        </is>
      </c>
      <c r="D9" s="40" t="inlineStr">
        <is>
          <t>~3.5%</t>
        </is>
      </c>
      <c r="E9" s="42" t="inlineStr">
        <is>
          <t>Tích cực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  <col width="14" customWidth="1" min="3" max="3"/>
  </cols>
  <sheetData>
    <row r="1">
      <c r="A1" s="11" t="inlineStr">
        <is>
          <t>Tầng đánh giá</t>
        </is>
      </c>
      <c r="B1" s="11" t="inlineStr">
        <is>
          <t>Kết luận</t>
        </is>
      </c>
      <c r="C1" s="11" t="inlineStr">
        <is>
          <t>Rating</t>
        </is>
      </c>
    </row>
    <row r="2" ht="50" customHeight="1">
      <c r="A2" s="40" t="inlineStr">
        <is>
          <t>1. Mô hình kinh doanh</t>
        </is>
      </c>
      <c r="B2" s="41" t="inlineStr">
        <is>
          <t>Nhà bán lẻ đa ngành lớn nhất VN (ICT/điện máy qua TGDĐ+ĐMX, FMCG qua BHX), tận dụng quy mô mạng lưới &gt;6.700 cửa hàng để đàm phán giá tốt với NCC và phủ khắp thị trường.</t>
        </is>
      </c>
      <c r="C2" s="40" t="inlineStr">
        <is>
          <t>Tốt</t>
        </is>
      </c>
    </row>
    <row r="3" ht="50" customHeight="1">
      <c r="A3" s="40" t="inlineStr">
        <is>
          <t>2. Vị thế cạnh tranh</t>
        </is>
      </c>
      <c r="B3" s="41" t="inlineStr">
        <is>
          <t>TGDĐ/ĐMX dẫn đầu thị phần ICT/điện máy VN; BHX đứng đầu chuỗi bán lẻ FMCG hiện đại về quy mô cửa hàng, đang mở rộng nhanh và đã có lãi từ 2023.</t>
        </is>
      </c>
      <c r="C3" s="40" t="inlineStr">
        <is>
          <t>Tốt</t>
        </is>
      </c>
    </row>
    <row r="4" ht="50" customHeight="1">
      <c r="A4" s="40" t="inlineStr">
        <is>
          <t>3. Sức khoẻ tài chính</t>
        </is>
      </c>
      <c r="B4" s="41" t="inlineStr">
        <is>
          <t>Đòn bẩy thấp, xu hướng nợ vay giảm/tiền mặt tăng nhờ FCF chuyển dương khi BHX hoà vốn; biên LNG ổn định quanh 20-21%.</t>
        </is>
      </c>
      <c r="C4" s="40" t="inlineStr">
        <is>
          <t>Tốt</t>
        </is>
      </c>
    </row>
    <row r="5" ht="50" customHeight="1">
      <c r="A5" s="40" t="inlineStr">
        <is>
          <t>4. Định giá</t>
        </is>
      </c>
      <c r="B5" s="41" t="inlineStr">
        <is>
          <t>Giá mục tiêu bình quân trọng số 85,510 VND, upside 8.4% so với giá hiện tại 78,900 VND — định giá hợp lý, không quá đắt so với median lịch sử.</t>
        </is>
      </c>
      <c r="C5" s="40" t="inlineStr">
        <is>
          <t>Trung lập-Tốt</t>
        </is>
      </c>
    </row>
    <row r="6" ht="50" customHeight="1">
      <c r="A6" s="40" t="inlineStr">
        <is>
          <t>5. Chất lượng ban lãnh đạo</t>
        </is>
      </c>
      <c r="B6" s="41" t="inlineStr">
        <is>
          <t>Lịch sử liên tục vượt kế hoạch kinh doanh tự đề ra nhiều năm liền (thận trọng khi đặt mục tiêu đầu năm); minh bạch công bố KQKD hàng tháng qua IR — hiếm có ở DN bán lẻ VN.</t>
        </is>
      </c>
      <c r="C6" s="40" t="inlineStr">
        <is>
          <t>Tốt</t>
        </is>
      </c>
    </row>
    <row r="7" ht="50" customHeight="1">
      <c r="A7" s="40" t="inlineStr">
        <is>
          <t>6. Rủi ro &amp; Catalyst</t>
        </is>
      </c>
      <c r="B7" s="41" t="inlineStr">
        <is>
          <t>Rủi ro: TGDĐ/ĐMX đã bão hòa khó tăng trưởng thêm; BHX vẫn cần chứng minh duy trì lãi bền vững khi mở rộng nhanh. Catalyst: chu kỳ iPhone mới, BHX đạt quy mô lãi ổn định, EraBlue nhân rộng quốc tế.</t>
        </is>
      </c>
      <c r="C7" s="40" t="inlineStr">
        <is>
          <t>Theo dõi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4" customWidth="1" min="10" max="10"/>
  </cols>
  <sheetData>
    <row r="1">
      <c r="A1" s="11" t="inlineStr">
        <is>
          <t>Chỉ tiêu</t>
        </is>
      </c>
      <c r="B1" s="11" t="inlineStr">
        <is>
          <t>2021A</t>
        </is>
      </c>
      <c r="C1" s="11" t="inlineStr">
        <is>
          <t>2022A</t>
        </is>
      </c>
      <c r="D1" s="11" t="inlineStr">
        <is>
          <t>2023A</t>
        </is>
      </c>
      <c r="E1" s="11" t="inlineStr">
        <is>
          <t>2024A</t>
        </is>
      </c>
      <c r="F1" s="11" t="inlineStr">
        <is>
          <t>2025A</t>
        </is>
      </c>
      <c r="G1" s="11" t="inlineStr">
        <is>
          <t>2026E</t>
        </is>
      </c>
      <c r="H1" s="11" t="inlineStr">
        <is>
          <t>2027F</t>
        </is>
      </c>
      <c r="I1" s="11" t="inlineStr">
        <is>
          <t>2028F</t>
        </is>
      </c>
      <c r="J1" s="11" t="inlineStr">
        <is>
          <t>CAGR 3Y</t>
        </is>
      </c>
    </row>
    <row r="2">
      <c r="A2" s="2" t="inlineStr">
        <is>
          <t>Doanh thu thuần</t>
        </is>
      </c>
      <c r="B2" s="24" t="n">
        <v>122958.1</v>
      </c>
      <c r="C2" s="24" t="n">
        <v>133404.8</v>
      </c>
      <c r="D2" s="24" t="n">
        <v>118279.8</v>
      </c>
      <c r="E2" s="24" t="n">
        <v>134341.2</v>
      </c>
      <c r="F2" s="24" t="n">
        <v>155928.1</v>
      </c>
      <c r="G2" s="24">
        <f>'04_PnL'!G2</f>
        <v/>
      </c>
      <c r="H2" s="24">
        <f>'04_PnL'!H2</f>
        <v/>
      </c>
      <c r="I2" s="24">
        <f>'04_PnL'!I2</f>
        <v/>
      </c>
      <c r="J2" s="23">
        <f>(I2/F2)^(1/2)-1</f>
        <v/>
      </c>
    </row>
    <row r="3">
      <c r="A3" s="10" t="inlineStr">
        <is>
          <t>Lợi nhuận gộp</t>
        </is>
      </c>
      <c r="B3" s="12" t="n">
        <v>27632.10000000001</v>
      </c>
      <c r="C3" s="12" t="n">
        <v>30862.09999999999</v>
      </c>
      <c r="D3" s="12" t="n">
        <v>22520.60000000001</v>
      </c>
      <c r="E3" s="12" t="n">
        <v>27499.30000000002</v>
      </c>
      <c r="F3" s="12" t="n">
        <v>31001.8</v>
      </c>
      <c r="G3" s="12">
        <f>'04_PnL'!G5</f>
        <v/>
      </c>
      <c r="H3" s="12">
        <f>'04_PnL'!H5</f>
        <v/>
      </c>
      <c r="I3" s="12">
        <f>'04_PnL'!I5</f>
        <v/>
      </c>
      <c r="J3" s="23">
        <f>(I3/F3)^(1/2)-1</f>
        <v/>
      </c>
    </row>
    <row r="4">
      <c r="A4" s="10" t="inlineStr">
        <is>
          <t>EBITDA</t>
        </is>
      </c>
      <c r="B4" s="12" t="n">
        <v>8815.200000000004</v>
      </c>
      <c r="C4" s="12" t="n">
        <v>10184.59999999999</v>
      </c>
      <c r="D4" s="12" t="n">
        <v>3787.500000000005</v>
      </c>
      <c r="E4" s="12" t="n">
        <v>6997.100000000019</v>
      </c>
      <c r="F4" s="12" t="n">
        <v>8965.700000000003</v>
      </c>
      <c r="G4" s="12">
        <f>'04_PnL'!G11</f>
        <v/>
      </c>
      <c r="H4" s="12">
        <f>'04_PnL'!H11</f>
        <v/>
      </c>
      <c r="I4" s="12">
        <f>'04_PnL'!I11</f>
        <v/>
      </c>
      <c r="J4" s="23">
        <f>(I4/F4)^(1/2)-1</f>
        <v/>
      </c>
    </row>
    <row r="5">
      <c r="A5" s="2" t="inlineStr">
        <is>
          <t>LNST Cổ đông Công ty mẹ</t>
        </is>
      </c>
      <c r="B5" s="21" t="n">
        <v>4898.9</v>
      </c>
      <c r="C5" s="21" t="n">
        <v>4099.8</v>
      </c>
      <c r="D5" s="21" t="n">
        <v>167.7</v>
      </c>
      <c r="E5" s="21" t="n">
        <v>3721.9</v>
      </c>
      <c r="F5" s="21" t="n">
        <v>7033.7</v>
      </c>
      <c r="G5" s="21">
        <f>'04_PnL'!G16</f>
        <v/>
      </c>
      <c r="H5" s="21">
        <f>'04_PnL'!H16</f>
        <v/>
      </c>
      <c r="I5" s="21">
        <f>'04_PnL'!I16</f>
        <v/>
      </c>
      <c r="J5" s="23">
        <f>(I5/F5)^(1/2)-1</f>
        <v/>
      </c>
    </row>
    <row r="6">
      <c r="A6" s="10" t="inlineStr">
        <is>
          <t>EPS (VND)</t>
        </is>
      </c>
      <c r="B6" s="12" t="n">
        <v>6871</v>
      </c>
      <c r="C6" s="12" t="n">
        <v>2800</v>
      </c>
      <c r="D6" s="12" t="n">
        <v>115</v>
      </c>
      <c r="E6" s="12" t="n">
        <v>2546</v>
      </c>
      <c r="F6" s="12" t="n">
        <v>4785</v>
      </c>
      <c r="G6" s="12">
        <f>'04_PnL'!G17</f>
        <v/>
      </c>
      <c r="H6" s="12">
        <f>'04_PnL'!H17</f>
        <v/>
      </c>
      <c r="I6" s="12">
        <f>'04_PnL'!I17</f>
        <v/>
      </c>
      <c r="J6" s="23">
        <f>(I6/F6)^(1/2)-1</f>
        <v/>
      </c>
    </row>
    <row r="7">
      <c r="A7" s="10" t="inlineStr">
        <is>
          <t>CAPEX</t>
        </is>
      </c>
      <c r="B7" s="12" t="n">
        <v>4976.9</v>
      </c>
      <c r="C7" s="12" t="n">
        <v>4465.4</v>
      </c>
      <c r="D7" s="12" t="n">
        <v>523.4</v>
      </c>
      <c r="E7" s="12" t="n">
        <v>303.7</v>
      </c>
      <c r="F7" s="12" t="n">
        <v>888.5</v>
      </c>
      <c r="G7" s="12">
        <f>-'06_Cash_Flow'!B6</f>
        <v/>
      </c>
      <c r="H7" s="12">
        <f>-'06_Cash_Flow'!C6</f>
        <v/>
      </c>
      <c r="I7" s="12">
        <f>-'06_Cash_Flow'!D6</f>
        <v/>
      </c>
    </row>
    <row r="8">
      <c r="A8" s="10" t="inlineStr">
        <is>
          <t>Net Debt</t>
        </is>
      </c>
      <c r="B8" s="12" t="n">
        <v>6268.9</v>
      </c>
      <c r="C8" s="12" t="n">
        <v>1459.1</v>
      </c>
      <c r="D8" s="12" t="n">
        <v>811</v>
      </c>
      <c r="E8" s="12" t="n">
        <v>-6921.5</v>
      </c>
      <c r="F8" s="12" t="n">
        <v>-8943.299999999999</v>
      </c>
      <c r="G8" s="12">
        <f>'05_Balance_Sheet'!G16</f>
        <v/>
      </c>
      <c r="H8" s="12">
        <f>'05_Balance_Sheet'!H16</f>
        <v/>
      </c>
      <c r="I8" s="12">
        <f>'05_Balance_Sheet'!I16</f>
        <v/>
      </c>
    </row>
    <row r="9">
      <c r="A9" s="10" t="inlineStr">
        <is>
          <t>Vốn chủ sở hữu</t>
        </is>
      </c>
      <c r="B9" s="12" t="n">
        <v>20378.2</v>
      </c>
      <c r="C9" s="12" t="n">
        <v>23932.6</v>
      </c>
      <c r="D9" s="12" t="n">
        <v>23359.6</v>
      </c>
      <c r="E9" s="12" t="n">
        <v>28121.6</v>
      </c>
      <c r="F9" s="12" t="n">
        <v>33176.1</v>
      </c>
      <c r="G9" s="12">
        <f>'05_Balance_Sheet'!G12</f>
        <v/>
      </c>
      <c r="H9" s="12">
        <f>'05_Balance_Sheet'!H12</f>
        <v/>
      </c>
      <c r="I9" s="12">
        <f>'05_Balance_Sheet'!I12</f>
        <v/>
      </c>
      <c r="J9" s="23">
        <f>(I9/F9)^(1/2)-1</f>
        <v/>
      </c>
    </row>
    <row r="11">
      <c r="A11" s="10" t="inlineStr">
        <is>
          <t>ROE (%)</t>
        </is>
      </c>
      <c r="B11" s="19">
        <f>B5/B9</f>
        <v/>
      </c>
      <c r="C11" s="19">
        <f>C5/C9</f>
        <v/>
      </c>
      <c r="D11" s="19">
        <f>D5/D9</f>
        <v/>
      </c>
      <c r="E11" s="19">
        <f>E5/E9</f>
        <v/>
      </c>
      <c r="F11" s="19">
        <f>F5/F9</f>
        <v/>
      </c>
      <c r="G11" s="19">
        <f>G5/G9</f>
        <v/>
      </c>
      <c r="H11" s="19">
        <f>H5/H9</f>
        <v/>
      </c>
      <c r="I11" s="19">
        <f>I5/I9</f>
        <v/>
      </c>
    </row>
    <row r="12">
      <c r="A12" s="10" t="inlineStr">
        <is>
          <t>P/E (x)</t>
        </is>
      </c>
      <c r="B12" s="17">
        <f>'02_Assumptions'!$B$2*'02_Assumptions'!$B$3/(B5*1000)</f>
        <v/>
      </c>
      <c r="C12" s="17">
        <f>'02_Assumptions'!$B$2*'02_Assumptions'!$B$3/(C5*1000)</f>
        <v/>
      </c>
      <c r="D12" s="17">
        <f>'02_Assumptions'!$B$2*'02_Assumptions'!$B$3/(D5*1000)</f>
        <v/>
      </c>
      <c r="E12" s="17">
        <f>'02_Assumptions'!$B$2*'02_Assumptions'!$B$3/(E5*1000)</f>
        <v/>
      </c>
      <c r="F12" s="17">
        <f>'02_Assumptions'!$B$2*'02_Assumptions'!$B$3/(F5*1000)</f>
        <v/>
      </c>
      <c r="G12" s="17">
        <f>'02_Assumptions'!$B$2*'02_Assumptions'!$B$3/(G5*1000)</f>
        <v/>
      </c>
      <c r="H12" s="17">
        <f>'02_Assumptions'!$B$2*'02_Assumptions'!$B$3/(H5*1000)</f>
        <v/>
      </c>
      <c r="I12" s="17">
        <f>'02_Assumptions'!$B$2*'02_Assumptions'!$B$3/(I5*1000)</f>
        <v/>
      </c>
    </row>
    <row r="13">
      <c r="A13" s="10" t="inlineStr">
        <is>
          <t>P/B (x)</t>
        </is>
      </c>
      <c r="B13" s="17">
        <f>('02_Assumptions'!$B$2*'02_Assumptions'!$B$3/1000)/B9</f>
        <v/>
      </c>
      <c r="C13" s="17">
        <f>('02_Assumptions'!$B$2*'02_Assumptions'!$B$3/1000)/C9</f>
        <v/>
      </c>
      <c r="D13" s="17">
        <f>('02_Assumptions'!$B$2*'02_Assumptions'!$B$3/1000)/D9</f>
        <v/>
      </c>
      <c r="E13" s="17">
        <f>('02_Assumptions'!$B$2*'02_Assumptions'!$B$3/1000)/E9</f>
        <v/>
      </c>
      <c r="F13" s="17">
        <f>('02_Assumptions'!$B$2*'02_Assumptions'!$B$3/1000)/F9</f>
        <v/>
      </c>
      <c r="G13" s="17">
        <f>('02_Assumptions'!$B$2*'02_Assumptions'!$B$3/1000)/G9</f>
        <v/>
      </c>
      <c r="H13" s="17">
        <f>('02_Assumptions'!$B$2*'02_Assumptions'!$B$3/1000)/H9</f>
        <v/>
      </c>
      <c r="I13" s="17">
        <f>('02_Assumptions'!$B$2*'02_Assumptions'!$B$3/1000)/I9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2026-07-04T13:30:33Z</dcterms:created>
  <dcterms:modified xmlns:dcterms="http://purl.org/dc/terms/" xmlns:xsi="http://www.w3.org/2001/XMLSchema-instance" xsi:type="dcterms:W3CDTF">2026-07-04T13:30:33Z</dcterms:modified>
</cp:coreProperties>
</file>