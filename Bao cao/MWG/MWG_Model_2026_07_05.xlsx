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Phan-tich-FA\Bao cao\MWG\"/>
    </mc:Choice>
  </mc:AlternateContent>
  <xr:revisionPtr revIDLastSave="0" documentId="13_ncr:1_{06425F3A-EFD7-42C1-A6F9-4443023092A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00_Beta" sheetId="1" r:id="rId1"/>
    <sheet name="00_COE" sheetId="2" r:id="rId2"/>
    <sheet name="01_Cover" sheetId="3" r:id="rId3"/>
    <sheet name="02_Assumptions" sheetId="4" r:id="rId4"/>
    <sheet name="03a_Monthly_Data" sheetId="5" r:id="rId5"/>
    <sheet name="03_Revenue_Model" sheetId="6" r:id="rId6"/>
    <sheet name="04_PnL" sheetId="7" r:id="rId7"/>
    <sheet name="05_Balance_Sheet" sheetId="8" r:id="rId8"/>
    <sheet name="06_Cash_Flow" sheetId="9" r:id="rId9"/>
    <sheet name="07_Valuation" sheetId="10" r:id="rId10"/>
    <sheet name="08_Sensitivity" sheetId="11" r:id="rId11"/>
    <sheet name="09_PESTLE" sheetId="12" r:id="rId12"/>
    <sheet name="10_Leading_Indicators" sheetId="13" r:id="rId13"/>
    <sheet name="11_Investment_Thesis" sheetId="14" r:id="rId14"/>
    <sheet name="12_Summary_Snapshot" sheetId="15" r:id="rId15"/>
    <sheet name="13_PE_PB_History" sheetId="16" r:id="rId16"/>
    <sheet name="14_Quarterly_Ratios" sheetId="17" r:id="rId17"/>
    <sheet name="15_Asset_Quality" sheetId="18" r:id="rId18"/>
  </sheets>
  <calcPr calcId="181029"/>
</workbook>
</file>

<file path=xl/calcChain.xml><?xml version="1.0" encoding="utf-8"?>
<calcChain xmlns="http://schemas.openxmlformats.org/spreadsheetml/2006/main">
  <c r="D35" i="16" l="1"/>
  <c r="C35" i="16"/>
  <c r="B35" i="16"/>
  <c r="F13" i="15"/>
  <c r="E13" i="15"/>
  <c r="D13" i="15"/>
  <c r="C13" i="15"/>
  <c r="B13" i="15"/>
  <c r="F12" i="15"/>
  <c r="E12" i="15"/>
  <c r="D12" i="15"/>
  <c r="C12" i="15"/>
  <c r="B12" i="15"/>
  <c r="F11" i="15"/>
  <c r="E11" i="15"/>
  <c r="D11" i="15"/>
  <c r="C11" i="15"/>
  <c r="B11" i="15"/>
  <c r="B30" i="10"/>
  <c r="B29" i="10"/>
  <c r="B3" i="10" s="1"/>
  <c r="C12" i="10"/>
  <c r="B9" i="10"/>
  <c r="B8" i="10"/>
  <c r="B7" i="10"/>
  <c r="B6" i="10"/>
  <c r="G10" i="8"/>
  <c r="H10" i="8" s="1"/>
  <c r="G3" i="8"/>
  <c r="H3" i="8" s="1"/>
  <c r="F18" i="6"/>
  <c r="E18" i="6"/>
  <c r="E19" i="6" s="1"/>
  <c r="D18" i="6"/>
  <c r="C18" i="6"/>
  <c r="C19" i="6" s="1"/>
  <c r="B18" i="6"/>
  <c r="I15" i="6"/>
  <c r="H15" i="6"/>
  <c r="G15" i="6"/>
  <c r="I11" i="6"/>
  <c r="H11" i="6"/>
  <c r="G11" i="6"/>
  <c r="I7" i="6"/>
  <c r="H7" i="6"/>
  <c r="G7" i="6"/>
  <c r="I3" i="6"/>
  <c r="H3" i="6"/>
  <c r="G3" i="6"/>
  <c r="BM21" i="5"/>
  <c r="BL20" i="5"/>
  <c r="W20" i="5"/>
  <c r="BM18" i="5"/>
  <c r="AW18" i="5"/>
  <c r="T18" i="5"/>
  <c r="BQ16" i="5"/>
  <c r="BP16" i="5"/>
  <c r="BO16" i="5"/>
  <c r="BQ15" i="5"/>
  <c r="BP15" i="5"/>
  <c r="BO15" i="5"/>
  <c r="BQ14" i="5"/>
  <c r="BP14" i="5"/>
  <c r="BO14" i="5"/>
  <c r="BQ13" i="5"/>
  <c r="BP13" i="5"/>
  <c r="BO13" i="5"/>
  <c r="BN11" i="5"/>
  <c r="BN21" i="5" s="1"/>
  <c r="BM11" i="5"/>
  <c r="BL11" i="5"/>
  <c r="BL21" i="5" s="1"/>
  <c r="BK11" i="5"/>
  <c r="BK21" i="5" s="1"/>
  <c r="BJ11" i="5"/>
  <c r="BJ21" i="5" s="1"/>
  <c r="BI11" i="5"/>
  <c r="BI21" i="5" s="1"/>
  <c r="BH11" i="5"/>
  <c r="BH21" i="5" s="1"/>
  <c r="BG11" i="5"/>
  <c r="BG21" i="5" s="1"/>
  <c r="BF11" i="5"/>
  <c r="BF21" i="5" s="1"/>
  <c r="BE11" i="5"/>
  <c r="BE21" i="5" s="1"/>
  <c r="BD11" i="5"/>
  <c r="BD21" i="5" s="1"/>
  <c r="BC11" i="5"/>
  <c r="BC21" i="5" s="1"/>
  <c r="BB11" i="5"/>
  <c r="BB21" i="5" s="1"/>
  <c r="BA11" i="5"/>
  <c r="BA21" i="5" s="1"/>
  <c r="AZ11" i="5"/>
  <c r="AZ21" i="5" s="1"/>
  <c r="AY11" i="5"/>
  <c r="AY21" i="5" s="1"/>
  <c r="AX11" i="5"/>
  <c r="AX21" i="5" s="1"/>
  <c r="AW11" i="5"/>
  <c r="AW21" i="5" s="1"/>
  <c r="AV11" i="5"/>
  <c r="AV21" i="5" s="1"/>
  <c r="AU11" i="5"/>
  <c r="AU21" i="5" s="1"/>
  <c r="AT11" i="5"/>
  <c r="AT21" i="5" s="1"/>
  <c r="AS11" i="5"/>
  <c r="AS21" i="5" s="1"/>
  <c r="AR11" i="5"/>
  <c r="AR21" i="5" s="1"/>
  <c r="BN10" i="5"/>
  <c r="BN20" i="5" s="1"/>
  <c r="BM10" i="5"/>
  <c r="BM20" i="5" s="1"/>
  <c r="BL10" i="5"/>
  <c r="BK10" i="5"/>
  <c r="BK20" i="5" s="1"/>
  <c r="BJ10" i="5"/>
  <c r="BJ20" i="5" s="1"/>
  <c r="BI10" i="5"/>
  <c r="BI20" i="5" s="1"/>
  <c r="BH10" i="5"/>
  <c r="BH20" i="5" s="1"/>
  <c r="BG10" i="5"/>
  <c r="BG20" i="5" s="1"/>
  <c r="BF10" i="5"/>
  <c r="BF20" i="5" s="1"/>
  <c r="BE10" i="5"/>
  <c r="BE20" i="5" s="1"/>
  <c r="BD10" i="5"/>
  <c r="BD20" i="5" s="1"/>
  <c r="BC10" i="5"/>
  <c r="BC20" i="5" s="1"/>
  <c r="BB10" i="5"/>
  <c r="BB20" i="5" s="1"/>
  <c r="BA10" i="5"/>
  <c r="BA20" i="5" s="1"/>
  <c r="AZ10" i="5"/>
  <c r="AZ20" i="5" s="1"/>
  <c r="AY10" i="5"/>
  <c r="AY20" i="5" s="1"/>
  <c r="AX10" i="5"/>
  <c r="AX20" i="5" s="1"/>
  <c r="AW10" i="5"/>
  <c r="AW20" i="5" s="1"/>
  <c r="AV10" i="5"/>
  <c r="AV20" i="5" s="1"/>
  <c r="AU10" i="5"/>
  <c r="AU20" i="5" s="1"/>
  <c r="AT10" i="5"/>
  <c r="AT20" i="5" s="1"/>
  <c r="AS10" i="5"/>
  <c r="AS20" i="5" s="1"/>
  <c r="AR10" i="5"/>
  <c r="AR20" i="5" s="1"/>
  <c r="AH10" i="5"/>
  <c r="AH20" i="5" s="1"/>
  <c r="AG10" i="5"/>
  <c r="AG20" i="5" s="1"/>
  <c r="AF10" i="5"/>
  <c r="AF20" i="5" s="1"/>
  <c r="AE10" i="5"/>
  <c r="AE20" i="5" s="1"/>
  <c r="AD10" i="5"/>
  <c r="AD20" i="5" s="1"/>
  <c r="AC10" i="5"/>
  <c r="AC20" i="5" s="1"/>
  <c r="AB10" i="5"/>
  <c r="AB20" i="5" s="1"/>
  <c r="AA10" i="5"/>
  <c r="AA20" i="5" s="1"/>
  <c r="Z10" i="5"/>
  <c r="Y10" i="5"/>
  <c r="X10" i="5"/>
  <c r="X20" i="5" s="1"/>
  <c r="W10" i="5"/>
  <c r="V10" i="5"/>
  <c r="V20" i="5" s="1"/>
  <c r="U10" i="5"/>
  <c r="U20" i="5" s="1"/>
  <c r="T10" i="5"/>
  <c r="T20" i="5" s="1"/>
  <c r="S10" i="5"/>
  <c r="R10" i="5"/>
  <c r="R20" i="5" s="1"/>
  <c r="Q10" i="5"/>
  <c r="Q20" i="5" s="1"/>
  <c r="P10" i="5"/>
  <c r="P20" i="5" s="1"/>
  <c r="O10" i="5"/>
  <c r="O20" i="5" s="1"/>
  <c r="N10" i="5"/>
  <c r="N20" i="5" s="1"/>
  <c r="BN9" i="5"/>
  <c r="BN19" i="5" s="1"/>
  <c r="BM9" i="5"/>
  <c r="BM19" i="5" s="1"/>
  <c r="BL9" i="5"/>
  <c r="BL19" i="5" s="1"/>
  <c r="BK9" i="5"/>
  <c r="BK19" i="5" s="1"/>
  <c r="BJ9" i="5"/>
  <c r="BJ19" i="5" s="1"/>
  <c r="BI9" i="5"/>
  <c r="BI19" i="5" s="1"/>
  <c r="BH9" i="5"/>
  <c r="BH19" i="5" s="1"/>
  <c r="BG9" i="5"/>
  <c r="BG19" i="5" s="1"/>
  <c r="BF9" i="5"/>
  <c r="BF19" i="5" s="1"/>
  <c r="BE9" i="5"/>
  <c r="BE19" i="5" s="1"/>
  <c r="BD9" i="5"/>
  <c r="BD19" i="5" s="1"/>
  <c r="BC9" i="5"/>
  <c r="BC19" i="5" s="1"/>
  <c r="BB9" i="5"/>
  <c r="BB19" i="5" s="1"/>
  <c r="BA9" i="5"/>
  <c r="BA19" i="5" s="1"/>
  <c r="AZ9" i="5"/>
  <c r="AZ19" i="5" s="1"/>
  <c r="AY9" i="5"/>
  <c r="AY19" i="5" s="1"/>
  <c r="AX9" i="5"/>
  <c r="AX19" i="5" s="1"/>
  <c r="AW9" i="5"/>
  <c r="AW19" i="5" s="1"/>
  <c r="AV9" i="5"/>
  <c r="AV19" i="5" s="1"/>
  <c r="AU9" i="5"/>
  <c r="AU19" i="5" s="1"/>
  <c r="AT9" i="5"/>
  <c r="AT19" i="5" s="1"/>
  <c r="AS9" i="5"/>
  <c r="AS19" i="5" s="1"/>
  <c r="AR9" i="5"/>
  <c r="AR19" i="5" s="1"/>
  <c r="AF9" i="5"/>
  <c r="AF19" i="5" s="1"/>
  <c r="AE9" i="5"/>
  <c r="AE19" i="5" s="1"/>
  <c r="AD9" i="5"/>
  <c r="AD19" i="5" s="1"/>
  <c r="AC9" i="5"/>
  <c r="AC19" i="5" s="1"/>
  <c r="AB9" i="5"/>
  <c r="AB19" i="5" s="1"/>
  <c r="AA9" i="5"/>
  <c r="AA19" i="5" s="1"/>
  <c r="Z9" i="5"/>
  <c r="Y9" i="5"/>
  <c r="Y19" i="5" s="1"/>
  <c r="X9" i="5"/>
  <c r="X19" i="5" s="1"/>
  <c r="W9" i="5"/>
  <c r="W19" i="5" s="1"/>
  <c r="V9" i="5"/>
  <c r="V19" i="5" s="1"/>
  <c r="U9" i="5"/>
  <c r="U19" i="5" s="1"/>
  <c r="T9" i="5"/>
  <c r="T19" i="5" s="1"/>
  <c r="S9" i="5"/>
  <c r="R9" i="5"/>
  <c r="R19" i="5" s="1"/>
  <c r="Q9" i="5"/>
  <c r="Q19" i="5" s="1"/>
  <c r="P9" i="5"/>
  <c r="P19" i="5" s="1"/>
  <c r="O9" i="5"/>
  <c r="O19" i="5" s="1"/>
  <c r="N9" i="5"/>
  <c r="N19" i="5" s="1"/>
  <c r="BN8" i="5"/>
  <c r="BN18" i="5" s="1"/>
  <c r="BM8" i="5"/>
  <c r="BL8" i="5"/>
  <c r="BL18" i="5" s="1"/>
  <c r="BO18" i="5" s="1"/>
  <c r="BK8" i="5"/>
  <c r="BK18" i="5" s="1"/>
  <c r="BJ8" i="5"/>
  <c r="BJ18" i="5" s="1"/>
  <c r="BI8" i="5"/>
  <c r="BI18" i="5" s="1"/>
  <c r="BH8" i="5"/>
  <c r="BH18" i="5" s="1"/>
  <c r="BG8" i="5"/>
  <c r="BG18" i="5" s="1"/>
  <c r="BF8" i="5"/>
  <c r="BF18" i="5" s="1"/>
  <c r="BE8" i="5"/>
  <c r="BE18" i="5" s="1"/>
  <c r="BD8" i="5"/>
  <c r="BD18" i="5" s="1"/>
  <c r="BC8" i="5"/>
  <c r="BC18" i="5" s="1"/>
  <c r="BB8" i="5"/>
  <c r="BB18" i="5" s="1"/>
  <c r="BA8" i="5"/>
  <c r="BA18" i="5" s="1"/>
  <c r="AZ8" i="5"/>
  <c r="AZ18" i="5" s="1"/>
  <c r="AY8" i="5"/>
  <c r="AY18" i="5" s="1"/>
  <c r="AX8" i="5"/>
  <c r="AX18" i="5" s="1"/>
  <c r="AW8" i="5"/>
  <c r="AV8" i="5"/>
  <c r="AV18" i="5" s="1"/>
  <c r="AU8" i="5"/>
  <c r="AU18" i="5" s="1"/>
  <c r="AT8" i="5"/>
  <c r="AT18" i="5" s="1"/>
  <c r="AS8" i="5"/>
  <c r="AS18" i="5" s="1"/>
  <c r="AR8" i="5"/>
  <c r="AR18" i="5" s="1"/>
  <c r="AF8" i="5"/>
  <c r="AF18" i="5" s="1"/>
  <c r="AE8" i="5"/>
  <c r="AE18" i="5" s="1"/>
  <c r="AD8" i="5"/>
  <c r="AD18" i="5" s="1"/>
  <c r="AC8" i="5"/>
  <c r="AC18" i="5" s="1"/>
  <c r="AB8" i="5"/>
  <c r="AB18" i="5" s="1"/>
  <c r="AA8" i="5"/>
  <c r="AA18" i="5" s="1"/>
  <c r="Z8" i="5"/>
  <c r="Y8" i="5"/>
  <c r="X8" i="5"/>
  <c r="X18" i="5" s="1"/>
  <c r="W8" i="5"/>
  <c r="W18" i="5" s="1"/>
  <c r="V8" i="5"/>
  <c r="V18" i="5" s="1"/>
  <c r="U8" i="5"/>
  <c r="U18" i="5" s="1"/>
  <c r="T8" i="5"/>
  <c r="S8" i="5"/>
  <c r="R8" i="5"/>
  <c r="R18" i="5" s="1"/>
  <c r="Q8" i="5"/>
  <c r="Q18" i="5" s="1"/>
  <c r="C59" i="4"/>
  <c r="B40" i="4"/>
  <c r="B23" i="10" s="1"/>
  <c r="B39" i="4"/>
  <c r="B18" i="10" s="1"/>
  <c r="A5" i="11" s="1"/>
  <c r="B4" i="4"/>
  <c r="B7" i="3" s="1"/>
  <c r="B6" i="3"/>
  <c r="B5" i="3"/>
  <c r="E1625" i="1"/>
  <c r="C1625" i="1"/>
  <c r="E1624" i="1"/>
  <c r="C1624" i="1"/>
  <c r="E1623" i="1"/>
  <c r="C1623" i="1"/>
  <c r="E1622" i="1"/>
  <c r="C1622" i="1"/>
  <c r="E1621" i="1"/>
  <c r="C1621" i="1"/>
  <c r="E1620" i="1"/>
  <c r="C1620" i="1"/>
  <c r="E1619" i="1"/>
  <c r="C1619" i="1"/>
  <c r="E1618" i="1"/>
  <c r="C1618" i="1"/>
  <c r="E1617" i="1"/>
  <c r="C1617" i="1"/>
  <c r="E1616" i="1"/>
  <c r="C1616" i="1"/>
  <c r="E1615" i="1"/>
  <c r="C1615" i="1"/>
  <c r="E1614" i="1"/>
  <c r="C1614" i="1"/>
  <c r="E1613" i="1"/>
  <c r="C1613" i="1"/>
  <c r="E1612" i="1"/>
  <c r="C1612" i="1"/>
  <c r="E1611" i="1"/>
  <c r="C1611" i="1"/>
  <c r="E1610" i="1"/>
  <c r="C1610" i="1"/>
  <c r="E1609" i="1"/>
  <c r="C1609" i="1"/>
  <c r="E1608" i="1"/>
  <c r="C1608" i="1"/>
  <c r="E1607" i="1"/>
  <c r="C1607" i="1"/>
  <c r="E1606" i="1"/>
  <c r="C1606" i="1"/>
  <c r="E1605" i="1"/>
  <c r="C1605" i="1"/>
  <c r="E1604" i="1"/>
  <c r="C1604" i="1"/>
  <c r="E1603" i="1"/>
  <c r="C1603" i="1"/>
  <c r="E1602" i="1"/>
  <c r="C1602" i="1"/>
  <c r="E1601" i="1"/>
  <c r="C1601" i="1"/>
  <c r="E1600" i="1"/>
  <c r="C1600" i="1"/>
  <c r="E1599" i="1"/>
  <c r="C1599" i="1"/>
  <c r="E1598" i="1"/>
  <c r="C1598" i="1"/>
  <c r="E1597" i="1"/>
  <c r="C1597" i="1"/>
  <c r="E1596" i="1"/>
  <c r="C1596" i="1"/>
  <c r="E1595" i="1"/>
  <c r="C1595" i="1"/>
  <c r="E1594" i="1"/>
  <c r="C1594" i="1"/>
  <c r="E1593" i="1"/>
  <c r="C1593" i="1"/>
  <c r="E1592" i="1"/>
  <c r="C1592" i="1"/>
  <c r="E1591" i="1"/>
  <c r="C1591" i="1"/>
  <c r="E1590" i="1"/>
  <c r="C1590" i="1"/>
  <c r="E1589" i="1"/>
  <c r="C1589" i="1"/>
  <c r="E1588" i="1"/>
  <c r="C1588" i="1"/>
  <c r="E1587" i="1"/>
  <c r="C1587" i="1"/>
  <c r="E1586" i="1"/>
  <c r="C1586" i="1"/>
  <c r="E1585" i="1"/>
  <c r="C1585" i="1"/>
  <c r="E1584" i="1"/>
  <c r="C1584" i="1"/>
  <c r="E1583" i="1"/>
  <c r="C1583" i="1"/>
  <c r="E1582" i="1"/>
  <c r="C1582" i="1"/>
  <c r="E1581" i="1"/>
  <c r="C1581" i="1"/>
  <c r="E1580" i="1"/>
  <c r="C1580" i="1"/>
  <c r="E1579" i="1"/>
  <c r="C1579" i="1"/>
  <c r="E1578" i="1"/>
  <c r="C1578" i="1"/>
  <c r="E1577" i="1"/>
  <c r="C1577" i="1"/>
  <c r="E1576" i="1"/>
  <c r="C1576" i="1"/>
  <c r="E1575" i="1"/>
  <c r="C1575" i="1"/>
  <c r="E1574" i="1"/>
  <c r="C1574" i="1"/>
  <c r="E1573" i="1"/>
  <c r="C1573" i="1"/>
  <c r="E1572" i="1"/>
  <c r="C1572" i="1"/>
  <c r="E1571" i="1"/>
  <c r="C1571" i="1"/>
  <c r="E1570" i="1"/>
  <c r="C1570" i="1"/>
  <c r="E1569" i="1"/>
  <c r="C1569" i="1"/>
  <c r="E1568" i="1"/>
  <c r="C1568" i="1"/>
  <c r="E1567" i="1"/>
  <c r="C1567" i="1"/>
  <c r="E1566" i="1"/>
  <c r="C1566" i="1"/>
  <c r="E1565" i="1"/>
  <c r="C1565" i="1"/>
  <c r="E1564" i="1"/>
  <c r="C1564" i="1"/>
  <c r="E1563" i="1"/>
  <c r="C1563" i="1"/>
  <c r="E1562" i="1"/>
  <c r="C1562" i="1"/>
  <c r="E1561" i="1"/>
  <c r="C1561" i="1"/>
  <c r="E1560" i="1"/>
  <c r="C1560" i="1"/>
  <c r="E1559" i="1"/>
  <c r="C1559" i="1"/>
  <c r="E1558" i="1"/>
  <c r="C1558" i="1"/>
  <c r="E1557" i="1"/>
  <c r="C1557" i="1"/>
  <c r="E1556" i="1"/>
  <c r="C1556" i="1"/>
  <c r="E1555" i="1"/>
  <c r="C1555" i="1"/>
  <c r="E1554" i="1"/>
  <c r="C1554" i="1"/>
  <c r="E1553" i="1"/>
  <c r="C1553" i="1"/>
  <c r="E1552" i="1"/>
  <c r="C1552" i="1"/>
  <c r="E1551" i="1"/>
  <c r="C1551" i="1"/>
  <c r="E1550" i="1"/>
  <c r="C1550" i="1"/>
  <c r="E1549" i="1"/>
  <c r="C1549" i="1"/>
  <c r="E1548" i="1"/>
  <c r="C1548" i="1"/>
  <c r="E1547" i="1"/>
  <c r="C1547" i="1"/>
  <c r="E1546" i="1"/>
  <c r="C1546" i="1"/>
  <c r="E1545" i="1"/>
  <c r="C1545" i="1"/>
  <c r="E1544" i="1"/>
  <c r="C1544" i="1"/>
  <c r="E1543" i="1"/>
  <c r="C1543" i="1"/>
  <c r="E1542" i="1"/>
  <c r="C1542" i="1"/>
  <c r="E1541" i="1"/>
  <c r="C1541" i="1"/>
  <c r="E1540" i="1"/>
  <c r="C1540" i="1"/>
  <c r="E1539" i="1"/>
  <c r="C1539" i="1"/>
  <c r="E1538" i="1"/>
  <c r="C1538" i="1"/>
  <c r="E1537" i="1"/>
  <c r="C1537" i="1"/>
  <c r="E1536" i="1"/>
  <c r="C1536" i="1"/>
  <c r="E1535" i="1"/>
  <c r="C1535" i="1"/>
  <c r="E1534" i="1"/>
  <c r="C1534" i="1"/>
  <c r="E1533" i="1"/>
  <c r="C1533" i="1"/>
  <c r="E1532" i="1"/>
  <c r="C1532" i="1"/>
  <c r="E1531" i="1"/>
  <c r="C1531" i="1"/>
  <c r="E1530" i="1"/>
  <c r="C1530" i="1"/>
  <c r="E1529" i="1"/>
  <c r="C1529" i="1"/>
  <c r="E1528" i="1"/>
  <c r="C1528" i="1"/>
  <c r="E1527" i="1"/>
  <c r="C1527" i="1"/>
  <c r="E1526" i="1"/>
  <c r="C1526" i="1"/>
  <c r="E1525" i="1"/>
  <c r="C1525" i="1"/>
  <c r="E1524" i="1"/>
  <c r="C1524" i="1"/>
  <c r="E1523" i="1"/>
  <c r="C1523" i="1"/>
  <c r="E1522" i="1"/>
  <c r="C1522" i="1"/>
  <c r="E1521" i="1"/>
  <c r="C1521" i="1"/>
  <c r="E1520" i="1"/>
  <c r="C1520" i="1"/>
  <c r="E1519" i="1"/>
  <c r="C1519" i="1"/>
  <c r="E1518" i="1"/>
  <c r="C1518" i="1"/>
  <c r="E1517" i="1"/>
  <c r="C1517" i="1"/>
  <c r="E1516" i="1"/>
  <c r="C1516" i="1"/>
  <c r="E1515" i="1"/>
  <c r="C1515" i="1"/>
  <c r="E1514" i="1"/>
  <c r="C1514" i="1"/>
  <c r="E1513" i="1"/>
  <c r="C1513" i="1"/>
  <c r="E1512" i="1"/>
  <c r="C1512" i="1"/>
  <c r="E1511" i="1"/>
  <c r="C1511" i="1"/>
  <c r="E1510" i="1"/>
  <c r="C1510" i="1"/>
  <c r="E1509" i="1"/>
  <c r="C1509" i="1"/>
  <c r="E1508" i="1"/>
  <c r="C1508" i="1"/>
  <c r="E1507" i="1"/>
  <c r="C1507" i="1"/>
  <c r="E1506" i="1"/>
  <c r="C1506" i="1"/>
  <c r="E1505" i="1"/>
  <c r="C1505" i="1"/>
  <c r="E1504" i="1"/>
  <c r="C1504" i="1"/>
  <c r="E1503" i="1"/>
  <c r="C1503" i="1"/>
  <c r="E1502" i="1"/>
  <c r="C1502" i="1"/>
  <c r="E1501" i="1"/>
  <c r="C1501" i="1"/>
  <c r="E1500" i="1"/>
  <c r="C1500" i="1"/>
  <c r="E1499" i="1"/>
  <c r="C1499" i="1"/>
  <c r="E1498" i="1"/>
  <c r="C1498" i="1"/>
  <c r="E1497" i="1"/>
  <c r="C1497" i="1"/>
  <c r="E1496" i="1"/>
  <c r="C1496" i="1"/>
  <c r="E1495" i="1"/>
  <c r="C1495" i="1"/>
  <c r="E1494" i="1"/>
  <c r="C1494" i="1"/>
  <c r="E1493" i="1"/>
  <c r="C1493" i="1"/>
  <c r="E1492" i="1"/>
  <c r="C1492" i="1"/>
  <c r="E1491" i="1"/>
  <c r="C1491" i="1"/>
  <c r="E1490" i="1"/>
  <c r="C1490" i="1"/>
  <c r="E1489" i="1"/>
  <c r="C1489" i="1"/>
  <c r="E1488" i="1"/>
  <c r="C1488" i="1"/>
  <c r="E1487" i="1"/>
  <c r="C1487" i="1"/>
  <c r="E1486" i="1"/>
  <c r="C1486" i="1"/>
  <c r="E1485" i="1"/>
  <c r="C1485" i="1"/>
  <c r="E1484" i="1"/>
  <c r="C1484" i="1"/>
  <c r="E1483" i="1"/>
  <c r="C1483" i="1"/>
  <c r="E1482" i="1"/>
  <c r="C1482" i="1"/>
  <c r="E1481" i="1"/>
  <c r="C1481" i="1"/>
  <c r="E1480" i="1"/>
  <c r="C1480" i="1"/>
  <c r="E1479" i="1"/>
  <c r="C1479" i="1"/>
  <c r="E1478" i="1"/>
  <c r="C1478" i="1"/>
  <c r="E1477" i="1"/>
  <c r="C1477" i="1"/>
  <c r="E1476" i="1"/>
  <c r="C1476" i="1"/>
  <c r="E1475" i="1"/>
  <c r="C1475" i="1"/>
  <c r="E1474" i="1"/>
  <c r="C1474" i="1"/>
  <c r="E1473" i="1"/>
  <c r="C1473" i="1"/>
  <c r="E1472" i="1"/>
  <c r="C1472" i="1"/>
  <c r="E1471" i="1"/>
  <c r="C1471" i="1"/>
  <c r="E1470" i="1"/>
  <c r="C1470" i="1"/>
  <c r="E1469" i="1"/>
  <c r="C1469" i="1"/>
  <c r="E1468" i="1"/>
  <c r="C1468" i="1"/>
  <c r="E1467" i="1"/>
  <c r="C1467" i="1"/>
  <c r="E1466" i="1"/>
  <c r="C1466" i="1"/>
  <c r="E1465" i="1"/>
  <c r="C1465" i="1"/>
  <c r="E1464" i="1"/>
  <c r="C1464" i="1"/>
  <c r="E1463" i="1"/>
  <c r="C1463" i="1"/>
  <c r="E1462" i="1"/>
  <c r="C1462" i="1"/>
  <c r="E1461" i="1"/>
  <c r="C1461" i="1"/>
  <c r="E1460" i="1"/>
  <c r="C1460" i="1"/>
  <c r="E1459" i="1"/>
  <c r="C1459" i="1"/>
  <c r="E1458" i="1"/>
  <c r="C1458" i="1"/>
  <c r="E1457" i="1"/>
  <c r="C1457" i="1"/>
  <c r="E1456" i="1"/>
  <c r="C1456" i="1"/>
  <c r="E1455" i="1"/>
  <c r="C1455" i="1"/>
  <c r="E1454" i="1"/>
  <c r="C1454" i="1"/>
  <c r="E1453" i="1"/>
  <c r="C1453" i="1"/>
  <c r="E1452" i="1"/>
  <c r="C1452" i="1"/>
  <c r="E1451" i="1"/>
  <c r="C1451" i="1"/>
  <c r="E1450" i="1"/>
  <c r="C1450" i="1"/>
  <c r="E1449" i="1"/>
  <c r="C1449" i="1"/>
  <c r="E1448" i="1"/>
  <c r="C1448" i="1"/>
  <c r="E1447" i="1"/>
  <c r="C1447" i="1"/>
  <c r="E1446" i="1"/>
  <c r="C1446" i="1"/>
  <c r="E1445" i="1"/>
  <c r="C1445" i="1"/>
  <c r="E1444" i="1"/>
  <c r="C1444" i="1"/>
  <c r="E1443" i="1"/>
  <c r="C1443" i="1"/>
  <c r="E1442" i="1"/>
  <c r="C1442" i="1"/>
  <c r="E1441" i="1"/>
  <c r="C1441" i="1"/>
  <c r="E1440" i="1"/>
  <c r="C1440" i="1"/>
  <c r="E1439" i="1"/>
  <c r="C1439" i="1"/>
  <c r="E1438" i="1"/>
  <c r="C1438" i="1"/>
  <c r="E1437" i="1"/>
  <c r="C1437" i="1"/>
  <c r="E1436" i="1"/>
  <c r="C1436" i="1"/>
  <c r="E1435" i="1"/>
  <c r="C1435" i="1"/>
  <c r="E1434" i="1"/>
  <c r="C1434" i="1"/>
  <c r="E1433" i="1"/>
  <c r="C1433" i="1"/>
  <c r="E1432" i="1"/>
  <c r="C1432" i="1"/>
  <c r="E1431" i="1"/>
  <c r="C1431" i="1"/>
  <c r="E1430" i="1"/>
  <c r="C1430" i="1"/>
  <c r="E1429" i="1"/>
  <c r="C1429" i="1"/>
  <c r="E1428" i="1"/>
  <c r="C1428" i="1"/>
  <c r="E1427" i="1"/>
  <c r="C1427" i="1"/>
  <c r="E1426" i="1"/>
  <c r="C1426" i="1"/>
  <c r="E1425" i="1"/>
  <c r="C1425" i="1"/>
  <c r="E1424" i="1"/>
  <c r="C1424" i="1"/>
  <c r="E1423" i="1"/>
  <c r="C1423" i="1"/>
  <c r="E1422" i="1"/>
  <c r="C1422" i="1"/>
  <c r="E1421" i="1"/>
  <c r="C1421" i="1"/>
  <c r="E1420" i="1"/>
  <c r="C1420" i="1"/>
  <c r="E1419" i="1"/>
  <c r="C1419" i="1"/>
  <c r="E1418" i="1"/>
  <c r="C1418" i="1"/>
  <c r="E1417" i="1"/>
  <c r="C1417" i="1"/>
  <c r="E1416" i="1"/>
  <c r="C1416" i="1"/>
  <c r="E1415" i="1"/>
  <c r="C1415" i="1"/>
  <c r="E1414" i="1"/>
  <c r="C1414" i="1"/>
  <c r="E1413" i="1"/>
  <c r="C1413" i="1"/>
  <c r="E1412" i="1"/>
  <c r="C1412" i="1"/>
  <c r="E1411" i="1"/>
  <c r="C1411" i="1"/>
  <c r="E1410" i="1"/>
  <c r="C1410" i="1"/>
  <c r="E1409" i="1"/>
  <c r="C1409" i="1"/>
  <c r="E1408" i="1"/>
  <c r="C1408" i="1"/>
  <c r="E1407" i="1"/>
  <c r="C1407" i="1"/>
  <c r="E1406" i="1"/>
  <c r="C1406" i="1"/>
  <c r="E1405" i="1"/>
  <c r="C1405" i="1"/>
  <c r="E1404" i="1"/>
  <c r="C1404" i="1"/>
  <c r="E1403" i="1"/>
  <c r="C1403" i="1"/>
  <c r="E1402" i="1"/>
  <c r="C1402" i="1"/>
  <c r="E1401" i="1"/>
  <c r="C1401" i="1"/>
  <c r="E1400" i="1"/>
  <c r="C1400" i="1"/>
  <c r="E1399" i="1"/>
  <c r="C1399" i="1"/>
  <c r="E1398" i="1"/>
  <c r="C1398" i="1"/>
  <c r="E1397" i="1"/>
  <c r="C1397" i="1"/>
  <c r="E1396" i="1"/>
  <c r="C1396" i="1"/>
  <c r="E1395" i="1"/>
  <c r="C1395" i="1"/>
  <c r="E1394" i="1"/>
  <c r="C1394" i="1"/>
  <c r="E1393" i="1"/>
  <c r="C1393" i="1"/>
  <c r="E1392" i="1"/>
  <c r="C1392" i="1"/>
  <c r="E1391" i="1"/>
  <c r="C1391" i="1"/>
  <c r="E1390" i="1"/>
  <c r="C1390" i="1"/>
  <c r="E1389" i="1"/>
  <c r="C1389" i="1"/>
  <c r="E1388" i="1"/>
  <c r="C1388" i="1"/>
  <c r="E1387" i="1"/>
  <c r="C1387" i="1"/>
  <c r="E1386" i="1"/>
  <c r="C1386" i="1"/>
  <c r="E1385" i="1"/>
  <c r="C1385" i="1"/>
  <c r="E1384" i="1"/>
  <c r="C1384" i="1"/>
  <c r="E1383" i="1"/>
  <c r="C1383" i="1"/>
  <c r="E1382" i="1"/>
  <c r="C1382" i="1"/>
  <c r="E1381" i="1"/>
  <c r="C1381" i="1"/>
  <c r="E1380" i="1"/>
  <c r="C1380" i="1"/>
  <c r="E1379" i="1"/>
  <c r="C1379" i="1"/>
  <c r="E1378" i="1"/>
  <c r="C1378" i="1"/>
  <c r="E1377" i="1"/>
  <c r="C1377" i="1"/>
  <c r="E1376" i="1"/>
  <c r="C1376" i="1"/>
  <c r="E1375" i="1"/>
  <c r="C1375" i="1"/>
  <c r="E1374" i="1"/>
  <c r="C1374" i="1"/>
  <c r="E1373" i="1"/>
  <c r="C1373" i="1"/>
  <c r="E1372" i="1"/>
  <c r="C1372" i="1"/>
  <c r="E1371" i="1"/>
  <c r="C1371" i="1"/>
  <c r="E1370" i="1"/>
  <c r="C1370" i="1"/>
  <c r="E1369" i="1"/>
  <c r="C1369" i="1"/>
  <c r="E1368" i="1"/>
  <c r="C1368" i="1"/>
  <c r="E1367" i="1"/>
  <c r="C1367" i="1"/>
  <c r="E1366" i="1"/>
  <c r="C1366" i="1"/>
  <c r="E1365" i="1"/>
  <c r="C1365" i="1"/>
  <c r="E1364" i="1"/>
  <c r="C1364" i="1"/>
  <c r="E1363" i="1"/>
  <c r="C1363" i="1"/>
  <c r="E1362" i="1"/>
  <c r="C1362" i="1"/>
  <c r="E1361" i="1"/>
  <c r="C1361" i="1"/>
  <c r="E1360" i="1"/>
  <c r="C1360" i="1"/>
  <c r="E1359" i="1"/>
  <c r="C1359" i="1"/>
  <c r="E1358" i="1"/>
  <c r="C1358" i="1"/>
  <c r="E1357" i="1"/>
  <c r="C1357" i="1"/>
  <c r="E1356" i="1"/>
  <c r="C1356" i="1"/>
  <c r="E1355" i="1"/>
  <c r="C1355" i="1"/>
  <c r="E1354" i="1"/>
  <c r="C1354" i="1"/>
  <c r="E1353" i="1"/>
  <c r="C1353" i="1"/>
  <c r="E1352" i="1"/>
  <c r="C1352" i="1"/>
  <c r="E1351" i="1"/>
  <c r="C1351" i="1"/>
  <c r="E1350" i="1"/>
  <c r="C1350" i="1"/>
  <c r="E1349" i="1"/>
  <c r="C1349" i="1"/>
  <c r="E1348" i="1"/>
  <c r="C1348" i="1"/>
  <c r="E1347" i="1"/>
  <c r="C1347" i="1"/>
  <c r="E1346" i="1"/>
  <c r="C1346" i="1"/>
  <c r="E1345" i="1"/>
  <c r="C1345" i="1"/>
  <c r="E1344" i="1"/>
  <c r="C1344" i="1"/>
  <c r="E1343" i="1"/>
  <c r="C1343" i="1"/>
  <c r="E1342" i="1"/>
  <c r="C1342" i="1"/>
  <c r="E1341" i="1"/>
  <c r="C1341" i="1"/>
  <c r="E1340" i="1"/>
  <c r="C1340" i="1"/>
  <c r="E1339" i="1"/>
  <c r="C1339" i="1"/>
  <c r="E1338" i="1"/>
  <c r="C1338" i="1"/>
  <c r="E1337" i="1"/>
  <c r="C1337" i="1"/>
  <c r="E1336" i="1"/>
  <c r="C1336" i="1"/>
  <c r="E1335" i="1"/>
  <c r="C1335" i="1"/>
  <c r="E1334" i="1"/>
  <c r="C1334" i="1"/>
  <c r="E1333" i="1"/>
  <c r="C1333" i="1"/>
  <c r="E1332" i="1"/>
  <c r="C1332" i="1"/>
  <c r="E1331" i="1"/>
  <c r="C1331" i="1"/>
  <c r="E1330" i="1"/>
  <c r="C1330" i="1"/>
  <c r="E1329" i="1"/>
  <c r="C1329" i="1"/>
  <c r="E1328" i="1"/>
  <c r="C1328" i="1"/>
  <c r="E1327" i="1"/>
  <c r="C1327" i="1"/>
  <c r="E1326" i="1"/>
  <c r="C1326" i="1"/>
  <c r="E1325" i="1"/>
  <c r="C1325" i="1"/>
  <c r="E1324" i="1"/>
  <c r="C1324" i="1"/>
  <c r="E1323" i="1"/>
  <c r="C1323" i="1"/>
  <c r="E1322" i="1"/>
  <c r="C1322" i="1"/>
  <c r="E1321" i="1"/>
  <c r="C1321" i="1"/>
  <c r="E1320" i="1"/>
  <c r="C1320" i="1"/>
  <c r="E1319" i="1"/>
  <c r="C1319" i="1"/>
  <c r="E1318" i="1"/>
  <c r="C1318" i="1"/>
  <c r="E1317" i="1"/>
  <c r="C1317" i="1"/>
  <c r="E1316" i="1"/>
  <c r="C1316" i="1"/>
  <c r="E1315" i="1"/>
  <c r="C1315" i="1"/>
  <c r="E1314" i="1"/>
  <c r="C1314" i="1"/>
  <c r="E1313" i="1"/>
  <c r="C1313" i="1"/>
  <c r="E1312" i="1"/>
  <c r="C1312" i="1"/>
  <c r="E1311" i="1"/>
  <c r="C1311" i="1"/>
  <c r="E1310" i="1"/>
  <c r="C1310" i="1"/>
  <c r="E1309" i="1"/>
  <c r="C1309" i="1"/>
  <c r="E1308" i="1"/>
  <c r="C1308" i="1"/>
  <c r="E1307" i="1"/>
  <c r="C1307" i="1"/>
  <c r="E1306" i="1"/>
  <c r="C1306" i="1"/>
  <c r="E1305" i="1"/>
  <c r="C1305" i="1"/>
  <c r="E1304" i="1"/>
  <c r="C1304" i="1"/>
  <c r="E1303" i="1"/>
  <c r="C1303" i="1"/>
  <c r="E1302" i="1"/>
  <c r="C1302" i="1"/>
  <c r="E1301" i="1"/>
  <c r="C1301" i="1"/>
  <c r="E1300" i="1"/>
  <c r="C1300" i="1"/>
  <c r="E1299" i="1"/>
  <c r="C1299" i="1"/>
  <c r="E1298" i="1"/>
  <c r="C1298" i="1"/>
  <c r="E1297" i="1"/>
  <c r="C1297" i="1"/>
  <c r="E1296" i="1"/>
  <c r="C1296" i="1"/>
  <c r="E1295" i="1"/>
  <c r="C1295" i="1"/>
  <c r="E1294" i="1"/>
  <c r="C1294" i="1"/>
  <c r="E1293" i="1"/>
  <c r="C1293" i="1"/>
  <c r="E1292" i="1"/>
  <c r="C1292" i="1"/>
  <c r="E1291" i="1"/>
  <c r="C1291" i="1"/>
  <c r="E1290" i="1"/>
  <c r="C1290" i="1"/>
  <c r="E1289" i="1"/>
  <c r="C1289" i="1"/>
  <c r="E1288" i="1"/>
  <c r="C1288" i="1"/>
  <c r="E1287" i="1"/>
  <c r="C1287" i="1"/>
  <c r="E1286" i="1"/>
  <c r="C1286" i="1"/>
  <c r="E1285" i="1"/>
  <c r="C1285" i="1"/>
  <c r="E1284" i="1"/>
  <c r="C1284" i="1"/>
  <c r="E1283" i="1"/>
  <c r="C1283" i="1"/>
  <c r="E1282" i="1"/>
  <c r="C1282" i="1"/>
  <c r="E1281" i="1"/>
  <c r="C1281" i="1"/>
  <c r="E1280" i="1"/>
  <c r="C1280" i="1"/>
  <c r="E1279" i="1"/>
  <c r="C1279" i="1"/>
  <c r="E1278" i="1"/>
  <c r="C1278" i="1"/>
  <c r="E1277" i="1"/>
  <c r="C1277" i="1"/>
  <c r="E1276" i="1"/>
  <c r="C1276" i="1"/>
  <c r="E1275" i="1"/>
  <c r="C1275" i="1"/>
  <c r="E1274" i="1"/>
  <c r="C1274" i="1"/>
  <c r="E1273" i="1"/>
  <c r="C1273" i="1"/>
  <c r="E1272" i="1"/>
  <c r="C1272" i="1"/>
  <c r="E1271" i="1"/>
  <c r="C1271" i="1"/>
  <c r="E1270" i="1"/>
  <c r="C1270" i="1"/>
  <c r="E1269" i="1"/>
  <c r="C1269" i="1"/>
  <c r="E1268" i="1"/>
  <c r="C1268" i="1"/>
  <c r="E1267" i="1"/>
  <c r="C1267" i="1"/>
  <c r="E1266" i="1"/>
  <c r="C1266" i="1"/>
  <c r="E1265" i="1"/>
  <c r="C1265" i="1"/>
  <c r="E1264" i="1"/>
  <c r="C1264" i="1"/>
  <c r="E1263" i="1"/>
  <c r="C1263" i="1"/>
  <c r="E1262" i="1"/>
  <c r="C1262" i="1"/>
  <c r="E1261" i="1"/>
  <c r="C1261" i="1"/>
  <c r="E1260" i="1"/>
  <c r="C1260" i="1"/>
  <c r="E1259" i="1"/>
  <c r="C1259" i="1"/>
  <c r="E1258" i="1"/>
  <c r="C1258" i="1"/>
  <c r="E1257" i="1"/>
  <c r="C1257" i="1"/>
  <c r="E1256" i="1"/>
  <c r="C1256" i="1"/>
  <c r="E1255" i="1"/>
  <c r="C1255" i="1"/>
  <c r="E1254" i="1"/>
  <c r="C1254" i="1"/>
  <c r="E1253" i="1"/>
  <c r="C1253" i="1"/>
  <c r="E1252" i="1"/>
  <c r="C1252" i="1"/>
  <c r="E1251" i="1"/>
  <c r="C1251" i="1"/>
  <c r="E1250" i="1"/>
  <c r="C1250" i="1"/>
  <c r="E1249" i="1"/>
  <c r="C1249" i="1"/>
  <c r="E1248" i="1"/>
  <c r="C1248" i="1"/>
  <c r="E1247" i="1"/>
  <c r="C1247" i="1"/>
  <c r="E1246" i="1"/>
  <c r="C1246" i="1"/>
  <c r="E1245" i="1"/>
  <c r="C1245" i="1"/>
  <c r="E1244" i="1"/>
  <c r="C1244" i="1"/>
  <c r="E1243" i="1"/>
  <c r="C1243" i="1"/>
  <c r="E1242" i="1"/>
  <c r="C1242" i="1"/>
  <c r="E1241" i="1"/>
  <c r="C1241" i="1"/>
  <c r="E1240" i="1"/>
  <c r="C1240" i="1"/>
  <c r="E1239" i="1"/>
  <c r="C1239" i="1"/>
  <c r="E1238" i="1"/>
  <c r="C1238" i="1"/>
  <c r="E1237" i="1"/>
  <c r="C1237" i="1"/>
  <c r="E1236" i="1"/>
  <c r="C1236" i="1"/>
  <c r="E1235" i="1"/>
  <c r="C1235" i="1"/>
  <c r="E1234" i="1"/>
  <c r="C1234" i="1"/>
  <c r="E1233" i="1"/>
  <c r="C1233" i="1"/>
  <c r="E1232" i="1"/>
  <c r="C1232" i="1"/>
  <c r="E1231" i="1"/>
  <c r="C1231" i="1"/>
  <c r="E1230" i="1"/>
  <c r="C1230" i="1"/>
  <c r="E1229" i="1"/>
  <c r="C1229" i="1"/>
  <c r="E1228" i="1"/>
  <c r="C1228" i="1"/>
  <c r="E1227" i="1"/>
  <c r="C1227" i="1"/>
  <c r="E1226" i="1"/>
  <c r="C1226" i="1"/>
  <c r="E1225" i="1"/>
  <c r="C1225" i="1"/>
  <c r="E1224" i="1"/>
  <c r="C1224" i="1"/>
  <c r="E1223" i="1"/>
  <c r="C1223" i="1"/>
  <c r="E1222" i="1"/>
  <c r="C1222" i="1"/>
  <c r="E1221" i="1"/>
  <c r="C1221" i="1"/>
  <c r="E1220" i="1"/>
  <c r="C1220" i="1"/>
  <c r="E1219" i="1"/>
  <c r="C1219" i="1"/>
  <c r="E1218" i="1"/>
  <c r="C1218" i="1"/>
  <c r="E1217" i="1"/>
  <c r="C1217" i="1"/>
  <c r="E1216" i="1"/>
  <c r="C1216" i="1"/>
  <c r="E1215" i="1"/>
  <c r="C1215" i="1"/>
  <c r="E1214" i="1"/>
  <c r="C1214" i="1"/>
  <c r="E1213" i="1"/>
  <c r="C1213" i="1"/>
  <c r="E1212" i="1"/>
  <c r="C1212" i="1"/>
  <c r="E1211" i="1"/>
  <c r="C1211" i="1"/>
  <c r="E1210" i="1"/>
  <c r="C1210" i="1"/>
  <c r="E1209" i="1"/>
  <c r="C1209" i="1"/>
  <c r="E1208" i="1"/>
  <c r="C1208" i="1"/>
  <c r="E1207" i="1"/>
  <c r="C1207" i="1"/>
  <c r="E1206" i="1"/>
  <c r="C1206" i="1"/>
  <c r="E1205" i="1"/>
  <c r="C1205" i="1"/>
  <c r="E1204" i="1"/>
  <c r="C1204" i="1"/>
  <c r="E1203" i="1"/>
  <c r="C1203" i="1"/>
  <c r="E1202" i="1"/>
  <c r="C1202" i="1"/>
  <c r="E1201" i="1"/>
  <c r="C1201" i="1"/>
  <c r="E1200" i="1"/>
  <c r="C1200" i="1"/>
  <c r="E1199" i="1"/>
  <c r="C1199" i="1"/>
  <c r="E1198" i="1"/>
  <c r="C1198" i="1"/>
  <c r="E1197" i="1"/>
  <c r="C1197" i="1"/>
  <c r="E1196" i="1"/>
  <c r="C1196" i="1"/>
  <c r="E1195" i="1"/>
  <c r="C1195" i="1"/>
  <c r="E1194" i="1"/>
  <c r="C1194" i="1"/>
  <c r="E1193" i="1"/>
  <c r="C1193" i="1"/>
  <c r="E1192" i="1"/>
  <c r="C1192" i="1"/>
  <c r="E1191" i="1"/>
  <c r="C1191" i="1"/>
  <c r="E1190" i="1"/>
  <c r="C1190" i="1"/>
  <c r="E1189" i="1"/>
  <c r="C1189" i="1"/>
  <c r="E1188" i="1"/>
  <c r="C1188" i="1"/>
  <c r="E1187" i="1"/>
  <c r="C1187" i="1"/>
  <c r="E1186" i="1"/>
  <c r="C1186" i="1"/>
  <c r="E1185" i="1"/>
  <c r="C1185" i="1"/>
  <c r="E1184" i="1"/>
  <c r="C1184" i="1"/>
  <c r="E1183" i="1"/>
  <c r="C1183" i="1"/>
  <c r="E1182" i="1"/>
  <c r="C1182" i="1"/>
  <c r="E1181" i="1"/>
  <c r="C1181" i="1"/>
  <c r="E1180" i="1"/>
  <c r="C1180" i="1"/>
  <c r="E1179" i="1"/>
  <c r="C1179" i="1"/>
  <c r="E1178" i="1"/>
  <c r="C1178" i="1"/>
  <c r="E1177" i="1"/>
  <c r="C1177" i="1"/>
  <c r="E1176" i="1"/>
  <c r="C1176" i="1"/>
  <c r="E1175" i="1"/>
  <c r="C1175" i="1"/>
  <c r="E1174" i="1"/>
  <c r="C1174" i="1"/>
  <c r="E1173" i="1"/>
  <c r="C1173" i="1"/>
  <c r="E1172" i="1"/>
  <c r="C1172" i="1"/>
  <c r="E1171" i="1"/>
  <c r="C1171" i="1"/>
  <c r="E1170" i="1"/>
  <c r="C1170" i="1"/>
  <c r="E1169" i="1"/>
  <c r="C1169" i="1"/>
  <c r="E1168" i="1"/>
  <c r="C1168" i="1"/>
  <c r="E1167" i="1"/>
  <c r="C1167" i="1"/>
  <c r="E1166" i="1"/>
  <c r="C1166" i="1"/>
  <c r="E1165" i="1"/>
  <c r="C1165" i="1"/>
  <c r="E1164" i="1"/>
  <c r="C1164" i="1"/>
  <c r="E1163" i="1"/>
  <c r="C1163" i="1"/>
  <c r="E1162" i="1"/>
  <c r="C1162" i="1"/>
  <c r="E1161" i="1"/>
  <c r="C1161" i="1"/>
  <c r="E1160" i="1"/>
  <c r="C1160" i="1"/>
  <c r="E1159" i="1"/>
  <c r="C1159" i="1"/>
  <c r="E1158" i="1"/>
  <c r="C1158" i="1"/>
  <c r="E1157" i="1"/>
  <c r="C1157" i="1"/>
  <c r="E1156" i="1"/>
  <c r="C1156" i="1"/>
  <c r="E1155" i="1"/>
  <c r="C1155" i="1"/>
  <c r="E1154" i="1"/>
  <c r="C1154" i="1"/>
  <c r="E1153" i="1"/>
  <c r="C1153" i="1"/>
  <c r="E1152" i="1"/>
  <c r="C1152" i="1"/>
  <c r="E1151" i="1"/>
  <c r="C1151" i="1"/>
  <c r="E1150" i="1"/>
  <c r="C1150" i="1"/>
  <c r="E1149" i="1"/>
  <c r="C1149" i="1"/>
  <c r="E1148" i="1"/>
  <c r="C1148" i="1"/>
  <c r="E1147" i="1"/>
  <c r="C1147" i="1"/>
  <c r="E1146" i="1"/>
  <c r="C1146" i="1"/>
  <c r="E1145" i="1"/>
  <c r="C1145" i="1"/>
  <c r="E1144" i="1"/>
  <c r="C1144" i="1"/>
  <c r="E1143" i="1"/>
  <c r="C1143" i="1"/>
  <c r="E1142" i="1"/>
  <c r="C1142" i="1"/>
  <c r="E1141" i="1"/>
  <c r="C1141" i="1"/>
  <c r="E1140" i="1"/>
  <c r="C1140" i="1"/>
  <c r="E1139" i="1"/>
  <c r="C1139" i="1"/>
  <c r="E1138" i="1"/>
  <c r="C1138" i="1"/>
  <c r="E1137" i="1"/>
  <c r="C1137" i="1"/>
  <c r="E1136" i="1"/>
  <c r="C1136" i="1"/>
  <c r="E1135" i="1"/>
  <c r="C1135" i="1"/>
  <c r="E1134" i="1"/>
  <c r="C1134" i="1"/>
  <c r="E1133" i="1"/>
  <c r="C1133" i="1"/>
  <c r="E1132" i="1"/>
  <c r="C1132" i="1"/>
  <c r="E1131" i="1"/>
  <c r="C1131" i="1"/>
  <c r="E1130" i="1"/>
  <c r="C1130" i="1"/>
  <c r="E1129" i="1"/>
  <c r="C1129" i="1"/>
  <c r="E1128" i="1"/>
  <c r="C1128" i="1"/>
  <c r="E1127" i="1"/>
  <c r="C1127" i="1"/>
  <c r="E1126" i="1"/>
  <c r="C1126" i="1"/>
  <c r="E1125" i="1"/>
  <c r="C1125" i="1"/>
  <c r="E1124" i="1"/>
  <c r="C1124" i="1"/>
  <c r="E1123" i="1"/>
  <c r="C1123" i="1"/>
  <c r="E1122" i="1"/>
  <c r="C1122" i="1"/>
  <c r="E1121" i="1"/>
  <c r="C1121" i="1"/>
  <c r="E1120" i="1"/>
  <c r="C1120" i="1"/>
  <c r="E1119" i="1"/>
  <c r="C1119" i="1"/>
  <c r="E1118" i="1"/>
  <c r="C1118" i="1"/>
  <c r="E1117" i="1"/>
  <c r="C1117" i="1"/>
  <c r="E1116" i="1"/>
  <c r="C1116" i="1"/>
  <c r="E1115" i="1"/>
  <c r="C1115" i="1"/>
  <c r="E1114" i="1"/>
  <c r="C1114" i="1"/>
  <c r="E1113" i="1"/>
  <c r="C1113" i="1"/>
  <c r="E1112" i="1"/>
  <c r="C1112" i="1"/>
  <c r="E1111" i="1"/>
  <c r="C1111" i="1"/>
  <c r="E1110" i="1"/>
  <c r="C1110" i="1"/>
  <c r="E1109" i="1"/>
  <c r="C1109" i="1"/>
  <c r="E1108" i="1"/>
  <c r="C1108" i="1"/>
  <c r="E1107" i="1"/>
  <c r="C1107" i="1"/>
  <c r="E1106" i="1"/>
  <c r="C1106" i="1"/>
  <c r="E1105" i="1"/>
  <c r="C1105" i="1"/>
  <c r="E1104" i="1"/>
  <c r="C1104" i="1"/>
  <c r="E1103" i="1"/>
  <c r="C1103" i="1"/>
  <c r="E1102" i="1"/>
  <c r="C1102" i="1"/>
  <c r="E1101" i="1"/>
  <c r="C1101" i="1"/>
  <c r="E1100" i="1"/>
  <c r="C1100" i="1"/>
  <c r="E1099" i="1"/>
  <c r="C1099" i="1"/>
  <c r="E1098" i="1"/>
  <c r="C1098" i="1"/>
  <c r="E1097" i="1"/>
  <c r="C1097" i="1"/>
  <c r="E1096" i="1"/>
  <c r="C1096" i="1"/>
  <c r="E1095" i="1"/>
  <c r="C1095" i="1"/>
  <c r="E1094" i="1"/>
  <c r="C1094" i="1"/>
  <c r="E1093" i="1"/>
  <c r="C1093" i="1"/>
  <c r="E1092" i="1"/>
  <c r="C1092" i="1"/>
  <c r="E1091" i="1"/>
  <c r="C1091" i="1"/>
  <c r="E1090" i="1"/>
  <c r="C1090" i="1"/>
  <c r="E1089" i="1"/>
  <c r="C1089" i="1"/>
  <c r="E1088" i="1"/>
  <c r="C1088" i="1"/>
  <c r="E1087" i="1"/>
  <c r="C1087" i="1"/>
  <c r="E1086" i="1"/>
  <c r="C1086" i="1"/>
  <c r="E1085" i="1"/>
  <c r="C1085" i="1"/>
  <c r="E1084" i="1"/>
  <c r="C1084" i="1"/>
  <c r="E1083" i="1"/>
  <c r="C1083" i="1"/>
  <c r="E1082" i="1"/>
  <c r="C1082" i="1"/>
  <c r="E1081" i="1"/>
  <c r="C1081" i="1"/>
  <c r="E1080" i="1"/>
  <c r="C1080" i="1"/>
  <c r="E1079" i="1"/>
  <c r="C1079" i="1"/>
  <c r="E1078" i="1"/>
  <c r="C1078" i="1"/>
  <c r="E1077" i="1"/>
  <c r="C1077" i="1"/>
  <c r="E1076" i="1"/>
  <c r="C1076" i="1"/>
  <c r="E1075" i="1"/>
  <c r="C1075" i="1"/>
  <c r="E1074" i="1"/>
  <c r="C1074" i="1"/>
  <c r="E1073" i="1"/>
  <c r="C1073" i="1"/>
  <c r="E1072" i="1"/>
  <c r="C1072" i="1"/>
  <c r="E1071" i="1"/>
  <c r="C1071" i="1"/>
  <c r="E1070" i="1"/>
  <c r="C1070" i="1"/>
  <c r="E1069" i="1"/>
  <c r="C1069" i="1"/>
  <c r="E1068" i="1"/>
  <c r="C1068" i="1"/>
  <c r="E1067" i="1"/>
  <c r="C1067" i="1"/>
  <c r="E1066" i="1"/>
  <c r="C1066" i="1"/>
  <c r="E1065" i="1"/>
  <c r="C1065" i="1"/>
  <c r="E1064" i="1"/>
  <c r="C1064" i="1"/>
  <c r="E1063" i="1"/>
  <c r="C1063" i="1"/>
  <c r="E1062" i="1"/>
  <c r="C1062" i="1"/>
  <c r="E1061" i="1"/>
  <c r="C1061" i="1"/>
  <c r="E1060" i="1"/>
  <c r="C1060" i="1"/>
  <c r="E1059" i="1"/>
  <c r="C1059" i="1"/>
  <c r="E1058" i="1"/>
  <c r="C1058" i="1"/>
  <c r="E1057" i="1"/>
  <c r="C1057" i="1"/>
  <c r="E1056" i="1"/>
  <c r="C1056" i="1"/>
  <c r="E1055" i="1"/>
  <c r="C1055" i="1"/>
  <c r="E1054" i="1"/>
  <c r="C1054" i="1"/>
  <c r="E1053" i="1"/>
  <c r="C1053" i="1"/>
  <c r="E1052" i="1"/>
  <c r="C1052" i="1"/>
  <c r="E1051" i="1"/>
  <c r="C1051" i="1"/>
  <c r="E1050" i="1"/>
  <c r="C1050" i="1"/>
  <c r="E1049" i="1"/>
  <c r="C1049" i="1"/>
  <c r="E1048" i="1"/>
  <c r="C1048" i="1"/>
  <c r="E1047" i="1"/>
  <c r="C1047" i="1"/>
  <c r="E1046" i="1"/>
  <c r="C1046" i="1"/>
  <c r="E1045" i="1"/>
  <c r="C1045" i="1"/>
  <c r="E1044" i="1"/>
  <c r="C1044" i="1"/>
  <c r="E1043" i="1"/>
  <c r="C1043" i="1"/>
  <c r="E1042" i="1"/>
  <c r="C1042" i="1"/>
  <c r="E1041" i="1"/>
  <c r="C1041" i="1"/>
  <c r="E1040" i="1"/>
  <c r="C1040" i="1"/>
  <c r="E1039" i="1"/>
  <c r="C1039" i="1"/>
  <c r="E1038" i="1"/>
  <c r="C1038" i="1"/>
  <c r="E1037" i="1"/>
  <c r="C1037" i="1"/>
  <c r="E1036" i="1"/>
  <c r="C1036" i="1"/>
  <c r="E1035" i="1"/>
  <c r="C1035" i="1"/>
  <c r="E1034" i="1"/>
  <c r="C1034" i="1"/>
  <c r="E1033" i="1"/>
  <c r="C1033" i="1"/>
  <c r="E1032" i="1"/>
  <c r="C1032" i="1"/>
  <c r="E1031" i="1"/>
  <c r="C1031" i="1"/>
  <c r="E1030" i="1"/>
  <c r="C1030" i="1"/>
  <c r="E1029" i="1"/>
  <c r="C1029" i="1"/>
  <c r="E1028" i="1"/>
  <c r="C1028" i="1"/>
  <c r="E1027" i="1"/>
  <c r="C1027" i="1"/>
  <c r="E1026" i="1"/>
  <c r="C1026" i="1"/>
  <c r="E1025" i="1"/>
  <c r="C1025" i="1"/>
  <c r="E1024" i="1"/>
  <c r="C1024" i="1"/>
  <c r="E1023" i="1"/>
  <c r="C1023" i="1"/>
  <c r="E1022" i="1"/>
  <c r="C1022" i="1"/>
  <c r="E1021" i="1"/>
  <c r="C1021" i="1"/>
  <c r="E1020" i="1"/>
  <c r="C1020" i="1"/>
  <c r="E1019" i="1"/>
  <c r="C1019" i="1"/>
  <c r="E1018" i="1"/>
  <c r="C1018" i="1"/>
  <c r="E1017" i="1"/>
  <c r="C1017" i="1"/>
  <c r="E1016" i="1"/>
  <c r="C1016" i="1"/>
  <c r="E1015" i="1"/>
  <c r="C1015" i="1"/>
  <c r="E1014" i="1"/>
  <c r="C1014" i="1"/>
  <c r="E1013" i="1"/>
  <c r="C1013" i="1"/>
  <c r="E1012" i="1"/>
  <c r="C1012" i="1"/>
  <c r="E1011" i="1"/>
  <c r="C1011" i="1"/>
  <c r="E1010" i="1"/>
  <c r="C1010" i="1"/>
  <c r="E1009" i="1"/>
  <c r="C1009" i="1"/>
  <c r="E1008" i="1"/>
  <c r="C1008" i="1"/>
  <c r="E1007" i="1"/>
  <c r="C1007" i="1"/>
  <c r="E1006" i="1"/>
  <c r="C1006" i="1"/>
  <c r="E1005" i="1"/>
  <c r="C1005" i="1"/>
  <c r="E1004" i="1"/>
  <c r="C1004" i="1"/>
  <c r="E1003" i="1"/>
  <c r="C1003" i="1"/>
  <c r="E1002" i="1"/>
  <c r="C1002" i="1"/>
  <c r="E1001" i="1"/>
  <c r="C1001" i="1"/>
  <c r="E1000" i="1"/>
  <c r="C1000" i="1"/>
  <c r="E999" i="1"/>
  <c r="C999" i="1"/>
  <c r="E998" i="1"/>
  <c r="C998" i="1"/>
  <c r="E997" i="1"/>
  <c r="C997" i="1"/>
  <c r="E996" i="1"/>
  <c r="C996" i="1"/>
  <c r="E995" i="1"/>
  <c r="C995" i="1"/>
  <c r="E994" i="1"/>
  <c r="C994" i="1"/>
  <c r="E993" i="1"/>
  <c r="C993" i="1"/>
  <c r="E992" i="1"/>
  <c r="C992" i="1"/>
  <c r="E991" i="1"/>
  <c r="C991" i="1"/>
  <c r="E990" i="1"/>
  <c r="C990" i="1"/>
  <c r="E989" i="1"/>
  <c r="C989" i="1"/>
  <c r="E988" i="1"/>
  <c r="C988" i="1"/>
  <c r="E987" i="1"/>
  <c r="C987" i="1"/>
  <c r="E986" i="1"/>
  <c r="C986" i="1"/>
  <c r="E985" i="1"/>
  <c r="C985" i="1"/>
  <c r="E984" i="1"/>
  <c r="C984" i="1"/>
  <c r="E983" i="1"/>
  <c r="C983" i="1"/>
  <c r="E982" i="1"/>
  <c r="C982" i="1"/>
  <c r="E981" i="1"/>
  <c r="C981" i="1"/>
  <c r="E980" i="1"/>
  <c r="C980" i="1"/>
  <c r="E979" i="1"/>
  <c r="C979" i="1"/>
  <c r="E978" i="1"/>
  <c r="C978" i="1"/>
  <c r="E977" i="1"/>
  <c r="C977" i="1"/>
  <c r="E976" i="1"/>
  <c r="C976" i="1"/>
  <c r="E975" i="1"/>
  <c r="C975" i="1"/>
  <c r="E974" i="1"/>
  <c r="C974" i="1"/>
  <c r="E973" i="1"/>
  <c r="C973" i="1"/>
  <c r="E972" i="1"/>
  <c r="C972" i="1"/>
  <c r="E971" i="1"/>
  <c r="C971" i="1"/>
  <c r="E970" i="1"/>
  <c r="C970" i="1"/>
  <c r="E969" i="1"/>
  <c r="C969" i="1"/>
  <c r="E968" i="1"/>
  <c r="C968" i="1"/>
  <c r="E967" i="1"/>
  <c r="C967" i="1"/>
  <c r="E966" i="1"/>
  <c r="C966" i="1"/>
  <c r="E965" i="1"/>
  <c r="C965" i="1"/>
  <c r="E964" i="1"/>
  <c r="C964" i="1"/>
  <c r="E963" i="1"/>
  <c r="C963" i="1"/>
  <c r="E962" i="1"/>
  <c r="C962" i="1"/>
  <c r="E961" i="1"/>
  <c r="C961" i="1"/>
  <c r="E960" i="1"/>
  <c r="C960" i="1"/>
  <c r="E959" i="1"/>
  <c r="C959" i="1"/>
  <c r="E958" i="1"/>
  <c r="C958" i="1"/>
  <c r="E957" i="1"/>
  <c r="C957" i="1"/>
  <c r="E956" i="1"/>
  <c r="C956" i="1"/>
  <c r="E955" i="1"/>
  <c r="C955" i="1"/>
  <c r="E954" i="1"/>
  <c r="C954" i="1"/>
  <c r="E953" i="1"/>
  <c r="C953" i="1"/>
  <c r="E952" i="1"/>
  <c r="C952" i="1"/>
  <c r="E951" i="1"/>
  <c r="C951" i="1"/>
  <c r="E950" i="1"/>
  <c r="C950" i="1"/>
  <c r="E949" i="1"/>
  <c r="C949" i="1"/>
  <c r="E948" i="1"/>
  <c r="C948" i="1"/>
  <c r="E947" i="1"/>
  <c r="C947" i="1"/>
  <c r="E946" i="1"/>
  <c r="C946" i="1"/>
  <c r="E945" i="1"/>
  <c r="C945" i="1"/>
  <c r="E944" i="1"/>
  <c r="C944" i="1"/>
  <c r="E943" i="1"/>
  <c r="C943" i="1"/>
  <c r="E942" i="1"/>
  <c r="C942" i="1"/>
  <c r="E941" i="1"/>
  <c r="C941" i="1"/>
  <c r="E940" i="1"/>
  <c r="C940" i="1"/>
  <c r="E939" i="1"/>
  <c r="C939" i="1"/>
  <c r="E938" i="1"/>
  <c r="C938" i="1"/>
  <c r="E937" i="1"/>
  <c r="C937" i="1"/>
  <c r="E936" i="1"/>
  <c r="C936" i="1"/>
  <c r="E935" i="1"/>
  <c r="C935" i="1"/>
  <c r="E934" i="1"/>
  <c r="C934" i="1"/>
  <c r="E933" i="1"/>
  <c r="C933" i="1"/>
  <c r="E932" i="1"/>
  <c r="C932" i="1"/>
  <c r="E931" i="1"/>
  <c r="C931" i="1"/>
  <c r="E930" i="1"/>
  <c r="C930" i="1"/>
  <c r="E929" i="1"/>
  <c r="C929" i="1"/>
  <c r="E928" i="1"/>
  <c r="C928" i="1"/>
  <c r="E927" i="1"/>
  <c r="C927" i="1"/>
  <c r="E926" i="1"/>
  <c r="C926" i="1"/>
  <c r="E925" i="1"/>
  <c r="C925" i="1"/>
  <c r="E924" i="1"/>
  <c r="C924" i="1"/>
  <c r="E923" i="1"/>
  <c r="C923" i="1"/>
  <c r="E922" i="1"/>
  <c r="C922" i="1"/>
  <c r="E921" i="1"/>
  <c r="C921" i="1"/>
  <c r="E920" i="1"/>
  <c r="C920" i="1"/>
  <c r="E919" i="1"/>
  <c r="C919" i="1"/>
  <c r="E918" i="1"/>
  <c r="C918" i="1"/>
  <c r="E917" i="1"/>
  <c r="C917" i="1"/>
  <c r="E916" i="1"/>
  <c r="C916" i="1"/>
  <c r="E915" i="1"/>
  <c r="C915" i="1"/>
  <c r="E914" i="1"/>
  <c r="C914" i="1"/>
  <c r="E913" i="1"/>
  <c r="C913" i="1"/>
  <c r="E912" i="1"/>
  <c r="C912" i="1"/>
  <c r="E911" i="1"/>
  <c r="C911" i="1"/>
  <c r="E910" i="1"/>
  <c r="C910" i="1"/>
  <c r="E909" i="1"/>
  <c r="C909" i="1"/>
  <c r="E908" i="1"/>
  <c r="C908" i="1"/>
  <c r="E907" i="1"/>
  <c r="C907" i="1"/>
  <c r="E906" i="1"/>
  <c r="C906" i="1"/>
  <c r="E905" i="1"/>
  <c r="C905" i="1"/>
  <c r="E904" i="1"/>
  <c r="C904" i="1"/>
  <c r="E903" i="1"/>
  <c r="C903" i="1"/>
  <c r="E902" i="1"/>
  <c r="C902" i="1"/>
  <c r="E901" i="1"/>
  <c r="C901" i="1"/>
  <c r="E900" i="1"/>
  <c r="C900" i="1"/>
  <c r="E899" i="1"/>
  <c r="C899" i="1"/>
  <c r="E898" i="1"/>
  <c r="C898" i="1"/>
  <c r="E897" i="1"/>
  <c r="C897" i="1"/>
  <c r="E896" i="1"/>
  <c r="C896" i="1"/>
  <c r="E895" i="1"/>
  <c r="C895" i="1"/>
  <c r="E894" i="1"/>
  <c r="C894" i="1"/>
  <c r="E893" i="1"/>
  <c r="C893" i="1"/>
  <c r="E892" i="1"/>
  <c r="C892" i="1"/>
  <c r="E891" i="1"/>
  <c r="C891" i="1"/>
  <c r="E890" i="1"/>
  <c r="C890" i="1"/>
  <c r="E889" i="1"/>
  <c r="C889" i="1"/>
  <c r="E888" i="1"/>
  <c r="C888" i="1"/>
  <c r="E887" i="1"/>
  <c r="C887" i="1"/>
  <c r="E886" i="1"/>
  <c r="C886" i="1"/>
  <c r="E885" i="1"/>
  <c r="C885" i="1"/>
  <c r="E884" i="1"/>
  <c r="C884" i="1"/>
  <c r="E883" i="1"/>
  <c r="C883" i="1"/>
  <c r="E882" i="1"/>
  <c r="C882" i="1"/>
  <c r="E881" i="1"/>
  <c r="C881" i="1"/>
  <c r="E880" i="1"/>
  <c r="C880" i="1"/>
  <c r="E879" i="1"/>
  <c r="C879" i="1"/>
  <c r="E878" i="1"/>
  <c r="C878" i="1"/>
  <c r="E877" i="1"/>
  <c r="C877" i="1"/>
  <c r="E876" i="1"/>
  <c r="C876" i="1"/>
  <c r="E875" i="1"/>
  <c r="C875" i="1"/>
  <c r="E874" i="1"/>
  <c r="C874" i="1"/>
  <c r="E873" i="1"/>
  <c r="C873" i="1"/>
  <c r="E872" i="1"/>
  <c r="C872" i="1"/>
  <c r="E871" i="1"/>
  <c r="C871" i="1"/>
  <c r="E870" i="1"/>
  <c r="C870" i="1"/>
  <c r="E869" i="1"/>
  <c r="C869" i="1"/>
  <c r="E868" i="1"/>
  <c r="C868" i="1"/>
  <c r="E867" i="1"/>
  <c r="C867" i="1"/>
  <c r="E866" i="1"/>
  <c r="C866" i="1"/>
  <c r="E865" i="1"/>
  <c r="C865" i="1"/>
  <c r="E864" i="1"/>
  <c r="C864" i="1"/>
  <c r="E863" i="1"/>
  <c r="C863" i="1"/>
  <c r="E862" i="1"/>
  <c r="C862" i="1"/>
  <c r="E861" i="1"/>
  <c r="C861" i="1"/>
  <c r="E860" i="1"/>
  <c r="C860" i="1"/>
  <c r="E859" i="1"/>
  <c r="C859" i="1"/>
  <c r="E858" i="1"/>
  <c r="C858" i="1"/>
  <c r="E857" i="1"/>
  <c r="C857" i="1"/>
  <c r="E856" i="1"/>
  <c r="C856" i="1"/>
  <c r="E855" i="1"/>
  <c r="C855" i="1"/>
  <c r="E854" i="1"/>
  <c r="C854" i="1"/>
  <c r="E853" i="1"/>
  <c r="C853" i="1"/>
  <c r="E852" i="1"/>
  <c r="C852" i="1"/>
  <c r="E851" i="1"/>
  <c r="C851" i="1"/>
  <c r="E850" i="1"/>
  <c r="C850" i="1"/>
  <c r="E849" i="1"/>
  <c r="C849" i="1"/>
  <c r="E848" i="1"/>
  <c r="C848" i="1"/>
  <c r="E847" i="1"/>
  <c r="C847" i="1"/>
  <c r="E846" i="1"/>
  <c r="C846" i="1"/>
  <c r="E845" i="1"/>
  <c r="C845" i="1"/>
  <c r="E844" i="1"/>
  <c r="C844" i="1"/>
  <c r="E843" i="1"/>
  <c r="C843" i="1"/>
  <c r="E842" i="1"/>
  <c r="C842" i="1"/>
  <c r="E841" i="1"/>
  <c r="C841" i="1"/>
  <c r="E840" i="1"/>
  <c r="C840" i="1"/>
  <c r="E839" i="1"/>
  <c r="C839" i="1"/>
  <c r="E838" i="1"/>
  <c r="C838" i="1"/>
  <c r="E837" i="1"/>
  <c r="C837" i="1"/>
  <c r="E836" i="1"/>
  <c r="C836" i="1"/>
  <c r="E835" i="1"/>
  <c r="C835" i="1"/>
  <c r="E834" i="1"/>
  <c r="C834" i="1"/>
  <c r="E833" i="1"/>
  <c r="C833" i="1"/>
  <c r="E832" i="1"/>
  <c r="C832" i="1"/>
  <c r="E831" i="1"/>
  <c r="C831" i="1"/>
  <c r="E830" i="1"/>
  <c r="C830" i="1"/>
  <c r="E829" i="1"/>
  <c r="C829" i="1"/>
  <c r="E828" i="1"/>
  <c r="C828" i="1"/>
  <c r="E827" i="1"/>
  <c r="C827" i="1"/>
  <c r="E826" i="1"/>
  <c r="C826" i="1"/>
  <c r="E825" i="1"/>
  <c r="C825" i="1"/>
  <c r="E824" i="1"/>
  <c r="C824" i="1"/>
  <c r="E823" i="1"/>
  <c r="C823" i="1"/>
  <c r="E822" i="1"/>
  <c r="C822" i="1"/>
  <c r="E821" i="1"/>
  <c r="C821" i="1"/>
  <c r="E820" i="1"/>
  <c r="C820" i="1"/>
  <c r="E819" i="1"/>
  <c r="C819" i="1"/>
  <c r="E818" i="1"/>
  <c r="C818" i="1"/>
  <c r="E817" i="1"/>
  <c r="C817" i="1"/>
  <c r="E816" i="1"/>
  <c r="C816" i="1"/>
  <c r="E815" i="1"/>
  <c r="C815" i="1"/>
  <c r="E814" i="1"/>
  <c r="C814" i="1"/>
  <c r="E813" i="1"/>
  <c r="C813" i="1"/>
  <c r="E812" i="1"/>
  <c r="C812" i="1"/>
  <c r="E811" i="1"/>
  <c r="C811" i="1"/>
  <c r="E810" i="1"/>
  <c r="C810" i="1"/>
  <c r="E809" i="1"/>
  <c r="C809" i="1"/>
  <c r="E808" i="1"/>
  <c r="C808" i="1"/>
  <c r="E807" i="1"/>
  <c r="C807" i="1"/>
  <c r="E806" i="1"/>
  <c r="C806" i="1"/>
  <c r="E805" i="1"/>
  <c r="C805" i="1"/>
  <c r="E804" i="1"/>
  <c r="C804" i="1"/>
  <c r="E803" i="1"/>
  <c r="C803" i="1"/>
  <c r="E802" i="1"/>
  <c r="C802" i="1"/>
  <c r="E801" i="1"/>
  <c r="C801" i="1"/>
  <c r="E800" i="1"/>
  <c r="C800" i="1"/>
  <c r="E799" i="1"/>
  <c r="C799" i="1"/>
  <c r="E798" i="1"/>
  <c r="C798" i="1"/>
  <c r="E797" i="1"/>
  <c r="C797" i="1"/>
  <c r="E796" i="1"/>
  <c r="C796" i="1"/>
  <c r="E795" i="1"/>
  <c r="C795" i="1"/>
  <c r="E794" i="1"/>
  <c r="C794" i="1"/>
  <c r="E793" i="1"/>
  <c r="C793" i="1"/>
  <c r="E792" i="1"/>
  <c r="C792" i="1"/>
  <c r="E791" i="1"/>
  <c r="C791" i="1"/>
  <c r="E790" i="1"/>
  <c r="C790" i="1"/>
  <c r="E789" i="1"/>
  <c r="C789" i="1"/>
  <c r="E788" i="1"/>
  <c r="C788" i="1"/>
  <c r="E787" i="1"/>
  <c r="C787" i="1"/>
  <c r="E786" i="1"/>
  <c r="C786" i="1"/>
  <c r="E785" i="1"/>
  <c r="C785" i="1"/>
  <c r="E784" i="1"/>
  <c r="C784" i="1"/>
  <c r="E783" i="1"/>
  <c r="C783" i="1"/>
  <c r="E782" i="1"/>
  <c r="C782" i="1"/>
  <c r="E781" i="1"/>
  <c r="C781" i="1"/>
  <c r="E780" i="1"/>
  <c r="C780" i="1"/>
  <c r="E779" i="1"/>
  <c r="C779" i="1"/>
  <c r="E778" i="1"/>
  <c r="C778" i="1"/>
  <c r="E777" i="1"/>
  <c r="C777" i="1"/>
  <c r="E776" i="1"/>
  <c r="C776" i="1"/>
  <c r="E775" i="1"/>
  <c r="C775" i="1"/>
  <c r="E774" i="1"/>
  <c r="C774" i="1"/>
  <c r="E773" i="1"/>
  <c r="C773" i="1"/>
  <c r="E772" i="1"/>
  <c r="C772" i="1"/>
  <c r="E771" i="1"/>
  <c r="C771" i="1"/>
  <c r="E770" i="1"/>
  <c r="C770" i="1"/>
  <c r="E769" i="1"/>
  <c r="C769" i="1"/>
  <c r="E768" i="1"/>
  <c r="C768" i="1"/>
  <c r="E767" i="1"/>
  <c r="C767" i="1"/>
  <c r="E766" i="1"/>
  <c r="C766" i="1"/>
  <c r="E765" i="1"/>
  <c r="C765" i="1"/>
  <c r="E764" i="1"/>
  <c r="C764" i="1"/>
  <c r="E763" i="1"/>
  <c r="C763" i="1"/>
  <c r="E762" i="1"/>
  <c r="C762" i="1"/>
  <c r="E761" i="1"/>
  <c r="C761" i="1"/>
  <c r="E760" i="1"/>
  <c r="C760" i="1"/>
  <c r="E759" i="1"/>
  <c r="C759" i="1"/>
  <c r="E758" i="1"/>
  <c r="C758" i="1"/>
  <c r="E757" i="1"/>
  <c r="C757" i="1"/>
  <c r="E756" i="1"/>
  <c r="C756" i="1"/>
  <c r="E755" i="1"/>
  <c r="C755" i="1"/>
  <c r="E754" i="1"/>
  <c r="C754" i="1"/>
  <c r="E753" i="1"/>
  <c r="C753" i="1"/>
  <c r="E752" i="1"/>
  <c r="C752" i="1"/>
  <c r="E751" i="1"/>
  <c r="C751" i="1"/>
  <c r="E750" i="1"/>
  <c r="C750" i="1"/>
  <c r="E749" i="1"/>
  <c r="C749" i="1"/>
  <c r="E748" i="1"/>
  <c r="C748" i="1"/>
  <c r="E747" i="1"/>
  <c r="C747" i="1"/>
  <c r="E746" i="1"/>
  <c r="C746" i="1"/>
  <c r="E745" i="1"/>
  <c r="C745" i="1"/>
  <c r="E744" i="1"/>
  <c r="C744" i="1"/>
  <c r="E743" i="1"/>
  <c r="C743" i="1"/>
  <c r="E742" i="1"/>
  <c r="C742" i="1"/>
  <c r="E741" i="1"/>
  <c r="C741" i="1"/>
  <c r="E740" i="1"/>
  <c r="C740" i="1"/>
  <c r="E739" i="1"/>
  <c r="C739" i="1"/>
  <c r="E738" i="1"/>
  <c r="C738" i="1"/>
  <c r="E737" i="1"/>
  <c r="C737" i="1"/>
  <c r="E736" i="1"/>
  <c r="C736" i="1"/>
  <c r="E735" i="1"/>
  <c r="C735" i="1"/>
  <c r="E734" i="1"/>
  <c r="C734" i="1"/>
  <c r="E733" i="1"/>
  <c r="C733" i="1"/>
  <c r="E732" i="1"/>
  <c r="C732" i="1"/>
  <c r="E731" i="1"/>
  <c r="C731" i="1"/>
  <c r="E730" i="1"/>
  <c r="C730" i="1"/>
  <c r="E729" i="1"/>
  <c r="C729" i="1"/>
  <c r="E728" i="1"/>
  <c r="C728" i="1"/>
  <c r="E727" i="1"/>
  <c r="C727" i="1"/>
  <c r="E726" i="1"/>
  <c r="C726" i="1"/>
  <c r="E725" i="1"/>
  <c r="C725" i="1"/>
  <c r="E724" i="1"/>
  <c r="C724" i="1"/>
  <c r="E723" i="1"/>
  <c r="C723" i="1"/>
  <c r="E722" i="1"/>
  <c r="C722" i="1"/>
  <c r="E721" i="1"/>
  <c r="C721" i="1"/>
  <c r="E720" i="1"/>
  <c r="C720" i="1"/>
  <c r="E719" i="1"/>
  <c r="C719" i="1"/>
  <c r="E718" i="1"/>
  <c r="C718" i="1"/>
  <c r="E717" i="1"/>
  <c r="C717" i="1"/>
  <c r="E716" i="1"/>
  <c r="C716" i="1"/>
  <c r="E715" i="1"/>
  <c r="C715" i="1"/>
  <c r="E714" i="1"/>
  <c r="C714" i="1"/>
  <c r="E713" i="1"/>
  <c r="C713" i="1"/>
  <c r="E712" i="1"/>
  <c r="C712" i="1"/>
  <c r="E711" i="1"/>
  <c r="C711" i="1"/>
  <c r="E710" i="1"/>
  <c r="C710" i="1"/>
  <c r="E709" i="1"/>
  <c r="C709" i="1"/>
  <c r="E708" i="1"/>
  <c r="C708" i="1"/>
  <c r="E707" i="1"/>
  <c r="C707" i="1"/>
  <c r="E706" i="1"/>
  <c r="C706" i="1"/>
  <c r="E705" i="1"/>
  <c r="C705" i="1"/>
  <c r="E704" i="1"/>
  <c r="C704" i="1"/>
  <c r="E703" i="1"/>
  <c r="C703" i="1"/>
  <c r="E702" i="1"/>
  <c r="C702" i="1"/>
  <c r="E701" i="1"/>
  <c r="C701" i="1"/>
  <c r="E700" i="1"/>
  <c r="C700" i="1"/>
  <c r="E699" i="1"/>
  <c r="C699" i="1"/>
  <c r="E698" i="1"/>
  <c r="C698" i="1"/>
  <c r="E697" i="1"/>
  <c r="C697" i="1"/>
  <c r="E696" i="1"/>
  <c r="C696" i="1"/>
  <c r="E695" i="1"/>
  <c r="C695" i="1"/>
  <c r="E694" i="1"/>
  <c r="C694" i="1"/>
  <c r="E693" i="1"/>
  <c r="C693" i="1"/>
  <c r="E692" i="1"/>
  <c r="C692" i="1"/>
  <c r="E691" i="1"/>
  <c r="C691" i="1"/>
  <c r="E690" i="1"/>
  <c r="C690" i="1"/>
  <c r="E689" i="1"/>
  <c r="C689" i="1"/>
  <c r="E688" i="1"/>
  <c r="C688" i="1"/>
  <c r="E687" i="1"/>
  <c r="C687" i="1"/>
  <c r="E686" i="1"/>
  <c r="C686" i="1"/>
  <c r="E685" i="1"/>
  <c r="C685" i="1"/>
  <c r="E684" i="1"/>
  <c r="C684" i="1"/>
  <c r="E683" i="1"/>
  <c r="C683" i="1"/>
  <c r="E682" i="1"/>
  <c r="C682" i="1"/>
  <c r="E681" i="1"/>
  <c r="C681" i="1"/>
  <c r="E680" i="1"/>
  <c r="C680" i="1"/>
  <c r="E679" i="1"/>
  <c r="C679" i="1"/>
  <c r="E678" i="1"/>
  <c r="C678" i="1"/>
  <c r="E677" i="1"/>
  <c r="C677" i="1"/>
  <c r="E676" i="1"/>
  <c r="C676" i="1"/>
  <c r="E675" i="1"/>
  <c r="C675" i="1"/>
  <c r="E674" i="1"/>
  <c r="C674" i="1"/>
  <c r="E673" i="1"/>
  <c r="C673" i="1"/>
  <c r="E672" i="1"/>
  <c r="C672" i="1"/>
  <c r="E671" i="1"/>
  <c r="C671" i="1"/>
  <c r="E670" i="1"/>
  <c r="C670" i="1"/>
  <c r="E669" i="1"/>
  <c r="C669" i="1"/>
  <c r="E668" i="1"/>
  <c r="C668" i="1"/>
  <c r="E667" i="1"/>
  <c r="C667" i="1"/>
  <c r="E666" i="1"/>
  <c r="C666" i="1"/>
  <c r="E665" i="1"/>
  <c r="C665" i="1"/>
  <c r="E664" i="1"/>
  <c r="C664" i="1"/>
  <c r="E663" i="1"/>
  <c r="C663" i="1"/>
  <c r="E662" i="1"/>
  <c r="C662" i="1"/>
  <c r="E661" i="1"/>
  <c r="C661" i="1"/>
  <c r="E660" i="1"/>
  <c r="C660" i="1"/>
  <c r="E659" i="1"/>
  <c r="C659" i="1"/>
  <c r="E658" i="1"/>
  <c r="C658" i="1"/>
  <c r="E657" i="1"/>
  <c r="C657" i="1"/>
  <c r="E656" i="1"/>
  <c r="C656" i="1"/>
  <c r="E655" i="1"/>
  <c r="C655" i="1"/>
  <c r="E654" i="1"/>
  <c r="C654" i="1"/>
  <c r="E653" i="1"/>
  <c r="C653" i="1"/>
  <c r="E652" i="1"/>
  <c r="C652" i="1"/>
  <c r="E651" i="1"/>
  <c r="C651" i="1"/>
  <c r="E650" i="1"/>
  <c r="C650" i="1"/>
  <c r="E649" i="1"/>
  <c r="C649" i="1"/>
  <c r="E648" i="1"/>
  <c r="C648" i="1"/>
  <c r="E647" i="1"/>
  <c r="C647" i="1"/>
  <c r="E646" i="1"/>
  <c r="C646" i="1"/>
  <c r="E645" i="1"/>
  <c r="C645" i="1"/>
  <c r="E644" i="1"/>
  <c r="C644" i="1"/>
  <c r="E643" i="1"/>
  <c r="C643" i="1"/>
  <c r="E642" i="1"/>
  <c r="C642" i="1"/>
  <c r="E641" i="1"/>
  <c r="C641" i="1"/>
  <c r="E640" i="1"/>
  <c r="C640" i="1"/>
  <c r="E639" i="1"/>
  <c r="C639" i="1"/>
  <c r="E638" i="1"/>
  <c r="C638" i="1"/>
  <c r="E637" i="1"/>
  <c r="C637" i="1"/>
  <c r="E636" i="1"/>
  <c r="C636" i="1"/>
  <c r="E635" i="1"/>
  <c r="C635" i="1"/>
  <c r="E634" i="1"/>
  <c r="C634" i="1"/>
  <c r="E633" i="1"/>
  <c r="C633" i="1"/>
  <c r="E632" i="1"/>
  <c r="C632" i="1"/>
  <c r="E631" i="1"/>
  <c r="C631" i="1"/>
  <c r="E630" i="1"/>
  <c r="C630" i="1"/>
  <c r="E629" i="1"/>
  <c r="C629" i="1"/>
  <c r="E628" i="1"/>
  <c r="C628" i="1"/>
  <c r="E627" i="1"/>
  <c r="C627" i="1"/>
  <c r="E626" i="1"/>
  <c r="C626" i="1"/>
  <c r="E625" i="1"/>
  <c r="C625" i="1"/>
  <c r="E624" i="1"/>
  <c r="C624" i="1"/>
  <c r="E623" i="1"/>
  <c r="C623" i="1"/>
  <c r="E622" i="1"/>
  <c r="C622" i="1"/>
  <c r="E621" i="1"/>
  <c r="C621" i="1"/>
  <c r="E620" i="1"/>
  <c r="C620" i="1"/>
  <c r="E619" i="1"/>
  <c r="C619" i="1"/>
  <c r="E618" i="1"/>
  <c r="C618" i="1"/>
  <c r="E617" i="1"/>
  <c r="C617" i="1"/>
  <c r="E616" i="1"/>
  <c r="C616" i="1"/>
  <c r="E615" i="1"/>
  <c r="C615" i="1"/>
  <c r="E614" i="1"/>
  <c r="C614" i="1"/>
  <c r="E613" i="1"/>
  <c r="C613" i="1"/>
  <c r="E612" i="1"/>
  <c r="C612" i="1"/>
  <c r="E611" i="1"/>
  <c r="C611" i="1"/>
  <c r="E610" i="1"/>
  <c r="C610" i="1"/>
  <c r="E609" i="1"/>
  <c r="C609" i="1"/>
  <c r="E608" i="1"/>
  <c r="C608" i="1"/>
  <c r="E607" i="1"/>
  <c r="C607" i="1"/>
  <c r="E606" i="1"/>
  <c r="C606" i="1"/>
  <c r="E605" i="1"/>
  <c r="C605" i="1"/>
  <c r="E604" i="1"/>
  <c r="C604" i="1"/>
  <c r="E603" i="1"/>
  <c r="C603" i="1"/>
  <c r="E602" i="1"/>
  <c r="C602" i="1"/>
  <c r="E601" i="1"/>
  <c r="C601" i="1"/>
  <c r="E600" i="1"/>
  <c r="C600" i="1"/>
  <c r="E599" i="1"/>
  <c r="C599" i="1"/>
  <c r="E598" i="1"/>
  <c r="C598" i="1"/>
  <c r="E597" i="1"/>
  <c r="C597" i="1"/>
  <c r="E596" i="1"/>
  <c r="C596" i="1"/>
  <c r="E595" i="1"/>
  <c r="C595" i="1"/>
  <c r="E594" i="1"/>
  <c r="C594" i="1"/>
  <c r="E593" i="1"/>
  <c r="C593" i="1"/>
  <c r="E592" i="1"/>
  <c r="C592" i="1"/>
  <c r="E591" i="1"/>
  <c r="C591" i="1"/>
  <c r="E590" i="1"/>
  <c r="C590" i="1"/>
  <c r="E589" i="1"/>
  <c r="C589" i="1"/>
  <c r="E588" i="1"/>
  <c r="C588" i="1"/>
  <c r="E587" i="1"/>
  <c r="C587" i="1"/>
  <c r="E586" i="1"/>
  <c r="C586" i="1"/>
  <c r="E585" i="1"/>
  <c r="C585" i="1"/>
  <c r="E584" i="1"/>
  <c r="C584" i="1"/>
  <c r="E583" i="1"/>
  <c r="C583" i="1"/>
  <c r="E582" i="1"/>
  <c r="C582" i="1"/>
  <c r="E581" i="1"/>
  <c r="C581" i="1"/>
  <c r="E580" i="1"/>
  <c r="C580" i="1"/>
  <c r="E579" i="1"/>
  <c r="C579" i="1"/>
  <c r="E578" i="1"/>
  <c r="C578" i="1"/>
  <c r="E577" i="1"/>
  <c r="C577" i="1"/>
  <c r="E576" i="1"/>
  <c r="C576" i="1"/>
  <c r="E575" i="1"/>
  <c r="C575" i="1"/>
  <c r="E574" i="1"/>
  <c r="C574" i="1"/>
  <c r="E573" i="1"/>
  <c r="C573" i="1"/>
  <c r="E572" i="1"/>
  <c r="C572" i="1"/>
  <c r="E571" i="1"/>
  <c r="C571" i="1"/>
  <c r="E570" i="1"/>
  <c r="C570" i="1"/>
  <c r="E569" i="1"/>
  <c r="C569" i="1"/>
  <c r="E568" i="1"/>
  <c r="C568" i="1"/>
  <c r="E567" i="1"/>
  <c r="C567" i="1"/>
  <c r="E566" i="1"/>
  <c r="C566" i="1"/>
  <c r="E565" i="1"/>
  <c r="C565" i="1"/>
  <c r="E564" i="1"/>
  <c r="C564" i="1"/>
  <c r="E563" i="1"/>
  <c r="C563" i="1"/>
  <c r="E562" i="1"/>
  <c r="C562" i="1"/>
  <c r="E561" i="1"/>
  <c r="C561" i="1"/>
  <c r="E560" i="1"/>
  <c r="C560" i="1"/>
  <c r="E559" i="1"/>
  <c r="C559" i="1"/>
  <c r="E558" i="1"/>
  <c r="C558" i="1"/>
  <c r="E557" i="1"/>
  <c r="C557" i="1"/>
  <c r="E556" i="1"/>
  <c r="C556" i="1"/>
  <c r="E555" i="1"/>
  <c r="C555" i="1"/>
  <c r="E554" i="1"/>
  <c r="C554" i="1"/>
  <c r="E553" i="1"/>
  <c r="C553" i="1"/>
  <c r="E552" i="1"/>
  <c r="C552" i="1"/>
  <c r="E551" i="1"/>
  <c r="C551" i="1"/>
  <c r="E550" i="1"/>
  <c r="C550" i="1"/>
  <c r="E549" i="1"/>
  <c r="C549" i="1"/>
  <c r="E548" i="1"/>
  <c r="C548" i="1"/>
  <c r="E547" i="1"/>
  <c r="C547" i="1"/>
  <c r="E546" i="1"/>
  <c r="C546" i="1"/>
  <c r="E545" i="1"/>
  <c r="C545" i="1"/>
  <c r="E544" i="1"/>
  <c r="C544" i="1"/>
  <c r="E543" i="1"/>
  <c r="C543" i="1"/>
  <c r="E542" i="1"/>
  <c r="C542" i="1"/>
  <c r="E541" i="1"/>
  <c r="C541" i="1"/>
  <c r="E540" i="1"/>
  <c r="C540" i="1"/>
  <c r="E539" i="1"/>
  <c r="C539" i="1"/>
  <c r="E538" i="1"/>
  <c r="C538" i="1"/>
  <c r="E537" i="1"/>
  <c r="C537" i="1"/>
  <c r="E536" i="1"/>
  <c r="C536" i="1"/>
  <c r="E535" i="1"/>
  <c r="C535" i="1"/>
  <c r="E534" i="1"/>
  <c r="C534" i="1"/>
  <c r="E533" i="1"/>
  <c r="C533" i="1"/>
  <c r="E532" i="1"/>
  <c r="C532" i="1"/>
  <c r="E531" i="1"/>
  <c r="C531" i="1"/>
  <c r="E530" i="1"/>
  <c r="C530" i="1"/>
  <c r="E529" i="1"/>
  <c r="C529" i="1"/>
  <c r="E528" i="1"/>
  <c r="C528" i="1"/>
  <c r="E527" i="1"/>
  <c r="C527" i="1"/>
  <c r="E526" i="1"/>
  <c r="C526" i="1"/>
  <c r="E525" i="1"/>
  <c r="C525" i="1"/>
  <c r="E524" i="1"/>
  <c r="C524" i="1"/>
  <c r="E523" i="1"/>
  <c r="C523" i="1"/>
  <c r="E522" i="1"/>
  <c r="C522" i="1"/>
  <c r="E521" i="1"/>
  <c r="C521" i="1"/>
  <c r="E520" i="1"/>
  <c r="C520" i="1"/>
  <c r="E519" i="1"/>
  <c r="C519" i="1"/>
  <c r="E518" i="1"/>
  <c r="C518" i="1"/>
  <c r="E517" i="1"/>
  <c r="C517" i="1"/>
  <c r="E516" i="1"/>
  <c r="C516" i="1"/>
  <c r="E515" i="1"/>
  <c r="C515" i="1"/>
  <c r="E514" i="1"/>
  <c r="C514" i="1"/>
  <c r="E513" i="1"/>
  <c r="C513" i="1"/>
  <c r="E512" i="1"/>
  <c r="C512" i="1"/>
  <c r="E511" i="1"/>
  <c r="C511" i="1"/>
  <c r="E510" i="1"/>
  <c r="C510" i="1"/>
  <c r="E509" i="1"/>
  <c r="C509" i="1"/>
  <c r="E508" i="1"/>
  <c r="C508" i="1"/>
  <c r="E507" i="1"/>
  <c r="C507" i="1"/>
  <c r="E506" i="1"/>
  <c r="C506" i="1"/>
  <c r="E505" i="1"/>
  <c r="C505" i="1"/>
  <c r="E504" i="1"/>
  <c r="C504" i="1"/>
  <c r="E503" i="1"/>
  <c r="C503" i="1"/>
  <c r="E502" i="1"/>
  <c r="C502" i="1"/>
  <c r="E501" i="1"/>
  <c r="C501" i="1"/>
  <c r="E500" i="1"/>
  <c r="C500" i="1"/>
  <c r="E499" i="1"/>
  <c r="C499" i="1"/>
  <c r="E498" i="1"/>
  <c r="C498" i="1"/>
  <c r="E497" i="1"/>
  <c r="C497" i="1"/>
  <c r="E496" i="1"/>
  <c r="C496" i="1"/>
  <c r="E495" i="1"/>
  <c r="C495" i="1"/>
  <c r="E494" i="1"/>
  <c r="C494" i="1"/>
  <c r="E493" i="1"/>
  <c r="C493" i="1"/>
  <c r="E492" i="1"/>
  <c r="C492" i="1"/>
  <c r="E491" i="1"/>
  <c r="C491" i="1"/>
  <c r="E490" i="1"/>
  <c r="C490" i="1"/>
  <c r="E489" i="1"/>
  <c r="C489" i="1"/>
  <c r="E488" i="1"/>
  <c r="C488" i="1"/>
  <c r="E487" i="1"/>
  <c r="C487" i="1"/>
  <c r="E486" i="1"/>
  <c r="C486" i="1"/>
  <c r="E485" i="1"/>
  <c r="C485" i="1"/>
  <c r="E484" i="1"/>
  <c r="C484" i="1"/>
  <c r="E483" i="1"/>
  <c r="C483" i="1"/>
  <c r="E482" i="1"/>
  <c r="C482" i="1"/>
  <c r="E481" i="1"/>
  <c r="C481" i="1"/>
  <c r="E480" i="1"/>
  <c r="C480" i="1"/>
  <c r="E479" i="1"/>
  <c r="C479" i="1"/>
  <c r="E478" i="1"/>
  <c r="C478" i="1"/>
  <c r="E477" i="1"/>
  <c r="C477" i="1"/>
  <c r="E476" i="1"/>
  <c r="C476" i="1"/>
  <c r="E475" i="1"/>
  <c r="C475" i="1"/>
  <c r="E474" i="1"/>
  <c r="C474" i="1"/>
  <c r="E473" i="1"/>
  <c r="C473" i="1"/>
  <c r="E472" i="1"/>
  <c r="C472" i="1"/>
  <c r="E471" i="1"/>
  <c r="C471" i="1"/>
  <c r="E470" i="1"/>
  <c r="C470" i="1"/>
  <c r="E469" i="1"/>
  <c r="C469" i="1"/>
  <c r="E468" i="1"/>
  <c r="C468" i="1"/>
  <c r="E467" i="1"/>
  <c r="C467" i="1"/>
  <c r="E466" i="1"/>
  <c r="C466" i="1"/>
  <c r="E465" i="1"/>
  <c r="C465" i="1"/>
  <c r="E464" i="1"/>
  <c r="C464" i="1"/>
  <c r="E463" i="1"/>
  <c r="C463" i="1"/>
  <c r="E462" i="1"/>
  <c r="C462" i="1"/>
  <c r="E461" i="1"/>
  <c r="C461" i="1"/>
  <c r="E460" i="1"/>
  <c r="C460" i="1"/>
  <c r="E459" i="1"/>
  <c r="C459" i="1"/>
  <c r="E458" i="1"/>
  <c r="C458" i="1"/>
  <c r="E457" i="1"/>
  <c r="C457" i="1"/>
  <c r="E456" i="1"/>
  <c r="C456" i="1"/>
  <c r="E455" i="1"/>
  <c r="C455" i="1"/>
  <c r="E454" i="1"/>
  <c r="C454" i="1"/>
  <c r="E453" i="1"/>
  <c r="C453" i="1"/>
  <c r="E452" i="1"/>
  <c r="C452" i="1"/>
  <c r="E451" i="1"/>
  <c r="C451" i="1"/>
  <c r="E450" i="1"/>
  <c r="C450" i="1"/>
  <c r="E449" i="1"/>
  <c r="C449" i="1"/>
  <c r="E448" i="1"/>
  <c r="C448" i="1"/>
  <c r="E447" i="1"/>
  <c r="C447" i="1"/>
  <c r="E446" i="1"/>
  <c r="C446" i="1"/>
  <c r="E445" i="1"/>
  <c r="C445" i="1"/>
  <c r="E444" i="1"/>
  <c r="C444" i="1"/>
  <c r="E443" i="1"/>
  <c r="C443" i="1"/>
  <c r="E442" i="1"/>
  <c r="C442" i="1"/>
  <c r="E441" i="1"/>
  <c r="C441" i="1"/>
  <c r="E440" i="1"/>
  <c r="C440" i="1"/>
  <c r="E439" i="1"/>
  <c r="C439" i="1"/>
  <c r="E438" i="1"/>
  <c r="C438" i="1"/>
  <c r="E437" i="1"/>
  <c r="C437" i="1"/>
  <c r="E436" i="1"/>
  <c r="C436" i="1"/>
  <c r="E435" i="1"/>
  <c r="C435" i="1"/>
  <c r="E434" i="1"/>
  <c r="C434" i="1"/>
  <c r="E433" i="1"/>
  <c r="C433" i="1"/>
  <c r="E432" i="1"/>
  <c r="C432" i="1"/>
  <c r="E431" i="1"/>
  <c r="C431" i="1"/>
  <c r="E430" i="1"/>
  <c r="C430" i="1"/>
  <c r="E429" i="1"/>
  <c r="C429" i="1"/>
  <c r="E428" i="1"/>
  <c r="C428" i="1"/>
  <c r="E427" i="1"/>
  <c r="C427" i="1"/>
  <c r="E426" i="1"/>
  <c r="C426" i="1"/>
  <c r="E425" i="1"/>
  <c r="C425" i="1"/>
  <c r="E424" i="1"/>
  <c r="C424" i="1"/>
  <c r="E423" i="1"/>
  <c r="C423" i="1"/>
  <c r="E422" i="1"/>
  <c r="C422" i="1"/>
  <c r="E421" i="1"/>
  <c r="C421" i="1"/>
  <c r="E420" i="1"/>
  <c r="C420" i="1"/>
  <c r="E419" i="1"/>
  <c r="C419" i="1"/>
  <c r="E418" i="1"/>
  <c r="C418" i="1"/>
  <c r="E417" i="1"/>
  <c r="C417" i="1"/>
  <c r="E416" i="1"/>
  <c r="C416" i="1"/>
  <c r="E415" i="1"/>
  <c r="C415" i="1"/>
  <c r="E414" i="1"/>
  <c r="C414" i="1"/>
  <c r="E413" i="1"/>
  <c r="C413" i="1"/>
  <c r="E412" i="1"/>
  <c r="C412" i="1"/>
  <c r="E411" i="1"/>
  <c r="C411" i="1"/>
  <c r="E410" i="1"/>
  <c r="C410" i="1"/>
  <c r="E409" i="1"/>
  <c r="C409" i="1"/>
  <c r="E408" i="1"/>
  <c r="C408" i="1"/>
  <c r="E407" i="1"/>
  <c r="C407" i="1"/>
  <c r="E406" i="1"/>
  <c r="C406" i="1"/>
  <c r="E405" i="1"/>
  <c r="C405" i="1"/>
  <c r="E404" i="1"/>
  <c r="C404" i="1"/>
  <c r="E403" i="1"/>
  <c r="C403" i="1"/>
  <c r="E402" i="1"/>
  <c r="C402" i="1"/>
  <c r="E401" i="1"/>
  <c r="C401" i="1"/>
  <c r="E400" i="1"/>
  <c r="C400" i="1"/>
  <c r="E399" i="1"/>
  <c r="C399" i="1"/>
  <c r="E398" i="1"/>
  <c r="C398" i="1"/>
  <c r="E397" i="1"/>
  <c r="C397" i="1"/>
  <c r="E396" i="1"/>
  <c r="C396" i="1"/>
  <c r="E395" i="1"/>
  <c r="C395" i="1"/>
  <c r="E394" i="1"/>
  <c r="C394" i="1"/>
  <c r="E393" i="1"/>
  <c r="C393" i="1"/>
  <c r="E392" i="1"/>
  <c r="C392" i="1"/>
  <c r="E391" i="1"/>
  <c r="C391" i="1"/>
  <c r="E390" i="1"/>
  <c r="C390" i="1"/>
  <c r="E389" i="1"/>
  <c r="C389" i="1"/>
  <c r="E388" i="1"/>
  <c r="C388" i="1"/>
  <c r="E387" i="1"/>
  <c r="C387" i="1"/>
  <c r="E386" i="1"/>
  <c r="C386" i="1"/>
  <c r="E385" i="1"/>
  <c r="C385" i="1"/>
  <c r="E384" i="1"/>
  <c r="C384" i="1"/>
  <c r="E383" i="1"/>
  <c r="C383" i="1"/>
  <c r="E382" i="1"/>
  <c r="C382" i="1"/>
  <c r="E381" i="1"/>
  <c r="C381" i="1"/>
  <c r="E380" i="1"/>
  <c r="C380" i="1"/>
  <c r="E379" i="1"/>
  <c r="C379" i="1"/>
  <c r="E378" i="1"/>
  <c r="C378" i="1"/>
  <c r="E377" i="1"/>
  <c r="C377" i="1"/>
  <c r="E376" i="1"/>
  <c r="C376" i="1"/>
  <c r="E375" i="1"/>
  <c r="C375" i="1"/>
  <c r="E374" i="1"/>
  <c r="C374" i="1"/>
  <c r="E373" i="1"/>
  <c r="C373" i="1"/>
  <c r="E372" i="1"/>
  <c r="C372" i="1"/>
  <c r="E371" i="1"/>
  <c r="C371" i="1"/>
  <c r="E370" i="1"/>
  <c r="C370" i="1"/>
  <c r="E369" i="1"/>
  <c r="C369" i="1"/>
  <c r="E368" i="1"/>
  <c r="C368" i="1"/>
  <c r="E367" i="1"/>
  <c r="C367" i="1"/>
  <c r="E366" i="1"/>
  <c r="C366" i="1"/>
  <c r="E365" i="1"/>
  <c r="C365" i="1"/>
  <c r="E364" i="1"/>
  <c r="C364" i="1"/>
  <c r="E363" i="1"/>
  <c r="C363" i="1"/>
  <c r="E362" i="1"/>
  <c r="C362" i="1"/>
  <c r="E361" i="1"/>
  <c r="C361" i="1"/>
  <c r="E360" i="1"/>
  <c r="C360" i="1"/>
  <c r="E359" i="1"/>
  <c r="C359" i="1"/>
  <c r="E358" i="1"/>
  <c r="C358" i="1"/>
  <c r="E357" i="1"/>
  <c r="C357" i="1"/>
  <c r="E356" i="1"/>
  <c r="C356" i="1"/>
  <c r="E355" i="1"/>
  <c r="C355" i="1"/>
  <c r="E354" i="1"/>
  <c r="C354" i="1"/>
  <c r="E353" i="1"/>
  <c r="C353" i="1"/>
  <c r="E352" i="1"/>
  <c r="C352" i="1"/>
  <c r="E351" i="1"/>
  <c r="C351" i="1"/>
  <c r="E350" i="1"/>
  <c r="C350" i="1"/>
  <c r="E349" i="1"/>
  <c r="C349" i="1"/>
  <c r="E348" i="1"/>
  <c r="C348" i="1"/>
  <c r="E347" i="1"/>
  <c r="C347" i="1"/>
  <c r="E346" i="1"/>
  <c r="C346" i="1"/>
  <c r="E345" i="1"/>
  <c r="C345" i="1"/>
  <c r="E344" i="1"/>
  <c r="C344" i="1"/>
  <c r="E343" i="1"/>
  <c r="C343" i="1"/>
  <c r="E342" i="1"/>
  <c r="C342" i="1"/>
  <c r="E341" i="1"/>
  <c r="C341" i="1"/>
  <c r="E340" i="1"/>
  <c r="C340" i="1"/>
  <c r="E339" i="1"/>
  <c r="C339" i="1"/>
  <c r="E338" i="1"/>
  <c r="C338" i="1"/>
  <c r="E337" i="1"/>
  <c r="C337" i="1"/>
  <c r="E336" i="1"/>
  <c r="C336" i="1"/>
  <c r="E335" i="1"/>
  <c r="C335" i="1"/>
  <c r="E334" i="1"/>
  <c r="C334" i="1"/>
  <c r="E333" i="1"/>
  <c r="C333" i="1"/>
  <c r="E332" i="1"/>
  <c r="C332" i="1"/>
  <c r="E331" i="1"/>
  <c r="C331" i="1"/>
  <c r="E330" i="1"/>
  <c r="C330" i="1"/>
  <c r="E329" i="1"/>
  <c r="C329" i="1"/>
  <c r="E328" i="1"/>
  <c r="C328" i="1"/>
  <c r="E327" i="1"/>
  <c r="C327" i="1"/>
  <c r="E326" i="1"/>
  <c r="C326" i="1"/>
  <c r="E325" i="1"/>
  <c r="C325" i="1"/>
  <c r="E324" i="1"/>
  <c r="C324" i="1"/>
  <c r="E323" i="1"/>
  <c r="C323" i="1"/>
  <c r="E322" i="1"/>
  <c r="C322" i="1"/>
  <c r="E321" i="1"/>
  <c r="C321" i="1"/>
  <c r="E320" i="1"/>
  <c r="C320" i="1"/>
  <c r="E319" i="1"/>
  <c r="C319" i="1"/>
  <c r="E318" i="1"/>
  <c r="C318" i="1"/>
  <c r="E317" i="1"/>
  <c r="C317" i="1"/>
  <c r="E316" i="1"/>
  <c r="C316" i="1"/>
  <c r="E315" i="1"/>
  <c r="C315" i="1"/>
  <c r="E314" i="1"/>
  <c r="C314" i="1"/>
  <c r="E313" i="1"/>
  <c r="C313" i="1"/>
  <c r="E312" i="1"/>
  <c r="C312" i="1"/>
  <c r="E311" i="1"/>
  <c r="C311" i="1"/>
  <c r="E310" i="1"/>
  <c r="C310" i="1"/>
  <c r="E309" i="1"/>
  <c r="C309" i="1"/>
  <c r="E308" i="1"/>
  <c r="C308" i="1"/>
  <c r="E307" i="1"/>
  <c r="C307" i="1"/>
  <c r="E306" i="1"/>
  <c r="C306" i="1"/>
  <c r="E305" i="1"/>
  <c r="C305" i="1"/>
  <c r="E304" i="1"/>
  <c r="C304" i="1"/>
  <c r="E303" i="1"/>
  <c r="C303" i="1"/>
  <c r="E302" i="1"/>
  <c r="C302" i="1"/>
  <c r="E301" i="1"/>
  <c r="C301" i="1"/>
  <c r="E300" i="1"/>
  <c r="C300" i="1"/>
  <c r="E299" i="1"/>
  <c r="C299" i="1"/>
  <c r="E298" i="1"/>
  <c r="C298" i="1"/>
  <c r="E297" i="1"/>
  <c r="C297" i="1"/>
  <c r="E296" i="1"/>
  <c r="C296" i="1"/>
  <c r="E295" i="1"/>
  <c r="C295" i="1"/>
  <c r="E294" i="1"/>
  <c r="C294" i="1"/>
  <c r="E293" i="1"/>
  <c r="C293" i="1"/>
  <c r="E292" i="1"/>
  <c r="C292" i="1"/>
  <c r="E291" i="1"/>
  <c r="C291" i="1"/>
  <c r="E290" i="1"/>
  <c r="C290" i="1"/>
  <c r="E289" i="1"/>
  <c r="C289" i="1"/>
  <c r="E288" i="1"/>
  <c r="C288" i="1"/>
  <c r="E287" i="1"/>
  <c r="C287" i="1"/>
  <c r="E286" i="1"/>
  <c r="C286" i="1"/>
  <c r="E285" i="1"/>
  <c r="C285" i="1"/>
  <c r="E284" i="1"/>
  <c r="C284" i="1"/>
  <c r="E283" i="1"/>
  <c r="C283" i="1"/>
  <c r="E282" i="1"/>
  <c r="C282" i="1"/>
  <c r="E281" i="1"/>
  <c r="C281" i="1"/>
  <c r="E280" i="1"/>
  <c r="C280" i="1"/>
  <c r="E279" i="1"/>
  <c r="C279" i="1"/>
  <c r="E278" i="1"/>
  <c r="C278" i="1"/>
  <c r="E277" i="1"/>
  <c r="C277" i="1"/>
  <c r="E276" i="1"/>
  <c r="C276" i="1"/>
  <c r="E275" i="1"/>
  <c r="C275" i="1"/>
  <c r="E274" i="1"/>
  <c r="C274" i="1"/>
  <c r="E273" i="1"/>
  <c r="C273" i="1"/>
  <c r="E272" i="1"/>
  <c r="C272" i="1"/>
  <c r="E271" i="1"/>
  <c r="C271" i="1"/>
  <c r="E270" i="1"/>
  <c r="C270" i="1"/>
  <c r="E269" i="1"/>
  <c r="C269" i="1"/>
  <c r="E268" i="1"/>
  <c r="C268" i="1"/>
  <c r="E267" i="1"/>
  <c r="C267" i="1"/>
  <c r="E266" i="1"/>
  <c r="C266" i="1"/>
  <c r="E265" i="1"/>
  <c r="C265" i="1"/>
  <c r="E264" i="1"/>
  <c r="C264" i="1"/>
  <c r="E263" i="1"/>
  <c r="C263" i="1"/>
  <c r="E262" i="1"/>
  <c r="C262" i="1"/>
  <c r="E261" i="1"/>
  <c r="C261" i="1"/>
  <c r="E260" i="1"/>
  <c r="C260" i="1"/>
  <c r="E259" i="1"/>
  <c r="C259" i="1"/>
  <c r="E258" i="1"/>
  <c r="C258" i="1"/>
  <c r="E257" i="1"/>
  <c r="C257" i="1"/>
  <c r="E256" i="1"/>
  <c r="C256" i="1"/>
  <c r="E255" i="1"/>
  <c r="C255" i="1"/>
  <c r="E254" i="1"/>
  <c r="C254" i="1"/>
  <c r="E253" i="1"/>
  <c r="C253" i="1"/>
  <c r="E252" i="1"/>
  <c r="C252" i="1"/>
  <c r="E251" i="1"/>
  <c r="C251" i="1"/>
  <c r="E250" i="1"/>
  <c r="C250" i="1"/>
  <c r="E249" i="1"/>
  <c r="C249" i="1"/>
  <c r="E248" i="1"/>
  <c r="C248" i="1"/>
  <c r="E247" i="1"/>
  <c r="C247" i="1"/>
  <c r="E246" i="1"/>
  <c r="C246" i="1"/>
  <c r="E245" i="1"/>
  <c r="C245" i="1"/>
  <c r="E244" i="1"/>
  <c r="C244" i="1"/>
  <c r="E243" i="1"/>
  <c r="C243" i="1"/>
  <c r="E242" i="1"/>
  <c r="C242" i="1"/>
  <c r="E241" i="1"/>
  <c r="C241" i="1"/>
  <c r="E240" i="1"/>
  <c r="C240" i="1"/>
  <c r="E239" i="1"/>
  <c r="C239" i="1"/>
  <c r="E238" i="1"/>
  <c r="C238" i="1"/>
  <c r="E237" i="1"/>
  <c r="C237" i="1"/>
  <c r="E236" i="1"/>
  <c r="C236" i="1"/>
  <c r="E235" i="1"/>
  <c r="C235" i="1"/>
  <c r="E234" i="1"/>
  <c r="C234" i="1"/>
  <c r="E233" i="1"/>
  <c r="C233" i="1"/>
  <c r="E232" i="1"/>
  <c r="C232" i="1"/>
  <c r="E231" i="1"/>
  <c r="C231" i="1"/>
  <c r="E230" i="1"/>
  <c r="C230" i="1"/>
  <c r="E229" i="1"/>
  <c r="C229" i="1"/>
  <c r="E228" i="1"/>
  <c r="C228" i="1"/>
  <c r="E227" i="1"/>
  <c r="C227" i="1"/>
  <c r="E226" i="1"/>
  <c r="C226" i="1"/>
  <c r="E225" i="1"/>
  <c r="C225" i="1"/>
  <c r="E224" i="1"/>
  <c r="C224" i="1"/>
  <c r="E223" i="1"/>
  <c r="C223" i="1"/>
  <c r="E222" i="1"/>
  <c r="C222" i="1"/>
  <c r="E221" i="1"/>
  <c r="C221" i="1"/>
  <c r="E220" i="1"/>
  <c r="C220" i="1"/>
  <c r="E219" i="1"/>
  <c r="C219" i="1"/>
  <c r="E218" i="1"/>
  <c r="C218" i="1"/>
  <c r="E217" i="1"/>
  <c r="C217" i="1"/>
  <c r="E216" i="1"/>
  <c r="C216" i="1"/>
  <c r="E215" i="1"/>
  <c r="C215" i="1"/>
  <c r="E214" i="1"/>
  <c r="C214" i="1"/>
  <c r="E213" i="1"/>
  <c r="C213" i="1"/>
  <c r="E212" i="1"/>
  <c r="C212" i="1"/>
  <c r="E211" i="1"/>
  <c r="C211" i="1"/>
  <c r="E210" i="1"/>
  <c r="C210" i="1"/>
  <c r="E209" i="1"/>
  <c r="C209" i="1"/>
  <c r="E208" i="1"/>
  <c r="C208" i="1"/>
  <c r="E207" i="1"/>
  <c r="C207" i="1"/>
  <c r="E206" i="1"/>
  <c r="C206" i="1"/>
  <c r="E205" i="1"/>
  <c r="C205" i="1"/>
  <c r="E204" i="1"/>
  <c r="C204" i="1"/>
  <c r="E203" i="1"/>
  <c r="C203" i="1"/>
  <c r="E202" i="1"/>
  <c r="C202" i="1"/>
  <c r="E201" i="1"/>
  <c r="C201" i="1"/>
  <c r="E200" i="1"/>
  <c r="C200" i="1"/>
  <c r="E199" i="1"/>
  <c r="C199" i="1"/>
  <c r="E198" i="1"/>
  <c r="C198" i="1"/>
  <c r="E197" i="1"/>
  <c r="C197" i="1"/>
  <c r="E196" i="1"/>
  <c r="C196" i="1"/>
  <c r="E195" i="1"/>
  <c r="C195" i="1"/>
  <c r="E194" i="1"/>
  <c r="C194" i="1"/>
  <c r="E193" i="1"/>
  <c r="C193" i="1"/>
  <c r="E192" i="1"/>
  <c r="C192" i="1"/>
  <c r="E191" i="1"/>
  <c r="C191" i="1"/>
  <c r="E190" i="1"/>
  <c r="C190" i="1"/>
  <c r="E189" i="1"/>
  <c r="C189" i="1"/>
  <c r="E188" i="1"/>
  <c r="C188" i="1"/>
  <c r="E187" i="1"/>
  <c r="C187" i="1"/>
  <c r="E186" i="1"/>
  <c r="C186" i="1"/>
  <c r="E185" i="1"/>
  <c r="C185" i="1"/>
  <c r="E184" i="1"/>
  <c r="C184" i="1"/>
  <c r="E183" i="1"/>
  <c r="C183" i="1"/>
  <c r="E182" i="1"/>
  <c r="C182" i="1"/>
  <c r="E181" i="1"/>
  <c r="C181" i="1"/>
  <c r="E180" i="1"/>
  <c r="C180" i="1"/>
  <c r="E179" i="1"/>
  <c r="C179" i="1"/>
  <c r="E178" i="1"/>
  <c r="C178" i="1"/>
  <c r="E177" i="1"/>
  <c r="C177" i="1"/>
  <c r="E176" i="1"/>
  <c r="C176" i="1"/>
  <c r="E175" i="1"/>
  <c r="C175" i="1"/>
  <c r="E174" i="1"/>
  <c r="C174" i="1"/>
  <c r="E173" i="1"/>
  <c r="C173" i="1"/>
  <c r="E172" i="1"/>
  <c r="C172" i="1"/>
  <c r="E171" i="1"/>
  <c r="C171" i="1"/>
  <c r="E170" i="1"/>
  <c r="C170" i="1"/>
  <c r="E169" i="1"/>
  <c r="C169" i="1"/>
  <c r="E168" i="1"/>
  <c r="C168" i="1"/>
  <c r="E167" i="1"/>
  <c r="C167" i="1"/>
  <c r="E166" i="1"/>
  <c r="C166" i="1"/>
  <c r="E165" i="1"/>
  <c r="C165" i="1"/>
  <c r="E164" i="1"/>
  <c r="C164" i="1"/>
  <c r="E163" i="1"/>
  <c r="C163" i="1"/>
  <c r="E162" i="1"/>
  <c r="C162" i="1"/>
  <c r="E161" i="1"/>
  <c r="C161" i="1"/>
  <c r="E160" i="1"/>
  <c r="C160" i="1"/>
  <c r="E159" i="1"/>
  <c r="C159" i="1"/>
  <c r="E158" i="1"/>
  <c r="C158" i="1"/>
  <c r="E157" i="1"/>
  <c r="C157" i="1"/>
  <c r="E156" i="1"/>
  <c r="C156" i="1"/>
  <c r="E155" i="1"/>
  <c r="C155" i="1"/>
  <c r="E154" i="1"/>
  <c r="C154" i="1"/>
  <c r="E153" i="1"/>
  <c r="C153" i="1"/>
  <c r="E152" i="1"/>
  <c r="C152" i="1"/>
  <c r="E151" i="1"/>
  <c r="C151" i="1"/>
  <c r="E150" i="1"/>
  <c r="C150" i="1"/>
  <c r="E149" i="1"/>
  <c r="C149" i="1"/>
  <c r="E148" i="1"/>
  <c r="C148" i="1"/>
  <c r="E147" i="1"/>
  <c r="C147" i="1"/>
  <c r="E146" i="1"/>
  <c r="C146" i="1"/>
  <c r="E145" i="1"/>
  <c r="C145" i="1"/>
  <c r="E144" i="1"/>
  <c r="C144" i="1"/>
  <c r="E143" i="1"/>
  <c r="C143" i="1"/>
  <c r="E142" i="1"/>
  <c r="C142" i="1"/>
  <c r="E141" i="1"/>
  <c r="C141" i="1"/>
  <c r="E140" i="1"/>
  <c r="C140" i="1"/>
  <c r="E139" i="1"/>
  <c r="C139" i="1"/>
  <c r="E138" i="1"/>
  <c r="C138" i="1"/>
  <c r="E137" i="1"/>
  <c r="C137" i="1"/>
  <c r="E136" i="1"/>
  <c r="C136" i="1"/>
  <c r="E135" i="1"/>
  <c r="C135" i="1"/>
  <c r="E134" i="1"/>
  <c r="C134" i="1"/>
  <c r="E133" i="1"/>
  <c r="C133" i="1"/>
  <c r="E132" i="1"/>
  <c r="C132" i="1"/>
  <c r="E131" i="1"/>
  <c r="C131" i="1"/>
  <c r="E130" i="1"/>
  <c r="C130" i="1"/>
  <c r="E129" i="1"/>
  <c r="C129" i="1"/>
  <c r="E128" i="1"/>
  <c r="C128" i="1"/>
  <c r="E127" i="1"/>
  <c r="C127" i="1"/>
  <c r="E126" i="1"/>
  <c r="C126" i="1"/>
  <c r="E125" i="1"/>
  <c r="C125" i="1"/>
  <c r="E124" i="1"/>
  <c r="C124" i="1"/>
  <c r="E123" i="1"/>
  <c r="C123" i="1"/>
  <c r="E122" i="1"/>
  <c r="C122" i="1"/>
  <c r="E121" i="1"/>
  <c r="C121" i="1"/>
  <c r="E120" i="1"/>
  <c r="C120" i="1"/>
  <c r="E119" i="1"/>
  <c r="C119" i="1"/>
  <c r="E118" i="1"/>
  <c r="C118" i="1"/>
  <c r="E117" i="1"/>
  <c r="C117" i="1"/>
  <c r="E116" i="1"/>
  <c r="C116" i="1"/>
  <c r="E115" i="1"/>
  <c r="C115" i="1"/>
  <c r="E114" i="1"/>
  <c r="C114" i="1"/>
  <c r="E113" i="1"/>
  <c r="C113" i="1"/>
  <c r="E112" i="1"/>
  <c r="C112" i="1"/>
  <c r="E111" i="1"/>
  <c r="C111" i="1"/>
  <c r="E110" i="1"/>
  <c r="C110" i="1"/>
  <c r="E109" i="1"/>
  <c r="C109" i="1"/>
  <c r="E108" i="1"/>
  <c r="C108" i="1"/>
  <c r="E107" i="1"/>
  <c r="C107" i="1"/>
  <c r="E106" i="1"/>
  <c r="C106" i="1"/>
  <c r="E105" i="1"/>
  <c r="C105" i="1"/>
  <c r="E104" i="1"/>
  <c r="C104" i="1"/>
  <c r="E103" i="1"/>
  <c r="C103" i="1"/>
  <c r="E102" i="1"/>
  <c r="C102" i="1"/>
  <c r="E101" i="1"/>
  <c r="C101" i="1"/>
  <c r="E100" i="1"/>
  <c r="C100" i="1"/>
  <c r="E99" i="1"/>
  <c r="C99" i="1"/>
  <c r="E98" i="1"/>
  <c r="C98" i="1"/>
  <c r="E97" i="1"/>
  <c r="C97" i="1"/>
  <c r="E96" i="1"/>
  <c r="C96" i="1"/>
  <c r="E95" i="1"/>
  <c r="C95" i="1"/>
  <c r="E94" i="1"/>
  <c r="C94" i="1"/>
  <c r="E93" i="1"/>
  <c r="C93" i="1"/>
  <c r="E92" i="1"/>
  <c r="C92" i="1"/>
  <c r="E91" i="1"/>
  <c r="C91" i="1"/>
  <c r="E90" i="1"/>
  <c r="C90" i="1"/>
  <c r="E89" i="1"/>
  <c r="C89" i="1"/>
  <c r="E88" i="1"/>
  <c r="C88" i="1"/>
  <c r="E87" i="1"/>
  <c r="C87" i="1"/>
  <c r="E86" i="1"/>
  <c r="C86" i="1"/>
  <c r="E85" i="1"/>
  <c r="C85" i="1"/>
  <c r="E84" i="1"/>
  <c r="C84" i="1"/>
  <c r="E83" i="1"/>
  <c r="C83" i="1"/>
  <c r="E82" i="1"/>
  <c r="C82" i="1"/>
  <c r="E81" i="1"/>
  <c r="C81" i="1"/>
  <c r="E80" i="1"/>
  <c r="C80" i="1"/>
  <c r="E79" i="1"/>
  <c r="C79" i="1"/>
  <c r="E78" i="1"/>
  <c r="C78" i="1"/>
  <c r="E77" i="1"/>
  <c r="C77" i="1"/>
  <c r="E76" i="1"/>
  <c r="C76" i="1"/>
  <c r="E75" i="1"/>
  <c r="C75" i="1"/>
  <c r="E74" i="1"/>
  <c r="C74" i="1"/>
  <c r="E73" i="1"/>
  <c r="C73" i="1"/>
  <c r="E72" i="1"/>
  <c r="C72" i="1"/>
  <c r="E71" i="1"/>
  <c r="C71" i="1"/>
  <c r="E70" i="1"/>
  <c r="C70" i="1"/>
  <c r="E69" i="1"/>
  <c r="C69" i="1"/>
  <c r="E68" i="1"/>
  <c r="C68" i="1"/>
  <c r="E67" i="1"/>
  <c r="C67" i="1"/>
  <c r="E66" i="1"/>
  <c r="C66" i="1"/>
  <c r="E65" i="1"/>
  <c r="C65" i="1"/>
  <c r="E64" i="1"/>
  <c r="C64" i="1"/>
  <c r="E63" i="1"/>
  <c r="C63" i="1"/>
  <c r="E62" i="1"/>
  <c r="C62" i="1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C2" i="1" s="1"/>
  <c r="E6" i="1"/>
  <c r="C6" i="1"/>
  <c r="C1" i="1"/>
  <c r="E1" i="1" s="1"/>
  <c r="B5" i="2" s="1"/>
  <c r="B9" i="2" s="1"/>
  <c r="B45" i="4" s="1"/>
  <c r="B28" i="10" s="1"/>
  <c r="B2" i="10" s="1"/>
  <c r="F19" i="6" l="1"/>
  <c r="D19" i="6"/>
  <c r="A15" i="11"/>
  <c r="A13" i="11"/>
  <c r="A16" i="11"/>
  <c r="A14" i="11"/>
  <c r="A12" i="11"/>
  <c r="G4" i="6"/>
  <c r="BP18" i="5"/>
  <c r="BO8" i="5"/>
  <c r="BO19" i="5"/>
  <c r="BO21" i="5"/>
  <c r="BO20" i="5"/>
  <c r="A7" i="11"/>
  <c r="I10" i="8"/>
  <c r="H16" i="8"/>
  <c r="A6" i="11"/>
  <c r="A4" i="11"/>
  <c r="I3" i="8"/>
  <c r="A3" i="11"/>
  <c r="G16" i="8"/>
  <c r="B32" i="10"/>
  <c r="BP20" i="5" l="1"/>
  <c r="G12" i="6"/>
  <c r="B33" i="10"/>
  <c r="H8" i="15"/>
  <c r="G16" i="6"/>
  <c r="BP21" i="5"/>
  <c r="BO11" i="5"/>
  <c r="G17" i="6" s="1"/>
  <c r="C46" i="10" s="1"/>
  <c r="F46" i="10" s="1"/>
  <c r="BO10" i="5"/>
  <c r="G13" i="6" s="1"/>
  <c r="C45" i="10" s="1"/>
  <c r="F45" i="10" s="1"/>
  <c r="BP8" i="5"/>
  <c r="H4" i="6"/>
  <c r="BQ18" i="5"/>
  <c r="G8" i="15"/>
  <c r="I16" i="8"/>
  <c r="G8" i="6"/>
  <c r="BP19" i="5"/>
  <c r="BO9" i="5"/>
  <c r="G9" i="6" s="1"/>
  <c r="C44" i="10" s="1"/>
  <c r="F44" i="10" s="1"/>
  <c r="G5" i="6"/>
  <c r="BO2" i="5" l="1"/>
  <c r="I4" i="6"/>
  <c r="BQ8" i="5"/>
  <c r="H8" i="6"/>
  <c r="BQ19" i="5"/>
  <c r="BP9" i="5"/>
  <c r="H9" i="6" s="1"/>
  <c r="C43" i="10"/>
  <c r="F43" i="10" s="1"/>
  <c r="B47" i="10" s="1"/>
  <c r="C9" i="10" s="1"/>
  <c r="B23" i="3" s="1"/>
  <c r="G18" i="6"/>
  <c r="I8" i="15"/>
  <c r="H5" i="6"/>
  <c r="H16" i="6"/>
  <c r="BQ21" i="5"/>
  <c r="BP11" i="5"/>
  <c r="H17" i="6" s="1"/>
  <c r="H12" i="6"/>
  <c r="BP10" i="5"/>
  <c r="H13" i="6" s="1"/>
  <c r="BQ20" i="5"/>
  <c r="I8" i="6" l="1"/>
  <c r="BQ9" i="5"/>
  <c r="I9" i="6" s="1"/>
  <c r="BP2" i="5"/>
  <c r="K2" i="7"/>
  <c r="G19" i="6"/>
  <c r="I5" i="6"/>
  <c r="H18" i="6"/>
  <c r="I12" i="6"/>
  <c r="BQ10" i="5"/>
  <c r="I13" i="6" s="1"/>
  <c r="I16" i="6"/>
  <c r="BQ11" i="5"/>
  <c r="I17" i="6" s="1"/>
  <c r="H2" i="7" l="1"/>
  <c r="H19" i="6"/>
  <c r="K7" i="7"/>
  <c r="G7" i="7" s="1"/>
  <c r="G2" i="7"/>
  <c r="K4" i="7"/>
  <c r="G4" i="7" s="1"/>
  <c r="K12" i="7"/>
  <c r="G12" i="7" s="1"/>
  <c r="K5" i="7"/>
  <c r="BQ2" i="5"/>
  <c r="I18" i="6"/>
  <c r="G2" i="15" l="1"/>
  <c r="G6" i="8"/>
  <c r="G5" i="7"/>
  <c r="G10" i="7"/>
  <c r="B3" i="9" s="1"/>
  <c r="G5" i="8"/>
  <c r="G3" i="7"/>
  <c r="B6" i="9"/>
  <c r="G7" i="15" s="1"/>
  <c r="K8" i="7"/>
  <c r="K13" i="7" s="1"/>
  <c r="I19" i="6"/>
  <c r="I2" i="7"/>
  <c r="G4" i="8"/>
  <c r="G11" i="8"/>
  <c r="C6" i="9"/>
  <c r="H7" i="15" s="1"/>
  <c r="H7" i="7"/>
  <c r="H5" i="8"/>
  <c r="H3" i="7"/>
  <c r="H2" i="15"/>
  <c r="H6" i="8"/>
  <c r="H12" i="7"/>
  <c r="H4" i="7"/>
  <c r="H5" i="7" s="1"/>
  <c r="H10" i="7"/>
  <c r="C3" i="9" s="1"/>
  <c r="K14" i="7" l="1"/>
  <c r="G14" i="7" s="1"/>
  <c r="K15" i="7"/>
  <c r="K16" i="7" s="1"/>
  <c r="G16" i="7" s="1"/>
  <c r="G3" i="15"/>
  <c r="G6" i="7"/>
  <c r="G8" i="7"/>
  <c r="I10" i="7"/>
  <c r="D3" i="9" s="1"/>
  <c r="I2" i="15"/>
  <c r="J2" i="15" s="1"/>
  <c r="I6" i="8"/>
  <c r="I12" i="7"/>
  <c r="I4" i="7"/>
  <c r="D6" i="9"/>
  <c r="I7" i="15" s="1"/>
  <c r="I7" i="7"/>
  <c r="I3" i="7"/>
  <c r="I5" i="8"/>
  <c r="H8" i="7"/>
  <c r="H3" i="15"/>
  <c r="H6" i="7"/>
  <c r="B4" i="9"/>
  <c r="G7" i="8"/>
  <c r="H11" i="8"/>
  <c r="H4" i="8"/>
  <c r="C4" i="9" l="1"/>
  <c r="I4" i="8"/>
  <c r="I7" i="8" s="1"/>
  <c r="I11" i="8"/>
  <c r="I5" i="7"/>
  <c r="G5" i="15"/>
  <c r="G17" i="7"/>
  <c r="G13" i="7"/>
  <c r="G15" i="7" s="1"/>
  <c r="G11" i="7"/>
  <c r="G4" i="15" s="1"/>
  <c r="G9" i="7"/>
  <c r="D4" i="9"/>
  <c r="H7" i="8"/>
  <c r="H9" i="7"/>
  <c r="H11" i="7"/>
  <c r="H4" i="15" s="1"/>
  <c r="H13" i="7"/>
  <c r="G12" i="8" l="1"/>
  <c r="B2" i="9"/>
  <c r="B5" i="9" s="1"/>
  <c r="B7" i="9" s="1"/>
  <c r="B8" i="9" s="1"/>
  <c r="G12" i="15"/>
  <c r="I3" i="15"/>
  <c r="J3" i="15" s="1"/>
  <c r="I6" i="7"/>
  <c r="I8" i="7"/>
  <c r="H14" i="7"/>
  <c r="H15" i="7" s="1"/>
  <c r="G6" i="15"/>
  <c r="B31" i="10"/>
  <c r="B19" i="10"/>
  <c r="C2" i="9" l="1"/>
  <c r="C5" i="9" s="1"/>
  <c r="C7" i="9" s="1"/>
  <c r="C8" i="9" s="1"/>
  <c r="H16" i="7"/>
  <c r="I13" i="7"/>
  <c r="I9" i="7"/>
  <c r="I11" i="7"/>
  <c r="I4" i="15" s="1"/>
  <c r="J4" i="15" s="1"/>
  <c r="G9" i="15"/>
  <c r="B24" i="10"/>
  <c r="H12" i="8"/>
  <c r="G17" i="8"/>
  <c r="G13" i="8"/>
  <c r="G14" i="8" s="1"/>
  <c r="D2" i="11"/>
  <c r="F2" i="11"/>
  <c r="B2" i="11"/>
  <c r="E2" i="11"/>
  <c r="C2" i="11"/>
  <c r="B20" i="10"/>
  <c r="C6" i="10" s="1"/>
  <c r="B34" i="10"/>
  <c r="B35" i="10" s="1"/>
  <c r="C32" i="10"/>
  <c r="B20" i="3" l="1"/>
  <c r="F5" i="11"/>
  <c r="F6" i="11"/>
  <c r="F7" i="11"/>
  <c r="F4" i="11"/>
  <c r="F3" i="11"/>
  <c r="H9" i="15"/>
  <c r="H13" i="15" s="1"/>
  <c r="H17" i="8"/>
  <c r="H13" i="8"/>
  <c r="H14" i="8" s="1"/>
  <c r="C5" i="11"/>
  <c r="C6" i="11"/>
  <c r="C7" i="11"/>
  <c r="C4" i="11"/>
  <c r="C3" i="11"/>
  <c r="D5" i="11"/>
  <c r="D3" i="11"/>
  <c r="D6" i="11"/>
  <c r="D4" i="11"/>
  <c r="D7" i="11"/>
  <c r="E11" i="11"/>
  <c r="C11" i="11"/>
  <c r="F11" i="11"/>
  <c r="B11" i="11"/>
  <c r="D11" i="11"/>
  <c r="B25" i="10"/>
  <c r="C7" i="10" s="1"/>
  <c r="B21" i="3" s="1"/>
  <c r="I14" i="7"/>
  <c r="I15" i="7" s="1"/>
  <c r="C33" i="10"/>
  <c r="E5" i="11"/>
  <c r="E4" i="11"/>
  <c r="E7" i="11"/>
  <c r="E6" i="11"/>
  <c r="E3" i="11"/>
  <c r="G13" i="15"/>
  <c r="G11" i="15"/>
  <c r="H5" i="15"/>
  <c r="H17" i="7"/>
  <c r="B5" i="11"/>
  <c r="B7" i="11"/>
  <c r="B4" i="11"/>
  <c r="B3" i="11"/>
  <c r="B6" i="11"/>
  <c r="I16" i="7" l="1"/>
  <c r="D2" i="9"/>
  <c r="D5" i="9" s="1"/>
  <c r="D7" i="9" s="1"/>
  <c r="D8" i="9" s="1"/>
  <c r="I12" i="8"/>
  <c r="H12" i="15"/>
  <c r="H11" i="15"/>
  <c r="C12" i="11"/>
  <c r="C13" i="11"/>
  <c r="C16" i="11"/>
  <c r="C15" i="11"/>
  <c r="C14" i="11"/>
  <c r="D16" i="11"/>
  <c r="D14" i="11"/>
  <c r="D15" i="11"/>
  <c r="D12" i="11"/>
  <c r="D13" i="11"/>
  <c r="E14" i="11"/>
  <c r="E13" i="11"/>
  <c r="E12" i="11"/>
  <c r="E15" i="11"/>
  <c r="E16" i="11"/>
  <c r="B15" i="11"/>
  <c r="B16" i="11"/>
  <c r="B12" i="11"/>
  <c r="B14" i="11"/>
  <c r="B13" i="11"/>
  <c r="H6" i="15"/>
  <c r="C31" i="10"/>
  <c r="F15" i="11"/>
  <c r="F12" i="11"/>
  <c r="F16" i="11"/>
  <c r="F13" i="11"/>
  <c r="F14" i="11"/>
  <c r="C34" i="10" l="1"/>
  <c r="C35" i="10" s="1"/>
  <c r="D32" i="10"/>
  <c r="D33" i="10" s="1"/>
  <c r="I9" i="15"/>
  <c r="I17" i="8"/>
  <c r="I13" i="8"/>
  <c r="I14" i="8" s="1"/>
  <c r="I5" i="15"/>
  <c r="I17" i="7"/>
  <c r="I12" i="15" l="1"/>
  <c r="I11" i="15"/>
  <c r="J5" i="15"/>
  <c r="I13" i="15"/>
  <c r="J9" i="15"/>
  <c r="D31" i="10"/>
  <c r="D34" i="10" s="1"/>
  <c r="I6" i="15"/>
  <c r="J6" i="15" s="1"/>
  <c r="D35" i="10" l="1"/>
  <c r="B36" i="10" s="1"/>
  <c r="B37" i="10"/>
  <c r="B38" i="10" s="1"/>
  <c r="B39" i="10" l="1"/>
  <c r="C8" i="10" s="1"/>
  <c r="B22" i="3" l="1"/>
  <c r="C11" i="10"/>
  <c r="C13" i="10" l="1"/>
  <c r="B15" i="3"/>
  <c r="B14" i="3" l="1"/>
  <c r="B16" i="3"/>
</calcChain>
</file>

<file path=xl/sharedStrings.xml><?xml version="1.0" encoding="utf-8"?>
<sst xmlns="http://schemas.openxmlformats.org/spreadsheetml/2006/main" count="2220" uniqueCount="2080">
  <si>
    <t>BẢNG TÍNH HỆ SỐ BETA LỊCH SỬ</t>
  </si>
  <si>
    <t>Beta thô (raw):</t>
  </si>
  <si>
    <t>Beta Blume (đã điều chỉnh):</t>
  </si>
  <si>
    <t>Số phiên giao dịch:</t>
  </si>
  <si>
    <t>Ngày</t>
  </si>
  <si>
    <t>Giá MWG</t>
  </si>
  <si>
    <t>Tỷ suất sinh lời MWG</t>
  </si>
  <si>
    <t>Giá VNINDEX</t>
  </si>
  <si>
    <t>Tỷ suất sinh lời VNINDEX</t>
  </si>
  <si>
    <t>2020-01-02</t>
  </si>
  <si>
    <t>2020-01-03</t>
  </si>
  <si>
    <t>2020-01-06</t>
  </si>
  <si>
    <t>2020-01-07</t>
  </si>
  <si>
    <t>2020-01-08</t>
  </si>
  <si>
    <t>2020-01-09</t>
  </si>
  <si>
    <t>2020-01-10</t>
  </si>
  <si>
    <t>2020-01-13</t>
  </si>
  <si>
    <t>2020-01-14</t>
  </si>
  <si>
    <t>2020-01-15</t>
  </si>
  <si>
    <t>2020-01-16</t>
  </si>
  <si>
    <t>2020-01-17</t>
  </si>
  <si>
    <t>2020-01-20</t>
  </si>
  <si>
    <t>2020-01-21</t>
  </si>
  <si>
    <t>2020-01-22</t>
  </si>
  <si>
    <t>2020-01-30</t>
  </si>
  <si>
    <t>2020-01-31</t>
  </si>
  <si>
    <t>2020-02-03</t>
  </si>
  <si>
    <t>2020-02-04</t>
  </si>
  <si>
    <t>2020-02-05</t>
  </si>
  <si>
    <t>2020-02-06</t>
  </si>
  <si>
    <t>2020-02-07</t>
  </si>
  <si>
    <t>2020-02-10</t>
  </si>
  <si>
    <t>2020-02-11</t>
  </si>
  <si>
    <t>2020-02-12</t>
  </si>
  <si>
    <t>2020-02-13</t>
  </si>
  <si>
    <t>2020-02-14</t>
  </si>
  <si>
    <t>2020-02-17</t>
  </si>
  <si>
    <t>2020-02-18</t>
  </si>
  <si>
    <t>2020-02-19</t>
  </si>
  <si>
    <t>2020-02-20</t>
  </si>
  <si>
    <t>2020-02-21</t>
  </si>
  <si>
    <t>2020-02-24</t>
  </si>
  <si>
    <t>2020-02-25</t>
  </si>
  <si>
    <t>2020-02-26</t>
  </si>
  <si>
    <t>2020-02-27</t>
  </si>
  <si>
    <t>2020-02-28</t>
  </si>
  <si>
    <t>2020-03-02</t>
  </si>
  <si>
    <t>2020-03-03</t>
  </si>
  <si>
    <t>2020-03-04</t>
  </si>
  <si>
    <t>2020-03-05</t>
  </si>
  <si>
    <t>2020-03-06</t>
  </si>
  <si>
    <t>2020-03-09</t>
  </si>
  <si>
    <t>2020-03-10</t>
  </si>
  <si>
    <t>2020-03-11</t>
  </si>
  <si>
    <t>2020-03-12</t>
  </si>
  <si>
    <t>2020-03-13</t>
  </si>
  <si>
    <t>2020-03-16</t>
  </si>
  <si>
    <t>2020-03-17</t>
  </si>
  <si>
    <t>2020-03-18</t>
  </si>
  <si>
    <t>2020-03-19</t>
  </si>
  <si>
    <t>2020-03-20</t>
  </si>
  <si>
    <t>2020-03-23</t>
  </si>
  <si>
    <t>2020-03-24</t>
  </si>
  <si>
    <t>2020-03-25</t>
  </si>
  <si>
    <t>2020-03-26</t>
  </si>
  <si>
    <t>2020-03-27</t>
  </si>
  <si>
    <t>2020-03-30</t>
  </si>
  <si>
    <t>2020-03-31</t>
  </si>
  <si>
    <t>2020-04-01</t>
  </si>
  <si>
    <t>2020-04-03</t>
  </si>
  <si>
    <t>2020-04-06</t>
  </si>
  <si>
    <t>2020-04-07</t>
  </si>
  <si>
    <t>2020-04-08</t>
  </si>
  <si>
    <t>2020-04-09</t>
  </si>
  <si>
    <t>2020-04-10</t>
  </si>
  <si>
    <t>2020-04-13</t>
  </si>
  <si>
    <t>2020-04-14</t>
  </si>
  <si>
    <t>2020-04-15</t>
  </si>
  <si>
    <t>2020-04-16</t>
  </si>
  <si>
    <t>2020-04-17</t>
  </si>
  <si>
    <t>2020-04-20</t>
  </si>
  <si>
    <t>2020-04-21</t>
  </si>
  <si>
    <t>2020-04-22</t>
  </si>
  <si>
    <t>2020-04-23</t>
  </si>
  <si>
    <t>2020-04-24</t>
  </si>
  <si>
    <t>2020-04-27</t>
  </si>
  <si>
    <t>2020-04-28</t>
  </si>
  <si>
    <t>2020-04-29</t>
  </si>
  <si>
    <t>2020-05-04</t>
  </si>
  <si>
    <t>2020-05-05</t>
  </si>
  <si>
    <t>2020-05-06</t>
  </si>
  <si>
    <t>2020-05-07</t>
  </si>
  <si>
    <t>2020-05-08</t>
  </si>
  <si>
    <t>2020-05-11</t>
  </si>
  <si>
    <t>2020-05-12</t>
  </si>
  <si>
    <t>2020-05-13</t>
  </si>
  <si>
    <t>2020-05-14</t>
  </si>
  <si>
    <t>2020-05-15</t>
  </si>
  <si>
    <t>2020-05-18</t>
  </si>
  <si>
    <t>2020-05-19</t>
  </si>
  <si>
    <t>2020-05-20</t>
  </si>
  <si>
    <t>2020-05-21</t>
  </si>
  <si>
    <t>2020-05-22</t>
  </si>
  <si>
    <t>2020-05-25</t>
  </si>
  <si>
    <t>2020-05-26</t>
  </si>
  <si>
    <t>2020-05-27</t>
  </si>
  <si>
    <t>2020-05-28</t>
  </si>
  <si>
    <t>2020-05-29</t>
  </si>
  <si>
    <t>2020-06-01</t>
  </si>
  <si>
    <t>2020-06-02</t>
  </si>
  <si>
    <t>2020-06-03</t>
  </si>
  <si>
    <t>2020-06-04</t>
  </si>
  <si>
    <t>2020-06-05</t>
  </si>
  <si>
    <t>2020-06-08</t>
  </si>
  <si>
    <t>2020-06-09</t>
  </si>
  <si>
    <t>2020-06-10</t>
  </si>
  <si>
    <t>2020-06-11</t>
  </si>
  <si>
    <t>2020-06-12</t>
  </si>
  <si>
    <t>2020-06-15</t>
  </si>
  <si>
    <t>2020-06-16</t>
  </si>
  <si>
    <t>2020-06-17</t>
  </si>
  <si>
    <t>2020-06-18</t>
  </si>
  <si>
    <t>2020-06-19</t>
  </si>
  <si>
    <t>2020-06-22</t>
  </si>
  <si>
    <t>2020-06-23</t>
  </si>
  <si>
    <t>2020-06-24</t>
  </si>
  <si>
    <t>2020-06-25</t>
  </si>
  <si>
    <t>2020-06-26</t>
  </si>
  <si>
    <t>2020-06-29</t>
  </si>
  <si>
    <t>2020-06-30</t>
  </si>
  <si>
    <t>2020-07-01</t>
  </si>
  <si>
    <t>2020-07-02</t>
  </si>
  <si>
    <t>2020-07-03</t>
  </si>
  <si>
    <t>2020-07-06</t>
  </si>
  <si>
    <t>2020-07-07</t>
  </si>
  <si>
    <t>2020-07-08</t>
  </si>
  <si>
    <t>2020-07-09</t>
  </si>
  <si>
    <t>2020-07-10</t>
  </si>
  <si>
    <t>2020-07-13</t>
  </si>
  <si>
    <t>2020-07-14</t>
  </si>
  <si>
    <t>2020-07-15</t>
  </si>
  <si>
    <t>2020-07-16</t>
  </si>
  <si>
    <t>2020-07-17</t>
  </si>
  <si>
    <t>2020-07-20</t>
  </si>
  <si>
    <t>2020-07-21</t>
  </si>
  <si>
    <t>2020-07-22</t>
  </si>
  <si>
    <t>2020-07-23</t>
  </si>
  <si>
    <t>2020-07-24</t>
  </si>
  <si>
    <t>2020-07-27</t>
  </si>
  <si>
    <t>2020-07-28</t>
  </si>
  <si>
    <t>2020-07-29</t>
  </si>
  <si>
    <t>2020-07-30</t>
  </si>
  <si>
    <t>2020-07-31</t>
  </si>
  <si>
    <t>2020-08-03</t>
  </si>
  <si>
    <t>2020-08-04</t>
  </si>
  <si>
    <t>2020-08-05</t>
  </si>
  <si>
    <t>2020-08-06</t>
  </si>
  <si>
    <t>2020-08-07</t>
  </si>
  <si>
    <t>2020-08-10</t>
  </si>
  <si>
    <t>2020-08-11</t>
  </si>
  <si>
    <t>2020-08-12</t>
  </si>
  <si>
    <t>2020-08-13</t>
  </si>
  <si>
    <t>2020-08-14</t>
  </si>
  <si>
    <t>2020-08-17</t>
  </si>
  <si>
    <t>2020-08-18</t>
  </si>
  <si>
    <t>2020-08-19</t>
  </si>
  <si>
    <t>2020-08-20</t>
  </si>
  <si>
    <t>2020-08-21</t>
  </si>
  <si>
    <t>2020-08-24</t>
  </si>
  <si>
    <t>2020-08-25</t>
  </si>
  <si>
    <t>2020-08-26</t>
  </si>
  <si>
    <t>2020-08-27</t>
  </si>
  <si>
    <t>2020-08-28</t>
  </si>
  <si>
    <t>2020-08-31</t>
  </si>
  <si>
    <t>2020-09-01</t>
  </si>
  <si>
    <t>2020-09-03</t>
  </si>
  <si>
    <t>2020-09-04</t>
  </si>
  <si>
    <t>2020-09-07</t>
  </si>
  <si>
    <t>2020-09-08</t>
  </si>
  <si>
    <t>2020-09-09</t>
  </si>
  <si>
    <t>2020-09-10</t>
  </si>
  <si>
    <t>2020-09-11</t>
  </si>
  <si>
    <t>2020-09-14</t>
  </si>
  <si>
    <t>2020-09-15</t>
  </si>
  <si>
    <t>2020-09-16</t>
  </si>
  <si>
    <t>2020-09-17</t>
  </si>
  <si>
    <t>2020-09-18</t>
  </si>
  <si>
    <t>2020-09-21</t>
  </si>
  <si>
    <t>2020-09-22</t>
  </si>
  <si>
    <t>2020-09-23</t>
  </si>
  <si>
    <t>2020-09-24</t>
  </si>
  <si>
    <t>2020-09-25</t>
  </si>
  <si>
    <t>2020-09-28</t>
  </si>
  <si>
    <t>2020-09-29</t>
  </si>
  <si>
    <t>2020-09-30</t>
  </si>
  <si>
    <t>2020-10-01</t>
  </si>
  <si>
    <t>2020-10-02</t>
  </si>
  <si>
    <t>2020-10-05</t>
  </si>
  <si>
    <t>2020-10-06</t>
  </si>
  <si>
    <t>2020-10-07</t>
  </si>
  <si>
    <t>2020-10-08</t>
  </si>
  <si>
    <t>2020-10-09</t>
  </si>
  <si>
    <t>2020-10-12</t>
  </si>
  <si>
    <t>2020-10-13</t>
  </si>
  <si>
    <t>2020-10-14</t>
  </si>
  <si>
    <t>2020-10-15</t>
  </si>
  <si>
    <t>2020-10-16</t>
  </si>
  <si>
    <t>2020-10-19</t>
  </si>
  <si>
    <t>2020-10-20</t>
  </si>
  <si>
    <t>2020-10-21</t>
  </si>
  <si>
    <t>2020-10-22</t>
  </si>
  <si>
    <t>2020-10-23</t>
  </si>
  <si>
    <t>2020-10-26</t>
  </si>
  <si>
    <t>2020-10-27</t>
  </si>
  <si>
    <t>2020-10-28</t>
  </si>
  <si>
    <t>2020-10-29</t>
  </si>
  <si>
    <t>2020-10-30</t>
  </si>
  <si>
    <t>2020-11-02</t>
  </si>
  <si>
    <t>2020-11-03</t>
  </si>
  <si>
    <t>2020-11-04</t>
  </si>
  <si>
    <t>2020-11-05</t>
  </si>
  <si>
    <t>2020-11-06</t>
  </si>
  <si>
    <t>2020-11-09</t>
  </si>
  <si>
    <t>2020-11-10</t>
  </si>
  <si>
    <t>2020-11-11</t>
  </si>
  <si>
    <t>2020-11-12</t>
  </si>
  <si>
    <t>2020-11-13</t>
  </si>
  <si>
    <t>2020-11-16</t>
  </si>
  <si>
    <t>2020-11-17</t>
  </si>
  <si>
    <t>2020-11-18</t>
  </si>
  <si>
    <t>2020-11-19</t>
  </si>
  <si>
    <t>2020-11-20</t>
  </si>
  <si>
    <t>2020-11-23</t>
  </si>
  <si>
    <t>2020-11-24</t>
  </si>
  <si>
    <t>2020-11-25</t>
  </si>
  <si>
    <t>2020-11-26</t>
  </si>
  <si>
    <t>2020-11-27</t>
  </si>
  <si>
    <t>2020-11-30</t>
  </si>
  <si>
    <t>2020-12-01</t>
  </si>
  <si>
    <t>2020-12-02</t>
  </si>
  <si>
    <t>2020-12-03</t>
  </si>
  <si>
    <t>2020-12-04</t>
  </si>
  <si>
    <t>2020-12-07</t>
  </si>
  <si>
    <t>2020-12-08</t>
  </si>
  <si>
    <t>2020-12-09</t>
  </si>
  <si>
    <t>2020-12-10</t>
  </si>
  <si>
    <t>2020-12-11</t>
  </si>
  <si>
    <t>2020-12-14</t>
  </si>
  <si>
    <t>2020-12-15</t>
  </si>
  <si>
    <t>2020-12-16</t>
  </si>
  <si>
    <t>2020-12-17</t>
  </si>
  <si>
    <t>2020-12-18</t>
  </si>
  <si>
    <t>2020-12-21</t>
  </si>
  <si>
    <t>2020-12-22</t>
  </si>
  <si>
    <t>2020-12-23</t>
  </si>
  <si>
    <t>2020-12-24</t>
  </si>
  <si>
    <t>2020-12-25</t>
  </si>
  <si>
    <t>2020-12-28</t>
  </si>
  <si>
    <t>2020-12-29</t>
  </si>
  <si>
    <t>2020-12-30</t>
  </si>
  <si>
    <t>2020-12-31</t>
  </si>
  <si>
    <t>2021-01-04</t>
  </si>
  <si>
    <t>2021-01-05</t>
  </si>
  <si>
    <t>2021-01-06</t>
  </si>
  <si>
    <t>2021-01-07</t>
  </si>
  <si>
    <t>2021-01-08</t>
  </si>
  <si>
    <t>2021-01-11</t>
  </si>
  <si>
    <t>2021-01-12</t>
  </si>
  <si>
    <t>2021-01-13</t>
  </si>
  <si>
    <t>2021-01-14</t>
  </si>
  <si>
    <t>2021-01-15</t>
  </si>
  <si>
    <t>2021-01-18</t>
  </si>
  <si>
    <t>2021-01-19</t>
  </si>
  <si>
    <t>2021-01-20</t>
  </si>
  <si>
    <t>2021-01-21</t>
  </si>
  <si>
    <t>2021-01-22</t>
  </si>
  <si>
    <t>2021-01-25</t>
  </si>
  <si>
    <t>2021-01-26</t>
  </si>
  <si>
    <t>2021-01-27</t>
  </si>
  <si>
    <t>2021-01-28</t>
  </si>
  <si>
    <t>2021-01-29</t>
  </si>
  <si>
    <t>2021-02-01</t>
  </si>
  <si>
    <t>2021-02-02</t>
  </si>
  <si>
    <t>2021-02-03</t>
  </si>
  <si>
    <t>2021-02-04</t>
  </si>
  <si>
    <t>2021-02-05</t>
  </si>
  <si>
    <t>2021-02-08</t>
  </si>
  <si>
    <t>2021-02-09</t>
  </si>
  <si>
    <t>2021-02-17</t>
  </si>
  <si>
    <t>2021-02-18</t>
  </si>
  <si>
    <t>2021-02-19</t>
  </si>
  <si>
    <t>2021-02-22</t>
  </si>
  <si>
    <t>2021-02-23</t>
  </si>
  <si>
    <t>2021-02-24</t>
  </si>
  <si>
    <t>2021-02-25</t>
  </si>
  <si>
    <t>2021-02-26</t>
  </si>
  <si>
    <t>2021-03-01</t>
  </si>
  <si>
    <t>2021-03-02</t>
  </si>
  <si>
    <t>2021-03-03</t>
  </si>
  <si>
    <t>2021-03-04</t>
  </si>
  <si>
    <t>2021-03-05</t>
  </si>
  <si>
    <t>2021-03-08</t>
  </si>
  <si>
    <t>2021-03-09</t>
  </si>
  <si>
    <t>2021-03-10</t>
  </si>
  <si>
    <t>2021-03-11</t>
  </si>
  <si>
    <t>2021-03-12</t>
  </si>
  <si>
    <t>2021-03-15</t>
  </si>
  <si>
    <t>2021-03-16</t>
  </si>
  <si>
    <t>2021-03-17</t>
  </si>
  <si>
    <t>2021-03-18</t>
  </si>
  <si>
    <t>2021-03-19</t>
  </si>
  <si>
    <t>2021-03-22</t>
  </si>
  <si>
    <t>2021-03-23</t>
  </si>
  <si>
    <t>2021-03-24</t>
  </si>
  <si>
    <t>2021-03-25</t>
  </si>
  <si>
    <t>2021-03-26</t>
  </si>
  <si>
    <t>2021-03-29</t>
  </si>
  <si>
    <t>2021-03-30</t>
  </si>
  <si>
    <t>2021-03-31</t>
  </si>
  <si>
    <t>2021-04-01</t>
  </si>
  <si>
    <t>2021-04-02</t>
  </si>
  <si>
    <t>2021-04-05</t>
  </si>
  <si>
    <t>2021-04-06</t>
  </si>
  <si>
    <t>2021-04-07</t>
  </si>
  <si>
    <t>2021-04-08</t>
  </si>
  <si>
    <t>2021-04-09</t>
  </si>
  <si>
    <t>2021-04-12</t>
  </si>
  <si>
    <t>2021-04-13</t>
  </si>
  <si>
    <t>2021-04-14</t>
  </si>
  <si>
    <t>2021-04-15</t>
  </si>
  <si>
    <t>2021-04-16</t>
  </si>
  <si>
    <t>2021-04-19</t>
  </si>
  <si>
    <t>2021-04-20</t>
  </si>
  <si>
    <t>2021-04-22</t>
  </si>
  <si>
    <t>2021-04-23</t>
  </si>
  <si>
    <t>2021-04-26</t>
  </si>
  <si>
    <t>2021-04-27</t>
  </si>
  <si>
    <t>2021-04-28</t>
  </si>
  <si>
    <t>2021-04-29</t>
  </si>
  <si>
    <t>2021-05-04</t>
  </si>
  <si>
    <t>2021-05-05</t>
  </si>
  <si>
    <t>2021-05-06</t>
  </si>
  <si>
    <t>2021-05-07</t>
  </si>
  <si>
    <t>2021-05-10</t>
  </si>
  <si>
    <t>2021-05-11</t>
  </si>
  <si>
    <t>2021-05-12</t>
  </si>
  <si>
    <t>2021-05-13</t>
  </si>
  <si>
    <t>2021-05-14</t>
  </si>
  <si>
    <t>2021-05-17</t>
  </si>
  <si>
    <t>2021-05-18</t>
  </si>
  <si>
    <t>2021-05-19</t>
  </si>
  <si>
    <t>2021-05-20</t>
  </si>
  <si>
    <t>2021-05-21</t>
  </si>
  <si>
    <t>2021-05-24</t>
  </si>
  <si>
    <t>2021-05-25</t>
  </si>
  <si>
    <t>2021-05-26</t>
  </si>
  <si>
    <t>2021-05-27</t>
  </si>
  <si>
    <t>2021-05-28</t>
  </si>
  <si>
    <t>2021-05-31</t>
  </si>
  <si>
    <t>2021-06-01</t>
  </si>
  <si>
    <t>2021-06-02</t>
  </si>
  <si>
    <t>2021-06-03</t>
  </si>
  <si>
    <t>2021-06-04</t>
  </si>
  <si>
    <t>2021-06-07</t>
  </si>
  <si>
    <t>2021-06-08</t>
  </si>
  <si>
    <t>2021-06-09</t>
  </si>
  <si>
    <t>2021-06-10</t>
  </si>
  <si>
    <t>2021-06-11</t>
  </si>
  <si>
    <t>2021-06-14</t>
  </si>
  <si>
    <t>2021-06-15</t>
  </si>
  <si>
    <t>2021-06-16</t>
  </si>
  <si>
    <t>2021-06-17</t>
  </si>
  <si>
    <t>2021-06-18</t>
  </si>
  <si>
    <t>2021-06-21</t>
  </si>
  <si>
    <t>2021-06-22</t>
  </si>
  <si>
    <t>2021-06-23</t>
  </si>
  <si>
    <t>2021-06-24</t>
  </si>
  <si>
    <t>2021-06-25</t>
  </si>
  <si>
    <t>2021-06-28</t>
  </si>
  <si>
    <t>2021-06-29</t>
  </si>
  <si>
    <t>2021-06-30</t>
  </si>
  <si>
    <t>2021-07-01</t>
  </si>
  <si>
    <t>2021-07-02</t>
  </si>
  <si>
    <t>2021-07-05</t>
  </si>
  <si>
    <t>2021-07-06</t>
  </si>
  <si>
    <t>2021-07-07</t>
  </si>
  <si>
    <t>2021-07-08</t>
  </si>
  <si>
    <t>2021-07-09</t>
  </si>
  <si>
    <t>2021-07-12</t>
  </si>
  <si>
    <t>2021-07-13</t>
  </si>
  <si>
    <t>2021-07-14</t>
  </si>
  <si>
    <t>2021-07-15</t>
  </si>
  <si>
    <t>2021-07-16</t>
  </si>
  <si>
    <t>2021-07-19</t>
  </si>
  <si>
    <t>2021-07-20</t>
  </si>
  <si>
    <t>2021-07-21</t>
  </si>
  <si>
    <t>2021-07-22</t>
  </si>
  <si>
    <t>2021-07-23</t>
  </si>
  <si>
    <t>2021-07-26</t>
  </si>
  <si>
    <t>2021-07-27</t>
  </si>
  <si>
    <t>2021-07-28</t>
  </si>
  <si>
    <t>2021-07-29</t>
  </si>
  <si>
    <t>2021-07-30</t>
  </si>
  <si>
    <t>2021-08-02</t>
  </si>
  <si>
    <t>2021-08-03</t>
  </si>
  <si>
    <t>2021-08-04</t>
  </si>
  <si>
    <t>2021-08-05</t>
  </si>
  <si>
    <t>2021-08-06</t>
  </si>
  <si>
    <t>2021-08-09</t>
  </si>
  <si>
    <t>2021-08-10</t>
  </si>
  <si>
    <t>2021-08-11</t>
  </si>
  <si>
    <t>2021-08-12</t>
  </si>
  <si>
    <t>2021-08-13</t>
  </si>
  <si>
    <t>2021-08-16</t>
  </si>
  <si>
    <t>2021-08-17</t>
  </si>
  <si>
    <t>2021-08-18</t>
  </si>
  <si>
    <t>2021-08-19</t>
  </si>
  <si>
    <t>2021-08-20</t>
  </si>
  <si>
    <t>2021-08-23</t>
  </si>
  <si>
    <t>2021-08-24</t>
  </si>
  <si>
    <t>2021-08-25</t>
  </si>
  <si>
    <t>2021-08-26</t>
  </si>
  <si>
    <t>2021-08-27</t>
  </si>
  <si>
    <t>2021-08-30</t>
  </si>
  <si>
    <t>2021-08-31</t>
  </si>
  <si>
    <t>2021-09-01</t>
  </si>
  <si>
    <t>2021-09-06</t>
  </si>
  <si>
    <t>2021-09-07</t>
  </si>
  <si>
    <t>2021-09-08</t>
  </si>
  <si>
    <t>2021-09-09</t>
  </si>
  <si>
    <t>2021-09-10</t>
  </si>
  <si>
    <t>2021-09-13</t>
  </si>
  <si>
    <t>2021-09-14</t>
  </si>
  <si>
    <t>2021-09-15</t>
  </si>
  <si>
    <t>2021-09-16</t>
  </si>
  <si>
    <t>2021-09-17</t>
  </si>
  <si>
    <t>2021-09-20</t>
  </si>
  <si>
    <t>2021-09-21</t>
  </si>
  <si>
    <t>2021-09-22</t>
  </si>
  <si>
    <t>2021-09-23</t>
  </si>
  <si>
    <t>2021-09-24</t>
  </si>
  <si>
    <t>2021-09-27</t>
  </si>
  <si>
    <t>2021-09-28</t>
  </si>
  <si>
    <t>2021-09-29</t>
  </si>
  <si>
    <t>2021-09-30</t>
  </si>
  <si>
    <t>2021-10-01</t>
  </si>
  <si>
    <t>2021-10-04</t>
  </si>
  <si>
    <t>2021-10-05</t>
  </si>
  <si>
    <t>2021-10-06</t>
  </si>
  <si>
    <t>2021-10-07</t>
  </si>
  <si>
    <t>2021-10-08</t>
  </si>
  <si>
    <t>2021-10-11</t>
  </si>
  <si>
    <t>2021-10-12</t>
  </si>
  <si>
    <t>2021-10-13</t>
  </si>
  <si>
    <t>2021-10-14</t>
  </si>
  <si>
    <t>2021-10-15</t>
  </si>
  <si>
    <t>2021-10-18</t>
  </si>
  <si>
    <t>2021-10-19</t>
  </si>
  <si>
    <t>2021-10-20</t>
  </si>
  <si>
    <t>2021-10-21</t>
  </si>
  <si>
    <t>2021-10-22</t>
  </si>
  <si>
    <t>2021-10-25</t>
  </si>
  <si>
    <t>2021-10-26</t>
  </si>
  <si>
    <t>2021-10-27</t>
  </si>
  <si>
    <t>2021-10-28</t>
  </si>
  <si>
    <t>2021-10-29</t>
  </si>
  <si>
    <t>2021-11-01</t>
  </si>
  <si>
    <t>2021-11-02</t>
  </si>
  <si>
    <t>2021-11-03</t>
  </si>
  <si>
    <t>2021-11-04</t>
  </si>
  <si>
    <t>2021-11-05</t>
  </si>
  <si>
    <t>2021-11-08</t>
  </si>
  <si>
    <t>2021-11-09</t>
  </si>
  <si>
    <t>2021-11-10</t>
  </si>
  <si>
    <t>2021-11-11</t>
  </si>
  <si>
    <t>2021-11-12</t>
  </si>
  <si>
    <t>2021-11-15</t>
  </si>
  <si>
    <t>2021-11-16</t>
  </si>
  <si>
    <t>2021-11-17</t>
  </si>
  <si>
    <t>2021-11-18</t>
  </si>
  <si>
    <t>2021-11-19</t>
  </si>
  <si>
    <t>2021-11-22</t>
  </si>
  <si>
    <t>2021-11-23</t>
  </si>
  <si>
    <t>2021-11-24</t>
  </si>
  <si>
    <t>2021-11-25</t>
  </si>
  <si>
    <t>2021-11-26</t>
  </si>
  <si>
    <t>2021-11-29</t>
  </si>
  <si>
    <t>2021-11-30</t>
  </si>
  <si>
    <t>2021-12-01</t>
  </si>
  <si>
    <t>2021-12-02</t>
  </si>
  <si>
    <t>2021-12-03</t>
  </si>
  <si>
    <t>2021-12-06</t>
  </si>
  <si>
    <t>2021-12-07</t>
  </si>
  <si>
    <t>2021-12-08</t>
  </si>
  <si>
    <t>2021-12-09</t>
  </si>
  <si>
    <t>2021-12-10</t>
  </si>
  <si>
    <t>2021-12-13</t>
  </si>
  <si>
    <t>2021-12-14</t>
  </si>
  <si>
    <t>2021-12-15</t>
  </si>
  <si>
    <t>2021-12-16</t>
  </si>
  <si>
    <t>2021-12-17</t>
  </si>
  <si>
    <t>2021-12-20</t>
  </si>
  <si>
    <t>2021-12-21</t>
  </si>
  <si>
    <t>2021-12-22</t>
  </si>
  <si>
    <t>2021-12-23</t>
  </si>
  <si>
    <t>2021-12-24</t>
  </si>
  <si>
    <t>2021-12-27</t>
  </si>
  <si>
    <t>2021-12-28</t>
  </si>
  <si>
    <t>2021-12-29</t>
  </si>
  <si>
    <t>2021-12-30</t>
  </si>
  <si>
    <t>2021-12-31</t>
  </si>
  <si>
    <t>2022-01-04</t>
  </si>
  <si>
    <t>2022-01-05</t>
  </si>
  <si>
    <t>2022-01-06</t>
  </si>
  <si>
    <t>2022-01-07</t>
  </si>
  <si>
    <t>2022-01-10</t>
  </si>
  <si>
    <t>2022-01-11</t>
  </si>
  <si>
    <t>2022-01-12</t>
  </si>
  <si>
    <t>2022-01-13</t>
  </si>
  <si>
    <t>2022-01-14</t>
  </si>
  <si>
    <t>2022-01-17</t>
  </si>
  <si>
    <t>2022-01-18</t>
  </si>
  <si>
    <t>2022-01-19</t>
  </si>
  <si>
    <t>2022-01-20</t>
  </si>
  <si>
    <t>2022-01-21</t>
  </si>
  <si>
    <t>2022-01-24</t>
  </si>
  <si>
    <t>2022-01-25</t>
  </si>
  <si>
    <t>2022-01-26</t>
  </si>
  <si>
    <t>2022-01-27</t>
  </si>
  <si>
    <t>2022-01-28</t>
  </si>
  <si>
    <t>2022-02-07</t>
  </si>
  <si>
    <t>2022-02-08</t>
  </si>
  <si>
    <t>2022-02-09</t>
  </si>
  <si>
    <t>2022-02-10</t>
  </si>
  <si>
    <t>2022-02-11</t>
  </si>
  <si>
    <t>2022-02-14</t>
  </si>
  <si>
    <t>2022-02-15</t>
  </si>
  <si>
    <t>2022-02-16</t>
  </si>
  <si>
    <t>2022-02-17</t>
  </si>
  <si>
    <t>2022-02-18</t>
  </si>
  <si>
    <t>2022-02-21</t>
  </si>
  <si>
    <t>2022-02-22</t>
  </si>
  <si>
    <t>2022-02-23</t>
  </si>
  <si>
    <t>2022-02-24</t>
  </si>
  <si>
    <t>2022-02-25</t>
  </si>
  <si>
    <t>2022-02-28</t>
  </si>
  <si>
    <t>2022-03-01</t>
  </si>
  <si>
    <t>2022-03-02</t>
  </si>
  <si>
    <t>2022-03-03</t>
  </si>
  <si>
    <t>2022-03-04</t>
  </si>
  <si>
    <t>2022-03-07</t>
  </si>
  <si>
    <t>2022-03-08</t>
  </si>
  <si>
    <t>2022-03-09</t>
  </si>
  <si>
    <t>2022-03-10</t>
  </si>
  <si>
    <t>2022-03-11</t>
  </si>
  <si>
    <t>2022-03-14</t>
  </si>
  <si>
    <t>2022-03-15</t>
  </si>
  <si>
    <t>2022-03-16</t>
  </si>
  <si>
    <t>2022-03-17</t>
  </si>
  <si>
    <t>2022-03-18</t>
  </si>
  <si>
    <t>2022-03-21</t>
  </si>
  <si>
    <t>2022-03-22</t>
  </si>
  <si>
    <t>2022-03-23</t>
  </si>
  <si>
    <t>2022-03-24</t>
  </si>
  <si>
    <t>2022-03-25</t>
  </si>
  <si>
    <t>2022-03-28</t>
  </si>
  <si>
    <t>2022-03-29</t>
  </si>
  <si>
    <t>2022-03-30</t>
  </si>
  <si>
    <t>2022-03-31</t>
  </si>
  <si>
    <t>2022-04-01</t>
  </si>
  <si>
    <t>2022-04-04</t>
  </si>
  <si>
    <t>2022-04-05</t>
  </si>
  <si>
    <t>2022-04-06</t>
  </si>
  <si>
    <t>2022-04-07</t>
  </si>
  <si>
    <t>2022-04-08</t>
  </si>
  <si>
    <t>2022-04-12</t>
  </si>
  <si>
    <t>2022-04-13</t>
  </si>
  <si>
    <t>2022-04-14</t>
  </si>
  <si>
    <t>2022-04-15</t>
  </si>
  <si>
    <t>2022-04-18</t>
  </si>
  <si>
    <t>2022-04-19</t>
  </si>
  <si>
    <t>2022-04-20</t>
  </si>
  <si>
    <t>2022-04-21</t>
  </si>
  <si>
    <t>2022-04-22</t>
  </si>
  <si>
    <t>2022-04-25</t>
  </si>
  <si>
    <t>2022-04-26</t>
  </si>
  <si>
    <t>2022-04-27</t>
  </si>
  <si>
    <t>2022-04-28</t>
  </si>
  <si>
    <t>2022-04-29</t>
  </si>
  <si>
    <t>2022-05-04</t>
  </si>
  <si>
    <t>2022-05-05</t>
  </si>
  <si>
    <t>2022-05-06</t>
  </si>
  <si>
    <t>2022-05-09</t>
  </si>
  <si>
    <t>2022-05-10</t>
  </si>
  <si>
    <t>2022-05-11</t>
  </si>
  <si>
    <t>2022-05-12</t>
  </si>
  <si>
    <t>2022-05-13</t>
  </si>
  <si>
    <t>2022-05-16</t>
  </si>
  <si>
    <t>2022-05-17</t>
  </si>
  <si>
    <t>2022-05-18</t>
  </si>
  <si>
    <t>2022-05-19</t>
  </si>
  <si>
    <t>2022-05-20</t>
  </si>
  <si>
    <t>2022-05-23</t>
  </si>
  <si>
    <t>2022-05-24</t>
  </si>
  <si>
    <t>2022-05-25</t>
  </si>
  <si>
    <t>2022-05-26</t>
  </si>
  <si>
    <t>2022-05-27</t>
  </si>
  <si>
    <t>2022-05-30</t>
  </si>
  <si>
    <t>2022-05-31</t>
  </si>
  <si>
    <t>2022-06-01</t>
  </si>
  <si>
    <t>2022-06-02</t>
  </si>
  <si>
    <t>2022-06-03</t>
  </si>
  <si>
    <t>2022-06-06</t>
  </si>
  <si>
    <t>2022-06-07</t>
  </si>
  <si>
    <t>2022-06-08</t>
  </si>
  <si>
    <t>2022-06-09</t>
  </si>
  <si>
    <t>2022-06-10</t>
  </si>
  <si>
    <t>2022-06-13</t>
  </si>
  <si>
    <t>2022-06-14</t>
  </si>
  <si>
    <t>2022-06-15</t>
  </si>
  <si>
    <t>2022-06-16</t>
  </si>
  <si>
    <t>2022-06-17</t>
  </si>
  <si>
    <t>2022-06-20</t>
  </si>
  <si>
    <t>2022-06-21</t>
  </si>
  <si>
    <t>2022-06-22</t>
  </si>
  <si>
    <t>2022-06-23</t>
  </si>
  <si>
    <t>2022-06-24</t>
  </si>
  <si>
    <t>2022-06-27</t>
  </si>
  <si>
    <t>2022-06-28</t>
  </si>
  <si>
    <t>2022-06-29</t>
  </si>
  <si>
    <t>2022-06-30</t>
  </si>
  <si>
    <t>2022-07-01</t>
  </si>
  <si>
    <t>2022-07-04</t>
  </si>
  <si>
    <t>2022-07-05</t>
  </si>
  <si>
    <t>2022-07-06</t>
  </si>
  <si>
    <t>2022-07-07</t>
  </si>
  <si>
    <t>2022-07-08</t>
  </si>
  <si>
    <t>2022-07-11</t>
  </si>
  <si>
    <t>2022-07-12</t>
  </si>
  <si>
    <t>2022-07-13</t>
  </si>
  <si>
    <t>2022-07-14</t>
  </si>
  <si>
    <t>2022-07-15</t>
  </si>
  <si>
    <t>2022-07-18</t>
  </si>
  <si>
    <t>2022-07-19</t>
  </si>
  <si>
    <t>2022-07-20</t>
  </si>
  <si>
    <t>2022-07-21</t>
  </si>
  <si>
    <t>2022-07-22</t>
  </si>
  <si>
    <t>2022-07-25</t>
  </si>
  <si>
    <t>2022-07-26</t>
  </si>
  <si>
    <t>2022-07-27</t>
  </si>
  <si>
    <t>2022-07-28</t>
  </si>
  <si>
    <t>2022-07-29</t>
  </si>
  <si>
    <t>2022-08-01</t>
  </si>
  <si>
    <t>2022-08-02</t>
  </si>
  <si>
    <t>2022-08-03</t>
  </si>
  <si>
    <t>2022-08-04</t>
  </si>
  <si>
    <t>2022-08-05</t>
  </si>
  <si>
    <t>2022-08-08</t>
  </si>
  <si>
    <t>2022-08-09</t>
  </si>
  <si>
    <t>2022-08-10</t>
  </si>
  <si>
    <t>2022-08-11</t>
  </si>
  <si>
    <t>2022-08-12</t>
  </si>
  <si>
    <t>2022-08-15</t>
  </si>
  <si>
    <t>2022-08-16</t>
  </si>
  <si>
    <t>2022-08-17</t>
  </si>
  <si>
    <t>2022-08-18</t>
  </si>
  <si>
    <t>2022-08-19</t>
  </si>
  <si>
    <t>2022-08-22</t>
  </si>
  <si>
    <t>2022-08-23</t>
  </si>
  <si>
    <t>2022-08-24</t>
  </si>
  <si>
    <t>2022-08-25</t>
  </si>
  <si>
    <t>2022-08-26</t>
  </si>
  <si>
    <t>2022-08-29</t>
  </si>
  <si>
    <t>2022-08-30</t>
  </si>
  <si>
    <t>2022-08-31</t>
  </si>
  <si>
    <t>2022-09-05</t>
  </si>
  <si>
    <t>2022-09-06</t>
  </si>
  <si>
    <t>2022-09-07</t>
  </si>
  <si>
    <t>2022-09-08</t>
  </si>
  <si>
    <t>2022-09-09</t>
  </si>
  <si>
    <t>2022-09-12</t>
  </si>
  <si>
    <t>2022-09-13</t>
  </si>
  <si>
    <t>2022-09-14</t>
  </si>
  <si>
    <t>2022-09-15</t>
  </si>
  <si>
    <t>2022-09-16</t>
  </si>
  <si>
    <t>2022-09-19</t>
  </si>
  <si>
    <t>2022-09-20</t>
  </si>
  <si>
    <t>2022-09-21</t>
  </si>
  <si>
    <t>2022-09-22</t>
  </si>
  <si>
    <t>2022-09-23</t>
  </si>
  <si>
    <t>2022-09-26</t>
  </si>
  <si>
    <t>2022-09-27</t>
  </si>
  <si>
    <t>2022-09-28</t>
  </si>
  <si>
    <t>2022-09-29</t>
  </si>
  <si>
    <t>2022-09-30</t>
  </si>
  <si>
    <t>2022-10-03</t>
  </si>
  <si>
    <t>2022-10-04</t>
  </si>
  <si>
    <t>2022-10-05</t>
  </si>
  <si>
    <t>2022-10-06</t>
  </si>
  <si>
    <t>2022-10-07</t>
  </si>
  <si>
    <t>2022-10-10</t>
  </si>
  <si>
    <t>2022-10-11</t>
  </si>
  <si>
    <t>2022-10-12</t>
  </si>
  <si>
    <t>2022-10-13</t>
  </si>
  <si>
    <t>2022-10-14</t>
  </si>
  <si>
    <t>2022-10-17</t>
  </si>
  <si>
    <t>2022-10-18</t>
  </si>
  <si>
    <t>2022-10-19</t>
  </si>
  <si>
    <t>2022-10-20</t>
  </si>
  <si>
    <t>2022-10-21</t>
  </si>
  <si>
    <t>2022-10-24</t>
  </si>
  <si>
    <t>2022-10-25</t>
  </si>
  <si>
    <t>2022-10-26</t>
  </si>
  <si>
    <t>2022-10-27</t>
  </si>
  <si>
    <t>2022-10-28</t>
  </si>
  <si>
    <t>2022-10-31</t>
  </si>
  <si>
    <t>2022-11-01</t>
  </si>
  <si>
    <t>2022-11-02</t>
  </si>
  <si>
    <t>2022-11-03</t>
  </si>
  <si>
    <t>2022-11-04</t>
  </si>
  <si>
    <t>2022-11-07</t>
  </si>
  <si>
    <t>2022-11-08</t>
  </si>
  <si>
    <t>2022-11-09</t>
  </si>
  <si>
    <t>2022-11-10</t>
  </si>
  <si>
    <t>2022-11-11</t>
  </si>
  <si>
    <t>2022-11-14</t>
  </si>
  <si>
    <t>2022-11-15</t>
  </si>
  <si>
    <t>2022-11-16</t>
  </si>
  <si>
    <t>2022-11-17</t>
  </si>
  <si>
    <t>2022-11-18</t>
  </si>
  <si>
    <t>2022-11-21</t>
  </si>
  <si>
    <t>2022-11-22</t>
  </si>
  <si>
    <t>2022-11-23</t>
  </si>
  <si>
    <t>2022-11-24</t>
  </si>
  <si>
    <t>2022-11-25</t>
  </si>
  <si>
    <t>2022-11-28</t>
  </si>
  <si>
    <t>2022-11-29</t>
  </si>
  <si>
    <t>2022-11-30</t>
  </si>
  <si>
    <t>2022-12-01</t>
  </si>
  <si>
    <t>2022-12-02</t>
  </si>
  <si>
    <t>2022-12-05</t>
  </si>
  <si>
    <t>2022-12-06</t>
  </si>
  <si>
    <t>2022-12-07</t>
  </si>
  <si>
    <t>2022-12-08</t>
  </si>
  <si>
    <t>2022-12-09</t>
  </si>
  <si>
    <t>2022-12-12</t>
  </si>
  <si>
    <t>2022-12-13</t>
  </si>
  <si>
    <t>2022-12-14</t>
  </si>
  <si>
    <t>2022-12-15</t>
  </si>
  <si>
    <t>2022-12-16</t>
  </si>
  <si>
    <t>2022-12-19</t>
  </si>
  <si>
    <t>2022-12-20</t>
  </si>
  <si>
    <t>2022-12-21</t>
  </si>
  <si>
    <t>2022-12-22</t>
  </si>
  <si>
    <t>2022-12-23</t>
  </si>
  <si>
    <t>2022-12-26</t>
  </si>
  <si>
    <t>2022-12-27</t>
  </si>
  <si>
    <t>2022-12-28</t>
  </si>
  <si>
    <t>2022-12-29</t>
  </si>
  <si>
    <t>2022-12-30</t>
  </si>
  <si>
    <t>2023-01-03</t>
  </si>
  <si>
    <t>2023-01-04</t>
  </si>
  <si>
    <t>2023-01-05</t>
  </si>
  <si>
    <t>2023-01-06</t>
  </si>
  <si>
    <t>2023-01-09</t>
  </si>
  <si>
    <t>2023-01-10</t>
  </si>
  <si>
    <t>2023-01-11</t>
  </si>
  <si>
    <t>2023-01-12</t>
  </si>
  <si>
    <t>2023-01-13</t>
  </si>
  <si>
    <t>2023-01-16</t>
  </si>
  <si>
    <t>2023-01-17</t>
  </si>
  <si>
    <t>2023-01-18</t>
  </si>
  <si>
    <t>2023-01-19</t>
  </si>
  <si>
    <t>2023-01-27</t>
  </si>
  <si>
    <t>2023-01-30</t>
  </si>
  <si>
    <t>2023-01-31</t>
  </si>
  <si>
    <t>2023-02-01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</si>
  <si>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</si>
  <si>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</si>
  <si>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</si>
  <si>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</si>
  <si>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</si>
  <si>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</si>
  <si>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</si>
  <si>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</si>
  <si>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</si>
  <si>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</si>
  <si>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</si>
  <si>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</si>
  <si>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2023-02-20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</si>
  <si>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</si>
  <si>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</si>
  <si>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</si>
  <si>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</si>
  <si>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</si>
  <si>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</si>
  <si>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</si>
  <si>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</si>
  <si>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</si>
  <si>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</si>
  <si>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</si>
  <si>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</si>
  <si>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</si>
  <si>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</si>
  <si>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</si>
  <si>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</si>
  <si>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</si>
  <si>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</si>
  <si>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</si>
  <si>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</si>
  <si>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</si>
  <si>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</si>
  <si>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</si>
  <si>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</si>
  <si>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</si>
  <si>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</si>
  <si>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</si>
  <si>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</si>
  <si>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</si>
  <si>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</si>
  <si>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</si>
  <si>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</si>
  <si>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</si>
  <si>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</si>
  <si>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</si>
  <si>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</si>
  <si>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</si>
  <si>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</si>
  <si>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</si>
  <si>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</si>
  <si>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</si>
  <si>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</si>
  <si>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</si>
  <si>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</si>
  <si>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</si>
  <si>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</si>
  <si>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</si>
  <si>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</si>
  <si>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</si>
  <si>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</si>
  <si>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</si>
  <si>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</si>
  <si>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</si>
  <si>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</si>
  <si>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</si>
  <si>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</si>
  <si>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</si>
  <si>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</si>
  <si>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</si>
  <si>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</si>
  <si>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</si>
  <si>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</si>
  <si>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</si>
  <si>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</si>
  <si>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</si>
  <si>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</si>
  <si>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2023-05-29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</si>
  <si>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</si>
  <si>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</si>
  <si>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</si>
  <si>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</si>
  <si>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</si>
  <si>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</si>
  <si>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</si>
  <si>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</si>
  <si>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</si>
  <si>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</si>
  <si>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</si>
  <si>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</si>
  <si>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</si>
  <si>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</si>
  <si>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</si>
  <si>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</si>
  <si>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</si>
  <si>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</si>
  <si>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</si>
  <si>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</si>
  <si>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</si>
  <si>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</si>
  <si>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</si>
  <si>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</si>
  <si>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</si>
  <si>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</si>
  <si>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</si>
  <si>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</si>
  <si>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</si>
  <si>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</si>
  <si>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</si>
  <si>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</si>
  <si>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</si>
  <si>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</si>
  <si>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</si>
  <si>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</si>
  <si>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</si>
  <si>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</si>
  <si>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</si>
  <si>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</si>
  <si>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</si>
  <si>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</si>
  <si>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</si>
  <si>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</si>
  <si>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</si>
  <si>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</si>
  <si>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</si>
  <si>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</si>
  <si>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</si>
  <si>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</si>
  <si>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</si>
  <si>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</si>
  <si>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</si>
  <si>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</si>
  <si>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</si>
  <si>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</si>
  <si>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</si>
  <si>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</si>
  <si>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</si>
  <si>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</si>
  <si>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</si>
  <si>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</si>
  <si>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</si>
  <si>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</si>
  <si>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</si>
  <si>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</si>
  <si>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</si>
  <si>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</si>
  <si>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</si>
  <si>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</si>
  <si>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</si>
  <si>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</si>
  <si>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</si>
  <si>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</si>
  <si>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</si>
  <si>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</si>
  <si>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</si>
  <si>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</si>
  <si>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</si>
  <si>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</si>
  <si>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</si>
  <si>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</si>
  <si>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</si>
  <si>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</si>
  <si>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</si>
  <si>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</si>
  <si>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</si>
  <si>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</si>
  <si>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</si>
  <si>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</si>
  <si>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</si>
  <si>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</si>
  <si>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</si>
  <si>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</si>
  <si>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</si>
  <si>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</si>
  <si>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</si>
  <si>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</si>
  <si>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</si>
  <si>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</si>
  <si>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</si>
  <si>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</si>
  <si>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</si>
  <si>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</si>
  <si>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</si>
  <si>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</si>
  <si>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</si>
  <si>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</si>
  <si>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</si>
  <si>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</si>
  <si>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</si>
  <si>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</si>
  <si>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</si>
  <si>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</si>
  <si>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</si>
  <si>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</si>
  <si>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</si>
  <si>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</si>
  <si>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</si>
  <si>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</si>
  <si>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</si>
  <si>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</si>
  <si>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</si>
  <si>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</si>
  <si>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</si>
  <si>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</si>
  <si>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</si>
  <si>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</si>
  <si>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</si>
  <si>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</si>
  <si>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</si>
  <si>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</si>
  <si>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</si>
  <si>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</si>
  <si>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</si>
  <si>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</si>
  <si>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</si>
  <si>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</si>
  <si>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</si>
  <si>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</si>
  <si>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</si>
  <si>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</si>
  <si>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</si>
  <si>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</si>
  <si>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</si>
  <si>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</si>
  <si>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</si>
  <si>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2023-12-25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</si>
  <si>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</si>
  <si>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</si>
  <si>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</si>
  <si>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</si>
  <si>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</si>
  <si>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</si>
  <si>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</si>
  <si>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</si>
  <si>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</si>
  <si>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</si>
  <si>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</si>
  <si>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</si>
  <si>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</si>
  <si>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</si>
  <si>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</si>
  <si>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</si>
  <si>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</si>
  <si>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</si>
  <si>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</si>
  <si>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</si>
  <si>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</si>
  <si>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</si>
  <si>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</si>
  <si>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</si>
  <si>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</si>
  <si>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</si>
  <si>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</si>
  <si>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</si>
  <si>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</si>
  <si>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</si>
  <si>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</si>
  <si>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</si>
  <si>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</si>
  <si>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</si>
  <si>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</si>
  <si>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</si>
  <si>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</si>
  <si>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</si>
  <si>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</si>
  <si>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</si>
  <si>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</si>
  <si>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</si>
  <si>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</si>
  <si>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</si>
  <si>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</si>
  <si>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</si>
  <si>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</si>
  <si>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</si>
  <si>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</si>
  <si>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</si>
  <si>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</si>
  <si>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</si>
  <si>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</si>
  <si>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</si>
  <si>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</si>
  <si>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</si>
  <si>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</si>
  <si>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</si>
  <si>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</si>
  <si>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</si>
  <si>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</si>
  <si>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</si>
  <si>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</si>
  <si>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</si>
  <si>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</si>
  <si>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</si>
  <si>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</si>
  <si>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</si>
  <si>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</si>
  <si>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</si>
  <si>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</si>
  <si>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</si>
  <si>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</si>
  <si>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</si>
  <si>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</si>
  <si>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</si>
  <si>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2024-04-19</t>
  </si>
  <si>
    <t>2024-04-22</t>
  </si>
  <si>
    <t>2024-04-23</t>
  </si>
  <si>
    <t>2024-04-24</t>
  </si>
  <si>
    <t>2024-04-25</t>
  </si>
  <si>
    <t>2024-04-26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</si>
  <si>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</si>
  <si>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</si>
  <si>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</si>
  <si>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</si>
  <si>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</si>
  <si>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</si>
  <si>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</si>
  <si>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</si>
  <si>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</si>
  <si>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</si>
  <si>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</si>
  <si>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</si>
  <si>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</si>
  <si>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</si>
  <si>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</si>
  <si>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</si>
  <si>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</si>
  <si>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</si>
  <si>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</si>
  <si>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</si>
  <si>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</si>
  <si>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</si>
  <si>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</si>
  <si>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</si>
  <si>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</si>
  <si>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</si>
  <si>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</si>
  <si>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</si>
  <si>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</si>
  <si>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</si>
  <si>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</si>
  <si>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</si>
  <si>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</si>
  <si>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</si>
  <si>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</si>
  <si>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</si>
  <si>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</si>
  <si>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</si>
  <si>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</si>
  <si>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</si>
  <si>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</si>
  <si>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</si>
  <si>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</si>
  <si>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</si>
  <si>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</si>
  <si>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</si>
  <si>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</si>
  <si>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</si>
  <si>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</si>
  <si>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</si>
  <si>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</si>
  <si>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</si>
  <si>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</si>
  <si>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</si>
  <si>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</si>
  <si>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</si>
  <si>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</si>
  <si>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</si>
  <si>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</si>
  <si>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</si>
  <si>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</si>
  <si>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</si>
  <si>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</si>
  <si>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</si>
  <si>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</si>
  <si>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</si>
  <si>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</si>
  <si>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</si>
  <si>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</si>
  <si>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</si>
  <si>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</si>
  <si>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</si>
  <si>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</si>
  <si>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</si>
  <si>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</si>
  <si>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</si>
  <si>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</si>
  <si>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</si>
  <si>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</si>
  <si>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</si>
  <si>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</si>
  <si>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</si>
  <si>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</si>
  <si>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</si>
  <si>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</si>
  <si>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</si>
  <si>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</si>
  <si>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</si>
  <si>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</si>
  <si>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</si>
  <si>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</si>
  <si>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</si>
  <si>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</si>
  <si>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</si>
  <si>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</si>
  <si>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</si>
  <si>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</si>
  <si>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</si>
  <si>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</si>
  <si>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</si>
  <si>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</si>
  <si>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</si>
  <si>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</si>
  <si>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</si>
  <si>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</si>
  <si>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</si>
  <si>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</si>
  <si>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</si>
  <si>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</si>
  <si>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</si>
  <si>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</si>
  <si>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</si>
  <si>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</si>
  <si>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</si>
  <si>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</si>
  <si>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</si>
  <si>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</si>
  <si>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</si>
  <si>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</si>
  <si>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</si>
  <si>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</si>
  <si>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</si>
  <si>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</si>
  <si>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</si>
  <si>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</si>
  <si>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</si>
  <si>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</si>
  <si>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</si>
  <si>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</si>
  <si>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</si>
  <si>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</si>
  <si>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</si>
  <si>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</si>
  <si>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</si>
  <si>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</si>
  <si>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</si>
  <si>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</si>
  <si>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</si>
  <si>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</si>
  <si>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</si>
  <si>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</si>
  <si>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</si>
  <si>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</si>
  <si>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</si>
  <si>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</si>
  <si>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</si>
  <si>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</si>
  <si>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</si>
  <si>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</si>
  <si>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</si>
  <si>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</si>
  <si>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</si>
  <si>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</si>
  <si>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</si>
  <si>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</si>
  <si>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</si>
  <si>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</si>
  <si>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</si>
  <si>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</si>
  <si>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</si>
  <si>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</si>
  <si>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</si>
  <si>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</si>
  <si>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</si>
  <si>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</si>
  <si>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</si>
  <si>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</si>
  <si>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2024-12-25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</si>
  <si>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</si>
  <si>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</si>
  <si>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</si>
  <si>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</si>
  <si>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</si>
  <si>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</si>
  <si>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</si>
  <si>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</si>
  <si>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</si>
  <si>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</si>
  <si>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</si>
  <si>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</si>
  <si>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</si>
  <si>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</si>
  <si>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</si>
  <si>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</si>
  <si>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</si>
  <si>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</si>
  <si>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</si>
  <si>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</si>
  <si>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</si>
  <si>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</si>
  <si>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</si>
  <si>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</si>
  <si>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</si>
  <si>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</si>
  <si>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</si>
  <si>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</si>
  <si>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</si>
  <si>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</si>
  <si>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</si>
  <si>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</si>
  <si>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</si>
  <si>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</si>
  <si>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</si>
  <si>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</si>
  <si>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</si>
  <si>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</si>
  <si>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</si>
  <si>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</si>
  <si>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</si>
  <si>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2025-03-03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</si>
  <si>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</si>
  <si>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</si>
  <si>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</si>
  <si>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</si>
  <si>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</si>
  <si>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</si>
  <si>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</si>
  <si>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</si>
  <si>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</si>
  <si>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</si>
  <si>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</si>
  <si>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</si>
  <si>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</si>
  <si>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</si>
  <si>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</si>
  <si>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</si>
  <si>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</si>
  <si>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</si>
  <si>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</si>
  <si>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</si>
  <si>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</si>
  <si>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</si>
  <si>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</si>
  <si>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</si>
  <si>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</si>
  <si>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</si>
  <si>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</si>
  <si>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</si>
  <si>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</si>
  <si>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</si>
  <si>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</si>
  <si>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</si>
  <si>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</si>
  <si>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</si>
  <si>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</si>
  <si>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</si>
  <si>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</si>
  <si>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</si>
  <si>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</si>
  <si>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</si>
  <si>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</si>
  <si>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</si>
  <si>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</si>
  <si>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</si>
  <si>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</si>
  <si>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</si>
  <si>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</si>
  <si>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</si>
  <si>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</si>
  <si>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</si>
  <si>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</si>
  <si>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</si>
  <si>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</si>
  <si>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</si>
  <si>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</si>
  <si>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</si>
  <si>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</si>
  <si>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</si>
  <si>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</si>
  <si>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</si>
  <si>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</si>
  <si>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</si>
  <si>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</si>
  <si>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</si>
  <si>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</si>
  <si>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</si>
  <si>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</si>
  <si>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</si>
  <si>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</si>
  <si>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</si>
  <si>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</si>
  <si>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</si>
  <si>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</si>
  <si>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</si>
  <si>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</si>
  <si>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</si>
  <si>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</si>
  <si>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</si>
  <si>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</si>
  <si>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</si>
  <si>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</si>
  <si>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</si>
  <si>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</si>
  <si>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</si>
  <si>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</si>
  <si>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</si>
  <si>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</si>
  <si>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</si>
  <si>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</si>
  <si>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</si>
  <si>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</si>
  <si>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</si>
  <si>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</si>
  <si>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</si>
  <si>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</si>
  <si>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</si>
  <si>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</si>
  <si>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</si>
  <si>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</si>
  <si>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</si>
  <si>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</si>
  <si>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</si>
  <si>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</si>
  <si>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</si>
  <si>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</si>
  <si>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</si>
  <si>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</si>
  <si>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</si>
  <si>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</si>
  <si>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</si>
  <si>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</si>
  <si>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</si>
  <si>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</si>
  <si>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</si>
  <si>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</si>
  <si>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</si>
  <si>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</si>
  <si>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</si>
  <si>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</si>
  <si>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</si>
  <si>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</si>
  <si>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</si>
  <si>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</si>
  <si>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</si>
  <si>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</si>
  <si>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</si>
  <si>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</si>
  <si>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</si>
  <si>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</si>
  <si>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</si>
  <si>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</si>
  <si>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</si>
  <si>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</si>
  <si>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</si>
  <si>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</si>
  <si>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</si>
  <si>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</si>
  <si>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</si>
  <si>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</si>
  <si>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</si>
  <si>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</si>
  <si>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</si>
  <si>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</si>
  <si>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</si>
  <si>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</si>
  <si>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</si>
  <si>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</si>
  <si>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</si>
  <si>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</si>
  <si>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</si>
  <si>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</si>
  <si>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</si>
  <si>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</si>
  <si>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</si>
  <si>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</si>
  <si>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</si>
  <si>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</si>
  <si>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</si>
  <si>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</si>
  <si>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</si>
  <si>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</si>
  <si>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</si>
  <si>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</si>
  <si>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</si>
  <si>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</si>
  <si>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</si>
  <si>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</si>
  <si>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</si>
  <si>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</si>
  <si>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</si>
  <si>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</si>
  <si>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</si>
  <si>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</si>
  <si>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</si>
  <si>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</si>
  <si>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</si>
  <si>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</si>
  <si>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</si>
  <si>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</si>
  <si>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</si>
  <si>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</si>
  <si>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</si>
  <si>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</si>
  <si>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</si>
  <si>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</si>
  <si>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</si>
  <si>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</si>
  <si>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</si>
  <si>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</si>
  <si>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</si>
  <si>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</si>
  <si>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</si>
  <si>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</si>
  <si>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</si>
  <si>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</si>
  <si>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</si>
  <si>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</si>
  <si>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</si>
  <si>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</si>
  <si>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</si>
  <si>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</si>
  <si>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</si>
  <si>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</si>
  <si>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</si>
  <si>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</si>
  <si>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</si>
  <si>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</si>
  <si>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</si>
  <si>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</si>
  <si>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</si>
  <si>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</si>
  <si>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</si>
  <si>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</si>
  <si>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</si>
  <si>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</si>
  <si>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</si>
  <si>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</si>
  <si>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</si>
  <si>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</si>
  <si>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</si>
  <si>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</si>
  <si>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</si>
  <si>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</si>
  <si>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</si>
  <si>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</si>
  <si>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</si>
  <si>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</si>
  <si>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</si>
  <si>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</si>
  <si>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</si>
  <si>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</si>
  <si>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</si>
  <si>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</si>
  <si>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</si>
  <si>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</si>
  <si>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</si>
  <si>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</si>
  <si>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</si>
  <si>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</si>
  <si>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</si>
  <si>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</si>
  <si>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</si>
  <si>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</si>
  <si>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</si>
  <si>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</si>
  <si>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</si>
  <si>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</si>
  <si>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</si>
  <si>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</si>
  <si>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</si>
  <si>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</si>
  <si>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</si>
  <si>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</si>
  <si>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</si>
  <si>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</si>
  <si>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</si>
  <si>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</si>
  <si>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</si>
  <si>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</si>
  <si>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</si>
  <si>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</si>
  <si>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</si>
  <si>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</si>
  <si>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</si>
  <si>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</si>
  <si>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</si>
  <si>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</si>
  <si>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</si>
  <si>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</si>
  <si>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</si>
  <si>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</si>
  <si>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</si>
  <si>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</si>
  <si>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</si>
  <si>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</si>
  <si>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</si>
  <si>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</si>
  <si>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</si>
  <si>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</si>
  <si>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</si>
  <si>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</si>
  <si>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</si>
  <si>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</si>
  <si>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</si>
  <si>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</si>
  <si>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</si>
  <si>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2026-04-28</t>
  </si>
  <si>
    <t>2026-04-29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</si>
  <si>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</si>
  <si>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</si>
  <si>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</si>
  <si>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</si>
  <si>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</si>
  <si>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</si>
  <si>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</si>
  <si>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</si>
  <si>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</si>
  <si>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</si>
  <si>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</si>
  <si>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</si>
  <si>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</si>
  <si>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</si>
  <si>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</si>
  <si>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2026-05-25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</si>
  <si>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</si>
  <si>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</si>
  <si>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</si>
  <si>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</si>
  <si>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</si>
  <si>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</si>
  <si>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</si>
  <si>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</si>
  <si>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</si>
  <si>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</si>
  <si>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</si>
  <si>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</si>
  <si>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</si>
  <si>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</si>
  <si>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</si>
  <si>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</si>
  <si>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</si>
  <si>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</si>
  <si>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</si>
  <si>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</si>
  <si>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</si>
  <si>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</si>
  <si>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</si>
  <si>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</si>
  <si>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</si>
  <si>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</si>
  <si>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2026-07-01</t>
  </si>
  <si>
    <t>2026-07-02</t>
  </si>
  <si>
    <t>2026-07-03</t>
  </si>
  <si>
    <t>CHI PHÍ VỐN CSH (COE) — MÔ HÌNH CAPM</t>
  </si>
  <si>
    <t>Tham số</t>
  </si>
  <si>
    <t>Giá trị</t>
  </si>
  <si>
    <t>Ghi chú / Nguồn</t>
  </si>
  <si>
    <t>Rf — Lãi suất phi rủi ro (TPCP 10 năm)</t>
  </si>
  <si>
    <t>Fallback (manual)</t>
  </si>
  <si>
    <t>β — Hệ số Beta (Blume-adjusted)</t>
  </si>
  <si>
    <t>Tu tinh toan (1621 phien)</t>
  </si>
  <si>
    <t>ERP — Phần bù rủi ro vốn (Damodaran)</t>
  </si>
  <si>
    <t>α — Phần bù rủi ro đặc thù (Frontier-market retail)</t>
  </si>
  <si>
    <t>COE = Rf + β×ERP + α</t>
  </si>
  <si>
    <t>PHÂN TÍCH CỔ PHIẾU MWG — CTCP Đầu tư Thế Giới Di Động</t>
  </si>
  <si>
    <t>Ticker</t>
  </si>
  <si>
    <t>MWG</t>
  </si>
  <si>
    <t>Sàn</t>
  </si>
  <si>
    <t>HOSE</t>
  </si>
  <si>
    <t>Ngành</t>
  </si>
  <si>
    <t>Bán lẻ</t>
  </si>
  <si>
    <t>Giá hiện tại (VND)</t>
  </si>
  <si>
    <t>Số CP lưu hành (triệu)</t>
  </si>
  <si>
    <t>Vốn hóa (tỷ VND)</t>
  </si>
  <si>
    <t>P/E TTM (x)</t>
  </si>
  <si>
    <t>P/B (x)</t>
  </si>
  <si>
    <t>EPS TTM (VND)</t>
  </si>
  <si>
    <t>BVPS (VND)</t>
  </si>
  <si>
    <t>Kế hoạch DT 2026 (tỷ)</t>
  </si>
  <si>
    <t>Kế hoạch LNST 2026 (tỷ)</t>
  </si>
  <si>
    <t>Khuyến nghị</t>
  </si>
  <si>
    <t>Giá mục tiêu (VND)</t>
  </si>
  <si>
    <t>Upside/Downside</t>
  </si>
  <si>
    <t>Ngày phân tích</t>
  </si>
  <si>
    <t>05/07/2026 00:17</t>
  </si>
  <si>
    <t>4 PHƯƠNG PHÁP ĐỊNH GIÁ (trọng số theo skill ban-le, đã bỏ P/S+P/B)</t>
  </si>
  <si>
    <t>P/E Median (20%)</t>
  </si>
  <si>
    <t>P/B Median (20%)</t>
  </si>
  <si>
    <t>Residual Income (10%)</t>
  </si>
  <si>
    <t>P/S + P/E theo mảng, cả 4 mảng (50%)</t>
  </si>
  <si>
    <t>Giả định</t>
  </si>
  <si>
    <t>2021A</t>
  </si>
  <si>
    <t>2022A</t>
  </si>
  <si>
    <t>2023A</t>
  </si>
  <si>
    <t>2024A</t>
  </si>
  <si>
    <t>2025A</t>
  </si>
  <si>
    <t>2026E</t>
  </si>
  <si>
    <t>2027F</t>
  </si>
  <si>
    <t>2028F</t>
  </si>
  <si>
    <t>Ghi chú</t>
  </si>
  <si>
    <t>Giá cổ phiếu hiện tại (VND)</t>
  </si>
  <si>
    <t>Giá đóng cửa gần nhất (Vietcap)</t>
  </si>
  <si>
    <t>Số CP lưu hành (triệu CP)</t>
  </si>
  <si>
    <t>Vốn góp/mệnh giá 10,000đ</t>
  </si>
  <si>
    <t>Giá x SL CP (không phải công thức, chỉ là ghi chú)</t>
  </si>
  <si>
    <t>SỐ CỬA HÀNG CUỐI KỲ (cửa hàng)</t>
  </si>
  <si>
    <t>TGDĐ (gồm Topzone)</t>
  </si>
  <si>
    <t>IR MWG; dự phóng: xu hướng tái cơ cấu -1%/năm</t>
  </si>
  <si>
    <t>ĐMX (gồm ĐMS)</t>
  </si>
  <si>
    <t>Dự phóng: đi ngang (bão hòa)</t>
  </si>
  <si>
    <t>BHX</t>
  </si>
  <si>
    <t>Dự phóng: +1000/+700/+500 theo kế hoạch IR</t>
  </si>
  <si>
    <t>Khác (An Khang+AvaKids+EraBlue)</t>
  </si>
  <si>
    <t>EraBlue mục tiêu &gt;300 CH 2026 (IR)</t>
  </si>
  <si>
    <t>HIỆU QUẢ DT/CH/THÁNG HIỆN TẠI (tỷ VND, lag 3 tháng)</t>
  </si>
  <si>
    <t xml:space="preserve">  TGDD</t>
  </si>
  <si>
    <t>DT 5T2026/5/số CH lag 3 tháng (skill ban-le mục 2)</t>
  </si>
  <si>
    <t xml:space="preserve">  DMX</t>
  </si>
  <si>
    <t xml:space="preserve">  BHX</t>
  </si>
  <si>
    <t xml:space="preserve">  Khac</t>
  </si>
  <si>
    <t xml:space="preserve">  Tăng trưởng hiệu quả/CH TGDD (%/năm)</t>
  </si>
  <si>
    <t>Giả định có căn cứ — xem comment code</t>
  </si>
  <si>
    <t xml:space="preserve">  Tăng trưởng hiệu quả/CH DMX (%/năm)</t>
  </si>
  <si>
    <t xml:space="preserve">  Tăng trưởng hiệu quả/CH BHX (%/năm)</t>
  </si>
  <si>
    <t xml:space="preserve">  Tăng trưởng hiệu quả/CH Khac (%/năm)</t>
  </si>
  <si>
    <t>BIÊN LỢI NHUẬN &amp; CHI PHÍ</t>
  </si>
  <si>
    <t>Biên lợi nhuận gộp (%)</t>
  </si>
  <si>
    <t>Dự phóng = TB 2 quý gần nhất (skill ban-le mục 4)</t>
  </si>
  <si>
    <t>SG&amp;A / Doanh thu (%)</t>
  </si>
  <si>
    <t>Dự phóng = hồi quy tuyến tính 4 quý gần nhất</t>
  </si>
  <si>
    <t>Thuế suất hiệu dụng (%)</t>
  </si>
  <si>
    <t>TB 2 năm gần nhất = 1-LNST hợp nhất/LNTT (isa16)</t>
  </si>
  <si>
    <t>DT/CP tài chính ròng / DT (%)</t>
  </si>
  <si>
    <t>TB 2 năm gần nhất (lãi tiền gửi ròng)</t>
  </si>
  <si>
    <t>Tỷ lệ chia cổ tức tiền mặt/LNST (%)</t>
  </si>
  <si>
    <t>Giả định — MWG trả cổ tức đều đặn</t>
  </si>
  <si>
    <t>VÒNG QUAY VỐN LƯU ĐỘNG</t>
  </si>
  <si>
    <t>DIO - Số ngày tồn kho</t>
  </si>
  <si>
    <t>TB 2 năm gần nhất</t>
  </si>
  <si>
    <t>DSO - Số ngày phải thu</t>
  </si>
  <si>
    <t>DPO - Số ngày phải trả</t>
  </si>
  <si>
    <t>D&amp;A / Doanh thu (%)</t>
  </si>
  <si>
    <t>CAPEX / Doanh thu (%)</t>
  </si>
  <si>
    <t>Tăng trưởng Nợ vay YoY (%)</t>
  </si>
  <si>
    <t>Tăng trưởng Tiền mặt YoY (%)</t>
  </si>
  <si>
    <t>ĐỊNH GIÁ</t>
  </si>
  <si>
    <t>P/E Median lịch sử (x)</t>
  </si>
  <si>
    <t>Xem đầy đủ 32 quý + công thức MEDIAN tại sheet 13_PE_PB_History</t>
  </si>
  <si>
    <t>P/B Median lịch sử (x)</t>
  </si>
  <si>
    <t>Beta (Blume-adjusted)</t>
  </si>
  <si>
    <t>Beta thô 1.1280 (Tu tinh toan (1621 phien))</t>
  </si>
  <si>
    <t>Lãi suất phi rủi ro Rf (%)</t>
  </si>
  <si>
    <t>Nguồn: Fallback (manual)</t>
  </si>
  <si>
    <t>Equity Risk Premium (%)</t>
  </si>
  <si>
    <t>Damodaran ERP</t>
  </si>
  <si>
    <t>Premium rủi ro đặc thù (%)</t>
  </si>
  <si>
    <t>Frontier-market retail risk premium</t>
  </si>
  <si>
    <t>Chi phí vốn CSH COE (%)</t>
  </si>
  <si>
    <t>Xem chi tiết CAPM tại sheet 00_COE/00_Beta</t>
  </si>
  <si>
    <t>Tăng trưởng dài hạn g (%)</t>
  </si>
  <si>
    <t>Giả định terminal growth RI</t>
  </si>
  <si>
    <t>Trọng số P/E Median (%)</t>
  </si>
  <si>
    <t>Chốt với user 2026-07 (skill ban-le)</t>
  </si>
  <si>
    <t>Trọng số P/B Median (%)</t>
  </si>
  <si>
    <t>Trọng số RI cả công ty (%)</t>
  </si>
  <si>
    <t>Trọng số P/S+P/E theo mảng (cả 4 mảng) (%)</t>
  </si>
  <si>
    <t>Đã gộp 35%+15% cũ (bỏ P/S+P/B)</t>
  </si>
  <si>
    <t>KQKD LŨY KẾ THỰC TẾ 1 QUÝ ĐÃ CÓ NĂM 2026 (tỷ VND)</t>
  </si>
  <si>
    <t>Số quý đã có KQKD thực tế</t>
  </si>
  <si>
    <t>Quý mới nhất công bố</t>
  </si>
  <si>
    <t>Doanh thu thuần lũy kế thực tế</t>
  </si>
  <si>
    <t>BCTC quý</t>
  </si>
  <si>
    <t>Giá vốn lũy kế thực tế</t>
  </si>
  <si>
    <t>BCTC quý (âm, khớp quy ước dòng Giá vốn)</t>
  </si>
  <si>
    <t>CP bán hàng+QLDN lũy kế thực tế</t>
  </si>
  <si>
    <t>BCTC quý (âm, khớp quy ước dòng CP bán hàng)</t>
  </si>
  <si>
    <t>DT/CP tài chính ròng lũy kế thực tế</t>
  </si>
  <si>
    <t>LNTT lũy kế thực tế</t>
  </si>
  <si>
    <t>Thuế TNDN lũy kế thực tế</t>
  </si>
  <si>
    <t>LNST hợp nhất lũy kế thực tế</t>
  </si>
  <si>
    <t>LNST Cổ đông mẹ lũy kế thực tế</t>
  </si>
  <si>
    <t>Chỉ tiêu</t>
  </si>
  <si>
    <t>T1-19</t>
  </si>
  <si>
    <t>T2-19</t>
  </si>
  <si>
    <t>T3-19</t>
  </si>
  <si>
    <t>T4-19</t>
  </si>
  <si>
    <t>T5-19</t>
  </si>
  <si>
    <t>T6-19</t>
  </si>
  <si>
    <t>T7-19</t>
  </si>
  <si>
    <t>T8-19</t>
  </si>
  <si>
    <t>T9-19</t>
  </si>
  <si>
    <t>T10-19</t>
  </si>
  <si>
    <t>T11-19</t>
  </si>
  <si>
    <t>T12-19</t>
  </si>
  <si>
    <t>T1-20</t>
  </si>
  <si>
    <t>T2-20</t>
  </si>
  <si>
    <t>T3-20</t>
  </si>
  <si>
    <t>T4-20</t>
  </si>
  <si>
    <t>T5-20</t>
  </si>
  <si>
    <t>T6-20</t>
  </si>
  <si>
    <t>T7-20</t>
  </si>
  <si>
    <t>T8-20</t>
  </si>
  <si>
    <t>T9-20</t>
  </si>
  <si>
    <t>T10-20</t>
  </si>
  <si>
    <t>T11-20</t>
  </si>
  <si>
    <t>T12-20</t>
  </si>
  <si>
    <t>T1-21</t>
  </si>
  <si>
    <t>T2-21</t>
  </si>
  <si>
    <t>T3-21</t>
  </si>
  <si>
    <t>T4-21</t>
  </si>
  <si>
    <t>T5-21</t>
  </si>
  <si>
    <t>T6-21</t>
  </si>
  <si>
    <t>T7-21</t>
  </si>
  <si>
    <t>T8-21</t>
  </si>
  <si>
    <t>T9-21</t>
  </si>
  <si>
    <t>T10-21</t>
  </si>
  <si>
    <t>T11-21</t>
  </si>
  <si>
    <t>T12-21</t>
  </si>
  <si>
    <t>T1-22</t>
  </si>
  <si>
    <t>T2-22</t>
  </si>
  <si>
    <t>T3-22</t>
  </si>
  <si>
    <t>T4-22</t>
  </si>
  <si>
    <t>T5-22</t>
  </si>
  <si>
    <t>T6-22</t>
  </si>
  <si>
    <t>T7-24</t>
  </si>
  <si>
    <t>T8-24</t>
  </si>
  <si>
    <t>T9-24</t>
  </si>
  <si>
    <t>T10-24</t>
  </si>
  <si>
    <t>T11-24</t>
  </si>
  <si>
    <t>T12-24</t>
  </si>
  <si>
    <t>T1-25</t>
  </si>
  <si>
    <t>T2-25</t>
  </si>
  <si>
    <t>T3-25</t>
  </si>
  <si>
    <t>T4-25</t>
  </si>
  <si>
    <t>T5-25</t>
  </si>
  <si>
    <t>T6-25</t>
  </si>
  <si>
    <t>T7-25</t>
  </si>
  <si>
    <t>T8-25</t>
  </si>
  <si>
    <t>T9-25</t>
  </si>
  <si>
    <t>T10-25</t>
  </si>
  <si>
    <t>T11-25</t>
  </si>
  <si>
    <t>T12-25</t>
  </si>
  <si>
    <t>T1-26</t>
  </si>
  <si>
    <t>T2-26</t>
  </si>
  <si>
    <t>T3-26</t>
  </si>
  <si>
    <t>T4-26</t>
  </si>
  <si>
    <t>T5-26</t>
  </si>
  <si>
    <t>Ước tính 2026</t>
  </si>
  <si>
    <t>Ước tính 2027</t>
  </si>
  <si>
    <t>Ước tính 2028</t>
  </si>
  <si>
    <t>Doanh thu tổng (tỷ VND)</t>
  </si>
  <si>
    <t>%Dthu TGDD</t>
  </si>
  <si>
    <t>%Dthu DMX</t>
  </si>
  <si>
    <t>%Dthu BHX</t>
  </si>
  <si>
    <t>%Dthu Khac</t>
  </si>
  <si>
    <t>Doanh thu TGDD</t>
  </si>
  <si>
    <t>Doanh thu DMX</t>
  </si>
  <si>
    <t>Doanh thu BHX</t>
  </si>
  <si>
    <t>Doanh thu Khac</t>
  </si>
  <si>
    <t>SL TGDD</t>
  </si>
  <si>
    <t>SL DMX</t>
  </si>
  <si>
    <t>SL BHX</t>
  </si>
  <si>
    <t>SL Khac</t>
  </si>
  <si>
    <t>DT/CH/th TGDD</t>
  </si>
  <si>
    <t>DT/CH/th DMX</t>
  </si>
  <si>
    <t>DT/CH/th BHX</t>
  </si>
  <si>
    <t>DT/CH/th Khac</t>
  </si>
  <si>
    <t>Doanh thu theo mảng (tỷ VND)</t>
  </si>
  <si>
    <t>── TGDD ──</t>
  </si>
  <si>
    <t xml:space="preserve">  Số cửa hàng cuối kỳ</t>
  </si>
  <si>
    <t xml:space="preserve">  Hiệu quả DT/CH/tháng (tỷ VND)</t>
  </si>
  <si>
    <t xml:space="preserve">  Doanh thu mảng</t>
  </si>
  <si>
    <t>── DMX ──</t>
  </si>
  <si>
    <t>── BHX ──</t>
  </si>
  <si>
    <t>── Khac ──</t>
  </si>
  <si>
    <t>TỔNG DOANH THU</t>
  </si>
  <si>
    <t>Tăng trưởng DT YoY (%)</t>
  </si>
  <si>
    <t>Chỉ tiêu (tỷ VND)</t>
  </si>
  <si>
    <t>2026 Base (chưa blend quý thực tế)</t>
  </si>
  <si>
    <t>Doanh thu thuần</t>
  </si>
  <si>
    <t>2026: đã blend lũy kế quý thực tế + Base (cột bên phải)</t>
  </si>
  <si>
    <t xml:space="preserve">  Tăng trưởng YoY (%)</t>
  </si>
  <si>
    <t>Giá vốn hàng bán</t>
  </si>
  <si>
    <t>Lợi nhuận gộp</t>
  </si>
  <si>
    <t xml:space="preserve">  Biên LNG (%)</t>
  </si>
  <si>
    <t>Chi phí bán hàng &amp; QLDN</t>
  </si>
  <si>
    <t>EBIT</t>
  </si>
  <si>
    <t xml:space="preserve">  Biên EBIT (%)</t>
  </si>
  <si>
    <t>D&amp;A</t>
  </si>
  <si>
    <t>EBITDA</t>
  </si>
  <si>
    <t>DT/CP tài chính ròng</t>
  </si>
  <si>
    <t>Lợi nhuận trước thuế (EBT)</t>
  </si>
  <si>
    <t>Thuế TNDN</t>
  </si>
  <si>
    <t>LNST hợp nhất</t>
  </si>
  <si>
    <t>LNST Cổ đông Công ty mẹ</t>
  </si>
  <si>
    <t>Tỷ lệ phân bổ cổ đông mẹ ~99.6% (TB 2 năm gần nhất); 2026 blend trực tiếp theo LNST mẹ thực tế</t>
  </si>
  <si>
    <t>EPS (VND/CP)</t>
  </si>
  <si>
    <t>TÀI SẢN</t>
  </si>
  <si>
    <t>Tiền &amp; tương đương tiền</t>
  </si>
  <si>
    <t>Hàng tồn kho</t>
  </si>
  <si>
    <t>Phải thu khách hàng</t>
  </si>
  <si>
    <t>Tài sản khác</t>
  </si>
  <si>
    <t>TỔNG TÀI SẢN</t>
  </si>
  <si>
    <t>NGUỒN VỐN</t>
  </si>
  <si>
    <t>Nợ vay (NH+DH)</t>
  </si>
  <si>
    <t>Phải trả người bán</t>
  </si>
  <si>
    <t>Vốn chủ sở hữu</t>
  </si>
  <si>
    <t>Nợ khác (plug cân bằng)</t>
  </si>
  <si>
    <t>TỔNG NGUỒN VỐN</t>
  </si>
  <si>
    <t>Net Debt (Nợ vay - Tiền mặt)</t>
  </si>
  <si>
    <t>D/E (Net Debt/VCSH)</t>
  </si>
  <si>
    <t>+ D&amp;A</t>
  </si>
  <si>
    <t>+/- Thay đổi vốn lưu động</t>
  </si>
  <si>
    <t>Dòng tiền HĐKD (CFO)</t>
  </si>
  <si>
    <t>CAPEX (CFI)</t>
  </si>
  <si>
    <t>FCFF (CFO+CAPEX)</t>
  </si>
  <si>
    <t>FCF Yield (%)</t>
  </si>
  <si>
    <t>ĐỊNH GIÁ MWG — 4 PHƯƠNG PHÁP TỔNG HỢP (skill ban-le)</t>
  </si>
  <si>
    <t>Chi phí vốn CSH (COE)</t>
  </si>
  <si>
    <t>Tăng trưởng dài hạn (g)</t>
  </si>
  <si>
    <t>Phương pháp</t>
  </si>
  <si>
    <t>Trọng số</t>
  </si>
  <si>
    <t>P/E Median</t>
  </si>
  <si>
    <t>P/B Median</t>
  </si>
  <si>
    <t>Residual Income (cả công ty)</t>
  </si>
  <si>
    <t>P/S+P/E theo mảng (cả 4 mảng)</t>
  </si>
  <si>
    <t>GIÁ MỤC TIÊU (bình quân trọng số)</t>
  </si>
  <si>
    <t>Giá hiện tại</t>
  </si>
  <si>
    <t>1) P/E MEDIAN (trọng số 20%)</t>
  </si>
  <si>
    <t>P/E median lịch sử (x)</t>
  </si>
  <si>
    <t>EPS 2026E (VND/CP)</t>
  </si>
  <si>
    <t>→ P/E Target Price</t>
  </si>
  <si>
    <t>2) P/B MEDIAN (trọng số 20%)</t>
  </si>
  <si>
    <t>P/B median lịch sử (x)</t>
  </si>
  <si>
    <t>BVPS 2026E (VND/CP)</t>
  </si>
  <si>
    <t>→ P/B Target Price</t>
  </si>
  <si>
    <t>3) RESIDUAL INCOME — cả công ty (trọng số 10%)</t>
  </si>
  <si>
    <t>BVPS hiện tại (gốc)</t>
  </si>
  <si>
    <t>EPS dự phóng 3 năm (VND)</t>
  </si>
  <si>
    <t>BVPS đầu kỳ mỗi năm (VND)</t>
  </si>
  <si>
    <t>Capital Charge (BVPS đầu kỳ × COE)</t>
  </si>
  <si>
    <t>Residual Income (EPS - Capital Charge)</t>
  </si>
  <si>
    <t>PV of RI</t>
  </si>
  <si>
    <t>Tổng PV(RI)</t>
  </si>
  <si>
    <t>Continuing Value (CV)</t>
  </si>
  <si>
    <t>PV of CV</t>
  </si>
  <si>
    <t>→ RI Target Price</t>
  </si>
  <si>
    <t>4) P/S + P/E theo mảng (trọng số 50%) — P/E: TGDĐ/ĐMX/Khác | P/S: BHX</t>
  </si>
  <si>
    <t>Mảng</t>
  </si>
  <si>
    <t>DT 2026E (tỷ)</t>
  </si>
  <si>
    <t>Biên LNST (%)</t>
  </si>
  <si>
    <t>P/E hoặc P/S áp dụng (x)</t>
  </si>
  <si>
    <t>Giá trị mảng (tỷ)</t>
  </si>
  <si>
    <t>TGDD</t>
  </si>
  <si>
    <t>P/E</t>
  </si>
  <si>
    <t>DMX</t>
  </si>
  <si>
    <t>P/S</t>
  </si>
  <si>
    <t>Khac</t>
  </si>
  <si>
    <t>→ P/S+P/E Target Price (tổng giá trị mảng / SL CP)</t>
  </si>
  <si>
    <t>MA TRẬN NHẠY CẢM: P/E × EPS 2026E</t>
  </si>
  <si>
    <t>P/E \ EPS</t>
  </si>
  <si>
    <t>MA TRẬN NHẠY CẢM: P/B × BVPS 2026E</t>
  </si>
  <si>
    <t>P/B \ BVPS</t>
  </si>
  <si>
    <t>Yếu tố</t>
  </si>
  <si>
    <t>Nội dung</t>
  </si>
  <si>
    <t>Tác động</t>
  </si>
  <si>
    <t>Mức độ</t>
  </si>
  <si>
    <t>Political</t>
  </si>
  <si>
    <t>Nhà nước kiểm soát chặt giá thuốc (An Khang) và an toàn thực phẩm (BHX); chính sách thuế VAT hàng điện máy/ICT ổn định, không có thay đổi lớn gần đây.</t>
  </si>
  <si>
    <t>Trung tính — không có rủi ro chính sách đột biến trong ngắn hạn.</t>
  </si>
  <si>
    <t>Trung tính</t>
  </si>
  <si>
    <t>Economic</t>
  </si>
  <si>
    <t>Sức mua hồi phục sau giai đoạn khó khăn 2022-2023 (lãi suất cao, thất nghiệp), CPI ổn định quanh 3-4%/năm hỗ trợ tiêu dùng không thiết yếu (ICT/điện máy) tăng trở lại.</t>
  </si>
  <si>
    <t>Tích cực — SSSG TGDĐ/ĐMX +33% (5T2026) phản ánh sức mua phục hồi rõ rệt.</t>
  </si>
  <si>
    <t>Tích cực</t>
  </si>
  <si>
    <t>Social</t>
  </si>
  <si>
    <t>Xu hướng mua sắm hiện đại hoá (siêu thị mini, tiện lợi) thay thế chợ truyền thống hỗ trợ BHX; tầng lớp trung lưu tăng thúc đẩy nhu cầu điện thoại/laptop cao cấp hơn.</t>
  </si>
  <si>
    <t>Tích cực — dư địa dài hạn cho BHX thay thế kênh GT truyền thống.</t>
  </si>
  <si>
    <t>Technological</t>
  </si>
  <si>
    <t>Chu kỳ nâng cấp iPhone/Samsung, xu hướng AI trên thiết bị di động thúc đẩy nhu cầu thay máy; MWG đầu tư Super App/thanh toán trả chậm để tăng biên lợi nhuận dịch vụ tài chính.</t>
  </si>
  <si>
    <t>Tích cực — doanh thu Super App/trả chậm tăng trưởng 2 chữ số.</t>
  </si>
  <si>
    <t>Legal</t>
  </si>
  <si>
    <t>Yêu cầu hoá đơn điện tử/truy xuất nguồn gốc thực phẩm ngày càng chặt với BHX/An Khang — chi phí tuân thủ tăng nhưng cũng là rào cản gia nhập với đối thủ nhỏ lẻ.</t>
  </si>
  <si>
    <t>Trung tính — chi phí tuân thủ tăng nhẹ, bù lại bằng lợi thế quy mô.</t>
  </si>
  <si>
    <t>Environmental</t>
  </si>
  <si>
    <t>Áp lực giảm rác thải nhựa/bao bì tại chuỗi BHX, yêu cầu chuỗi lạnh (cold chain) tiêu tốn năng lượng cho hàng tươi sống — chi phí vận hành có thể tăng theo quy định môi trường mới.</t>
  </si>
  <si>
    <t>Tiêu cực nhẹ — chi phí tuân thủ môi trường tăng dần theo thời gian.</t>
  </si>
  <si>
    <t>Tiêu cực</t>
  </si>
  <si>
    <t>Chỉ báo</t>
  </si>
  <si>
    <t>Ngưỡng tích cực</t>
  </si>
  <si>
    <t>Ngưỡng tiêu cực</t>
  </si>
  <si>
    <t>Giá trị hiện tại</t>
  </si>
  <si>
    <t>Trạng thái</t>
  </si>
  <si>
    <t>SSSG (tăng trưởng cửa hàng hiện hữu)</t>
  </si>
  <si>
    <t>&gt; 10%</t>
  </si>
  <si>
    <t>&lt; 0%</t>
  </si>
  <si>
    <t>33%</t>
  </si>
  <si>
    <t>Tăng trưởng DT YoY 5T2026</t>
  </si>
  <si>
    <t>&gt; 15%</t>
  </si>
  <si>
    <t>&lt; 5%</t>
  </si>
  <si>
    <t>29.3%</t>
  </si>
  <si>
    <t>Số cửa hàng BHX mở mới/năm</t>
  </si>
  <si>
    <t>&gt; 800</t>
  </si>
  <si>
    <t>&lt; 300</t>
  </si>
  <si>
    <t>~492/5T</t>
  </si>
  <si>
    <t>Biên LNG (%)</t>
  </si>
  <si>
    <t>&gt; 20%</t>
  </si>
  <si>
    <t>&lt; 17%</t>
  </si>
  <si>
    <t>20.8%</t>
  </si>
  <si>
    <t>SG&amp;A/DT (%)</t>
  </si>
  <si>
    <t>&lt; 14%</t>
  </si>
  <si>
    <t>&gt; 17%</t>
  </si>
  <si>
    <t>14.5%</t>
  </si>
  <si>
    <t>Theo dõi</t>
  </si>
  <si>
    <t>Tỷ trọng DT online/tổng</t>
  </si>
  <si>
    <t>&gt; 12%</t>
  </si>
  <si>
    <t>&lt; 8%</t>
  </si>
  <si>
    <t>~11%</t>
  </si>
  <si>
    <t>Chu kỳ iPhone mới (tháng 9 hàng năm)</t>
  </si>
  <si>
    <t>Ra mắt đúng hẹn</t>
  </si>
  <si>
    <t>Trì hoãn/thiếu hàng</t>
  </si>
  <si>
    <t>Đang chuẩn bị (T9/2026)</t>
  </si>
  <si>
    <t>CPI Việt Nam YoY</t>
  </si>
  <si>
    <t>2-4%</t>
  </si>
  <si>
    <t>&gt; 5% hoặc &lt; 0%</t>
  </si>
  <si>
    <t>~3.5%</t>
  </si>
  <si>
    <t>Tầng đánh giá</t>
  </si>
  <si>
    <t>Kết luận</t>
  </si>
  <si>
    <t>Rating</t>
  </si>
  <si>
    <t>1. Mô hình kinh doanh</t>
  </si>
  <si>
    <t>Nhà bán lẻ đa ngành lớn nhất VN (ICT/điện máy qua TGDĐ+ĐMX, FMCG qua BHX), tận dụng quy mô mạng lưới &gt;6.700 cửa hàng để đàm phán giá tốt với NCC và phủ khắp thị trường.</t>
  </si>
  <si>
    <t>Tốt</t>
  </si>
  <si>
    <t>2. Vị thế cạnh tranh</t>
  </si>
  <si>
    <t>TGDĐ/ĐMX dẫn đầu thị phần ICT/điện máy VN; BHX đứng đầu chuỗi bán lẻ FMCG hiện đại về quy mô cửa hàng, đang mở rộng nhanh và đã có lãi từ 2023.</t>
  </si>
  <si>
    <t>3. Sức khoẻ tài chính</t>
  </si>
  <si>
    <t>Đòn bẩy thấp, xu hướng nợ vay giảm/tiền mặt tăng nhờ FCF chuyển dương khi BHX hoà vốn; biên LNG ổn định quanh 20-21%.</t>
  </si>
  <si>
    <t>4. Định giá</t>
  </si>
  <si>
    <t>Giá mục tiêu bình quân trọng số 95,527 VND, upside 21.1% so với giá hiện tại 78,900 VND — định giá hợp lý, không quá đắt so với median lịch sử.</t>
  </si>
  <si>
    <t>Trung lập-Tốt</t>
  </si>
  <si>
    <t>5. Chất lượng ban lãnh đạo</t>
  </si>
  <si>
    <t>Lịch sử liên tục vượt kế hoạch kinh doanh tự đề ra nhiều năm liền (thận trọng khi đặt mục tiêu đầu năm); minh bạch công bố KQKD hàng tháng qua IR — hiếm có ở DN bán lẻ VN.</t>
  </si>
  <si>
    <t>6. Rủi ro &amp; Catalyst</t>
  </si>
  <si>
    <t>Rủi ro: TGDĐ/ĐMX đã bão hòa khó tăng trưởng thêm; BHX vẫn cần chứng minh duy trì lãi bền vững khi mở rộng nhanh. Catalyst: chu kỳ iPhone mới, BHX đạt quy mô lãi ổn định, EraBlue nhân rộng quốc tế.</t>
  </si>
  <si>
    <t>CAGR 3Y</t>
  </si>
  <si>
    <t>EPS (VND)</t>
  </si>
  <si>
    <t>CAPEX</t>
  </si>
  <si>
    <t>Net Debt</t>
  </si>
  <si>
    <t>ROE (%)</t>
  </si>
  <si>
    <t>P/E (x)</t>
  </si>
  <si>
    <t>Quý</t>
  </si>
  <si>
    <t>EV/EBITDA (x)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</si>
  <si>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</si>
  <si>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</si>
  <si>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</si>
  <si>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</si>
  <si>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</si>
  <si>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</si>
  <si>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</si>
  <si>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</si>
  <si>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</si>
  <si>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</si>
  <si>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</si>
  <si>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</si>
  <si>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</si>
  <si>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</si>
  <si>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</si>
  <si>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</si>
  <si>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</si>
  <si>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</si>
  <si>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</si>
  <si>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</si>
  <si>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</si>
  <si>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</si>
  <si>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</si>
  <si>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</si>
  <si>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</si>
  <si>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</si>
  <si>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</si>
  <si>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</si>
  <si>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</si>
  <si>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</si>
  <si>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</si>
  <si>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</si>
  <si>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MEDIAN (loại quý bất thường P/E&gt;50x hoặc ≤0)</t>
  </si>
  <si>
    <t>Ghi chú: MEDIAN ở dòng trên tính trên TOÀN BỘ quý có dữ liệu (đã loại quý bất thường P/E&gt;50x hoặc ≤0). Đây CHÍNH LÀ số P/E Median/P/B Median dùng để định giá ở 02_Assumptions (liên kết công thức trực tiếp về đúng dòng MEDIAN này) — sửa/thêm dữ liệu quý ở bảng trên sẽ tự động cập nhật giá mục tiêu, không có phép tính nào khác ẩn ở nơi khác.</t>
  </si>
  <si>
    <t>Doanh thu</t>
  </si>
  <si>
    <t>LNG</t>
  </si>
  <si>
    <t>LNST</t>
  </si>
  <si>
    <t>ROE (quy đổi năm)</t>
  </si>
  <si>
    <t>Tăng trưởng LNG YoY (%)</t>
  </si>
  <si>
    <t>Tăng trưởng LNST YoY (%)</t>
  </si>
  <si>
    <t>2021Q2</t>
  </si>
  <si>
    <t>Chỉ tiêu kiểm tra</t>
  </si>
  <si>
    <t>Giá trị/So sánh</t>
  </si>
  <si>
    <t>Đánh giá</t>
  </si>
  <si>
    <t>Phải thu KH tăng nhanh hơn Doanh thu</t>
  </si>
  <si>
    <t>Phải thu +15.4% vs DT +16.1%</t>
  </si>
  <si>
    <t>Bình thường</t>
  </si>
  <si>
    <t>Hàng tồn kho tăng nhanh hơn Doanh thu</t>
  </si>
  <si>
    <t>Tồn kho +22.6% vs DT +16.1%</t>
  </si>
  <si>
    <t>DIO (số ngày tồn kho) xu hướng quý gần nhất</t>
  </si>
  <si>
    <t>68 ngày (quý 2026Q1) vs 72 ngày (4 quý trước)</t>
  </si>
  <si>
    <t>-8,943 tỷ (net cash dương)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</si>
</sst>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&quot;x&quot;"/>
    <numFmt numFmtId="165" formatCode="0.00&quot;x&quot;"/>
    <numFmt numFmtId="166" formatCode="0.0%"/>
    <numFmt numFmtId="167" formatCode="0.0000"/>
    <numFmt numFmtId="168" formatCode="0.000"/>
    <numFmt numFmtId="169" formatCode="0.0"/>
  </numFmts>
  <fonts count="8" x14ac:knownFonts="1">
    <font>
      <sz val="11"/>
      <color theme="1"/>
      <name val="Calibri"/>
      <family val="2"/>
      <scheme val="minor"/>
    </font>
    <font>
      <b/>
      <sz val="16"/>
      <color rgb="FF1F4E79"/>
      <name val="Arial"/>
    </font>
    <font>
      <b/>
      <sz val="10"/>
      <name val="Arial"/>
    </font>
    <font>
      <sz val="10"/>
      <name val="Arial"/>
    </font>
    <font>
      <i/>
      <sz val="9"/>
      <name val="Arial"/>
    </font>
    <font>
      <b/>
      <sz val="10"/>
      <color rgb="FFFFFFFF"/>
      <name val="Arial"/>
    </font>
    <font>
      <i/>
      <sz val="9"/>
      <color rgb="FF666666"/>
      <name val="Arial"/>
    </font>
    <font>
      <b/>
      <sz val="11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3E0"/>
        <bgColor rgb="FFFFF3E0"/>
      </patternFill>
    </fill>
    <fill>
      <patternFill patternType="solid">
        <fgColor rgb="FF1F4E79"/>
        <bgColor rgb="FF1F4E79"/>
      </patternFill>
    </fill>
    <fill>
      <patternFill patternType="solid">
        <fgColor rgb="FFD4EDDA"/>
        <bgColor rgb="FFD4EDD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167" fontId="0" fillId="2" borderId="0" xfId="0" applyNumberFormat="1" applyFill="1"/>
    <xf numFmtId="0" fontId="4" fillId="0" borderId="0" xfId="0" applyFont="1"/>
    <xf numFmtId="0" fontId="5" fillId="3" borderId="0" xfId="0" applyFont="1" applyFill="1"/>
    <xf numFmtId="10" fontId="0" fillId="0" borderId="0" xfId="0" applyNumberFormat="1"/>
    <xf numFmtId="0" fontId="1" fillId="0" borderId="0" xfId="0" applyFont="1"/>
    <xf numFmtId="0" fontId="0" fillId="0" borderId="1" xfId="0" applyBorder="1"/>
    <xf numFmtId="10" fontId="0" fillId="0" borderId="1" xfId="0" applyNumberFormat="1" applyBorder="1"/>
    <xf numFmtId="167" fontId="0" fillId="0" borderId="1" xfId="0" applyNumberFormat="1" applyBorder="1"/>
    <xf numFmtId="0" fontId="2" fillId="0" borderId="1" xfId="0" applyFont="1" applyBorder="1"/>
    <xf numFmtId="10" fontId="2" fillId="4" borderId="1" xfId="0" applyNumberFormat="1" applyFont="1" applyFill="1" applyBorder="1"/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center"/>
    </xf>
    <xf numFmtId="166" fontId="3" fillId="0" borderId="1" xfId="0" applyNumberFormat="1" applyFont="1" applyBorder="1" applyAlignment="1">
      <alignment horizontal="right" vertical="center"/>
    </xf>
    <xf numFmtId="0" fontId="3" fillId="0" borderId="1" xfId="0" applyFont="1" applyBorder="1"/>
    <xf numFmtId="0" fontId="5" fillId="3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right"/>
    </xf>
    <xf numFmtId="0" fontId="6" fillId="0" borderId="0" xfId="0" applyFont="1" applyAlignment="1">
      <alignment horizontal="left" wrapText="1"/>
    </xf>
    <xf numFmtId="168" fontId="3" fillId="0" borderId="1" xfId="0" applyNumberFormat="1" applyFont="1" applyBorder="1" applyAlignment="1">
      <alignment horizontal="right"/>
    </xf>
    <xf numFmtId="10" fontId="3" fillId="2" borderId="1" xfId="0" applyNumberFormat="1" applyFont="1" applyFill="1" applyBorder="1" applyAlignment="1">
      <alignment horizontal="right"/>
    </xf>
    <xf numFmtId="169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7" fontId="3" fillId="0" borderId="1" xfId="0" applyNumberFormat="1" applyFont="1" applyBorder="1" applyAlignment="1">
      <alignment horizontal="right"/>
    </xf>
    <xf numFmtId="10" fontId="3" fillId="0" borderId="1" xfId="0" applyNumberFormat="1" applyFont="1" applyBorder="1" applyAlignment="1">
      <alignment horizontal="right"/>
    </xf>
    <xf numFmtId="1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0" xfId="0" applyFont="1"/>
    <xf numFmtId="3" fontId="2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6" fillId="0" borderId="0" xfId="0" applyFont="1"/>
    <xf numFmtId="3" fontId="6" fillId="0" borderId="1" xfId="0" applyNumberFormat="1" applyFont="1" applyBorder="1"/>
    <xf numFmtId="3" fontId="2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3" fontId="2" fillId="3" borderId="1" xfId="0" applyNumberFormat="1" applyFont="1" applyFill="1" applyBorder="1" applyAlignment="1">
      <alignment horizontal="right" vertical="center"/>
    </xf>
    <xf numFmtId="166" fontId="2" fillId="4" borderId="1" xfId="0" applyNumberFormat="1" applyFont="1" applyFill="1" applyBorder="1" applyAlignment="1">
      <alignment horizontal="right" vertical="center"/>
    </xf>
    <xf numFmtId="3" fontId="2" fillId="4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65" fontId="2" fillId="3" borderId="1" xfId="0" applyNumberFormat="1" applyFont="1" applyFill="1" applyBorder="1"/>
    <xf numFmtId="16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0" fontId="2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D4EDDA"/>
          <bgColor rgb="FFD4EDDA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F8D7DA"/>
          <b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Cơ cấu doanh thu theo mảng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'03_Revenue_Model'!$B$5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D6E-4724-8C29-15FE217C1E60}"/>
            </c:ext>
          </c:extLst>
        </c:ser>
        <c:ser>
          <c:idx val="1"/>
          <c:order val="1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'03_Revenue_Model'!$C$5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ED6E-4724-8C29-15FE217C1E60}"/>
            </c:ext>
          </c:extLst>
        </c:ser>
        <c:ser>
          <c:idx val="2"/>
          <c:order val="2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'03_Revenue_Model'!$D$5</c:f>
              <c:numCache>
                <c:formatCode>#,##0</c:formatCode>
                <c:ptCount val="1"/>
                <c:pt idx="0">
                  <c:v>28037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6E-4724-8C29-15FE217C1E60}"/>
            </c:ext>
          </c:extLst>
        </c:ser>
        <c:ser>
          <c:idx val="3"/>
          <c:order val="3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'03_Revenue_Model'!$E$5</c:f>
              <c:numCache>
                <c:formatCode>#,##0</c:formatCode>
                <c:ptCount val="1"/>
                <c:pt idx="0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6E-4724-8C29-15FE217C1E60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'03_Revenue_Model'!$F$5</c:f>
              <c:numCache>
                <c:formatCode>#,##0</c:formatCode>
                <c:ptCount val="1"/>
                <c:pt idx="0">
                  <c:v>37300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6E-4724-8C29-15FE217C1E60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'03_Revenue_Model'!$G$5</c:f>
              <c:numCache>
                <c:formatCode>#,##0</c:formatCode>
                <c:ptCount val="1"/>
                <c:pt idx="0">
                  <c:v>42862.36475085951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D6E-4724-8C29-15FE217C1E60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'03_Revenue_Model'!$H$5</c:f>
              <c:numCache>
                <c:formatCode>#,##0</c:formatCode>
                <c:ptCount val="1"/>
                <c:pt idx="0">
                  <c:v>41874.093127207241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6E-4724-8C29-15FE217C1E60}"/>
            </c:ext>
          </c:extLst>
        </c:ser>
        <c:ser>
          <c:idx val="7"/>
          <c:order val="7"/>
          <c:tx>
            <c:v>TGDD</c:v>
          </c:tx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'03_Revenue_Model'!$I$5</c:f>
              <c:numCache>
                <c:formatCode>#,##0</c:formatCode>
                <c:ptCount val="1"/>
                <c:pt idx="0">
                  <c:v>41451.97525294104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D6E-4724-8C29-15FE217C1E60}"/>
            </c:ext>
          </c:extLst>
        </c:ser>
        <c:ser>
          <c:idx val="8"/>
          <c:order val="8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'03_Revenue_Model'!$B$9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8-ED6E-4724-8C29-15FE217C1E60}"/>
            </c:ext>
          </c:extLst>
        </c:ser>
        <c:ser>
          <c:idx val="9"/>
          <c:order val="9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'03_Revenue_Model'!$C$9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9-ED6E-4724-8C29-15FE217C1E60}"/>
            </c:ext>
          </c:extLst>
        </c:ser>
        <c:ser>
          <c:idx val="10"/>
          <c:order val="10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'03_Revenue_Model'!$D$9</c:f>
              <c:numCache>
                <c:formatCode>#,##0</c:formatCode>
                <c:ptCount val="1"/>
                <c:pt idx="0">
                  <c:v>55607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D6E-4724-8C29-15FE217C1E60}"/>
            </c:ext>
          </c:extLst>
        </c:ser>
        <c:ser>
          <c:idx val="11"/>
          <c:order val="11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'03_Revenue_Model'!$E$9</c:f>
              <c:numCache>
                <c:formatCode>#,##0</c:formatCode>
                <c:ptCount val="1"/>
                <c:pt idx="0">
                  <c:v>59500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D6E-4724-8C29-15FE217C1E60}"/>
            </c:ext>
          </c:extLst>
        </c:ser>
        <c:ser>
          <c:idx val="12"/>
          <c:order val="12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'03_Revenue_Model'!$F$9</c:f>
              <c:numCache>
                <c:formatCode>#,##0</c:formatCode>
                <c:ptCount val="1"/>
                <c:pt idx="0">
                  <c:v>68400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D6E-4724-8C29-15FE217C1E60}"/>
            </c:ext>
          </c:extLst>
        </c:ser>
        <c:ser>
          <c:idx val="13"/>
          <c:order val="13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'03_Revenue_Model'!$G$9</c:f>
              <c:numCache>
                <c:formatCode>#,##0</c:formatCode>
                <c:ptCount val="1"/>
                <c:pt idx="0">
                  <c:v>87100.324602232868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D6E-4724-8C29-15FE217C1E60}"/>
            </c:ext>
          </c:extLst>
        </c:ser>
        <c:ser>
          <c:idx val="14"/>
          <c:order val="14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'03_Revenue_Model'!$H$9</c:f>
              <c:numCache>
                <c:formatCode>#,##0</c:formatCode>
                <c:ptCount val="1"/>
                <c:pt idx="0">
                  <c:v>89651.776097656897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D6E-4724-8C29-15FE217C1E60}"/>
            </c:ext>
          </c:extLst>
        </c:ser>
        <c:ser>
          <c:idx val="15"/>
          <c:order val="15"/>
          <c:tx>
            <c:v>DMX</c:v>
          </c:tx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'03_Revenue_Model'!$I$9</c:f>
              <c:numCache>
                <c:formatCode>#,##0</c:formatCode>
                <c:ptCount val="1"/>
                <c:pt idx="0">
                  <c:v>92341.329380586612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D6E-4724-8C29-15FE217C1E60}"/>
            </c:ext>
          </c:extLst>
        </c:ser>
        <c:ser>
          <c:idx val="16"/>
          <c:order val="16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'03_Revenue_Model'!$B$13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0-ED6E-4724-8C29-15FE217C1E60}"/>
            </c:ext>
          </c:extLst>
        </c:ser>
        <c:ser>
          <c:idx val="17"/>
          <c:order val="17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'03_Revenue_Model'!$C$13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1-ED6E-4724-8C29-15FE217C1E60}"/>
            </c:ext>
          </c:extLst>
        </c:ser>
        <c:ser>
          <c:idx val="18"/>
          <c:order val="18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'03_Revenue_Model'!$D$13</c:f>
              <c:numCache>
                <c:formatCode>#,##0</c:formatCode>
                <c:ptCount val="1"/>
                <c:pt idx="0">
                  <c:v>31538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D6E-4724-8C29-15FE217C1E60}"/>
            </c:ext>
          </c:extLst>
        </c:ser>
        <c:ser>
          <c:idx val="19"/>
          <c:order val="19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'03_Revenue_Model'!$E$13</c:f>
              <c:numCache>
                <c:formatCode>#,##0</c:formatCode>
                <c:ptCount val="1"/>
                <c:pt idx="0">
                  <c:v>41000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D6E-4724-8C29-15FE217C1E60}"/>
            </c:ext>
          </c:extLst>
        </c:ser>
        <c:ser>
          <c:idx val="20"/>
          <c:order val="20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'03_Revenue_Model'!$F$13</c:f>
              <c:numCache>
                <c:formatCode>#,##0</c:formatCode>
                <c:ptCount val="1"/>
                <c:pt idx="0">
                  <c:v>46900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D6E-4724-8C29-15FE217C1E60}"/>
            </c:ext>
          </c:extLst>
        </c:ser>
        <c:ser>
          <c:idx val="21"/>
          <c:order val="21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'03_Revenue_Model'!$G$13</c:f>
              <c:numCache>
                <c:formatCode>#,##0</c:formatCode>
                <c:ptCount val="1"/>
                <c:pt idx="0">
                  <c:v>61127.455211575354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D6E-4724-8C29-15FE217C1E60}"/>
            </c:ext>
          </c:extLst>
        </c:ser>
        <c:ser>
          <c:idx val="22"/>
          <c:order val="22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'03_Revenue_Model'!$H$13</c:f>
              <c:numCache>
                <c:formatCode>#,##0</c:formatCode>
                <c:ptCount val="1"/>
                <c:pt idx="0">
                  <c:v>84449.288825516356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D6E-4724-8C29-15FE217C1E60}"/>
            </c:ext>
          </c:extLst>
        </c:ser>
        <c:ser>
          <c:idx val="23"/>
          <c:order val="23"/>
          <c:tx>
            <c:v>BHX</c:v>
          </c:tx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'03_Revenue_Model'!$I$13</c:f>
              <c:numCache>
                <c:formatCode>#,##0</c:formatCode>
                <c:ptCount val="1"/>
                <c:pt idx="0">
                  <c:v>101912.58482326438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D6E-4724-8C29-15FE217C1E60}"/>
            </c:ext>
          </c:extLst>
        </c:ser>
        <c:ser>
          <c:idx val="24"/>
          <c:order val="24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'03_Revenue_Model'!$B$17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8-ED6E-4724-8C29-15FE217C1E60}"/>
            </c:ext>
          </c:extLst>
        </c:ser>
        <c:ser>
          <c:idx val="25"/>
          <c:order val="25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'03_Revenue_Model'!$C$17</c:f>
              <c:numCache>
                <c:formatCode>#,##0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9-ED6E-4724-8C29-15FE217C1E60}"/>
            </c:ext>
          </c:extLst>
        </c:ser>
        <c:ser>
          <c:idx val="26"/>
          <c:order val="26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'03_Revenue_Model'!$D$17</c:f>
              <c:numCache>
                <c:formatCode>#,##0</c:formatCode>
                <c:ptCount val="1"/>
                <c:pt idx="0">
                  <c:v>3098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D6E-4724-8C29-15FE217C1E60}"/>
            </c:ext>
          </c:extLst>
        </c:ser>
        <c:ser>
          <c:idx val="27"/>
          <c:order val="27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'03_Revenue_Model'!$E$17</c:f>
              <c:numCache>
                <c:formatCode>#,##0</c:formatCode>
                <c:ptCount val="1"/>
                <c:pt idx="0">
                  <c:v>3841.2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ED6E-4724-8C29-15FE217C1E60}"/>
            </c:ext>
          </c:extLst>
        </c:ser>
        <c:ser>
          <c:idx val="28"/>
          <c:order val="28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'03_Revenue_Model'!$F$17</c:f>
              <c:numCache>
                <c:formatCode>#,##0</c:formatCode>
                <c:ptCount val="1"/>
                <c:pt idx="0">
                  <c:v>3566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ED6E-4724-8C29-15FE217C1E60}"/>
            </c:ext>
          </c:extLst>
        </c:ser>
        <c:ser>
          <c:idx val="29"/>
          <c:order val="29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'03_Revenue_Model'!$G$17</c:f>
              <c:numCache>
                <c:formatCode>#,##0</c:formatCode>
                <c:ptCount val="1"/>
                <c:pt idx="0">
                  <c:v>4419.8730417565675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D6E-4724-8C29-15FE217C1E60}"/>
            </c:ext>
          </c:extLst>
        </c:ser>
        <c:ser>
          <c:idx val="30"/>
          <c:order val="30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'03_Revenue_Model'!$H$17</c:f>
              <c:numCache>
                <c:formatCode>#,##0</c:formatCode>
                <c:ptCount val="1"/>
                <c:pt idx="0">
                  <c:v>5637.9741936774608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D6E-4724-8C29-15FE217C1E60}"/>
            </c:ext>
          </c:extLst>
        </c:ser>
        <c:ser>
          <c:idx val="31"/>
          <c:order val="31"/>
          <c:tx>
            <c:v>Khac</c:v>
          </c:tx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'03_Revenue_Model'!$I$17</c:f>
              <c:numCache>
                <c:formatCode>#,##0</c:formatCode>
                <c:ptCount val="1"/>
                <c:pt idx="0">
                  <c:v>6569.6942978027546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ED6E-4724-8C29-15FE217C1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Tỷ VND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Số cửa hàng theo mảng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'03_Revenue_Model'!$G$3</c:f>
              <c:numCache>
                <c:formatCode>#,##0</c:formatCode>
                <c:ptCount val="1"/>
                <c:pt idx="0">
                  <c:v>1002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92-4C09-8436-41FE761AE657}"/>
            </c:ext>
          </c:extLst>
        </c:ser>
        <c:ser>
          <c:idx val="1"/>
          <c:order val="1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'03_Revenue_Model'!$H$3</c:f>
              <c:numCache>
                <c:formatCode>#,##0</c:formatCode>
                <c:ptCount val="1"/>
                <c:pt idx="0">
                  <c:v>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92-4C09-8436-41FE761AE657}"/>
            </c:ext>
          </c:extLst>
        </c:ser>
        <c:ser>
          <c:idx val="2"/>
          <c:order val="2"/>
          <c:tx>
            <c:v>TGDD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'03_Revenue_Model'!$I$3</c:f>
              <c:numCache>
                <c:formatCode>#,##0</c:formatCode>
                <c:ptCount val="1"/>
                <c:pt idx="0">
                  <c:v>982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C92-4C09-8436-41FE761AE657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'03_Revenue_Model'!$G$7</c:f>
              <c:numCache>
                <c:formatCode>#,##0</c:formatCode>
                <c:ptCount val="1"/>
                <c:pt idx="0">
                  <c:v>2004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C92-4C09-8436-41FE761AE657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'03_Revenue_Model'!$H$7</c:f>
              <c:numCache>
                <c:formatCode>#,##0</c:formatCode>
                <c:ptCount val="1"/>
                <c:pt idx="0">
                  <c:v>2004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C92-4C09-8436-41FE761AE657}"/>
            </c:ext>
          </c:extLst>
        </c:ser>
        <c:ser>
          <c:idx val="5"/>
          <c:order val="5"/>
          <c:tx>
            <c:v>DMX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'03_Revenue_Model'!$I$7</c:f>
              <c:numCache>
                <c:formatCode>#,##0</c:formatCode>
                <c:ptCount val="1"/>
                <c:pt idx="0">
                  <c:v>2004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C92-4C09-8436-41FE761AE657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'03_Revenue_Model'!$G$11</c:f>
              <c:numCache>
                <c:formatCode>#,##0</c:formatCode>
                <c:ptCount val="1"/>
                <c:pt idx="0">
                  <c:v>3559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C92-4C09-8436-41FE761AE657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'03_Revenue_Model'!$H$11</c:f>
              <c:numCache>
                <c:formatCode>#,##0</c:formatCode>
                <c:ptCount val="1"/>
                <c:pt idx="0">
                  <c:v>4259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C92-4C09-8436-41FE761AE657}"/>
            </c:ext>
          </c:extLst>
        </c:ser>
        <c:ser>
          <c:idx val="8"/>
          <c:order val="8"/>
          <c:tx>
            <c:v>BHX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'03_Revenue_Model'!$I$11</c:f>
              <c:numCache>
                <c:formatCode>#,##0</c:formatCode>
                <c:ptCount val="1"/>
                <c:pt idx="0">
                  <c:v>4759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C92-4C09-8436-41FE761AE657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'03_Revenue_Model'!$G$15</c:f>
              <c:numCache>
                <c:formatCode>#,##0</c:formatCode>
                <c:ptCount val="1"/>
                <c:pt idx="0">
                  <c:v>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C92-4C09-8436-41FE761AE657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'03_Revenue_Model'!$H$15</c:f>
              <c:numCache>
                <c:formatCode>#,##0</c:formatCode>
                <c:ptCount val="1"/>
                <c:pt idx="0">
                  <c:v>911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C92-4C09-8436-41FE761AE657}"/>
            </c:ext>
          </c:extLst>
        </c:ser>
        <c:ser>
          <c:idx val="11"/>
          <c:order val="11"/>
          <c:tx>
            <c:v>Khac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'03_Revenue_Model'!$G$1:$I$1</c:f>
              <c:strCache>
                <c:ptCount val="3"/>
                <c:pt idx="0">
                  <c:v>2026E</c:v>
                </c:pt>
                <c:pt idx="1">
                  <c:v>2027F</c:v>
                </c:pt>
                <c:pt idx="2">
                  <c:v>2028F</c:v>
                </c:pt>
              </c:strCache>
            </c:strRef>
          </c:cat>
          <c:val>
            <c:numRef>
              <c:f>'03_Revenue_Model'!$I$15</c:f>
              <c:numCache>
                <c:formatCode>#,##0</c:formatCode>
                <c:ptCount val="1"/>
                <c:pt idx="0">
                  <c:v>1011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C92-4C09-8436-41FE761AE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Cửa hàng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Doanh thu &amp; LNST theo năm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Doanh thu thuần</c:v>
          </c:tx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'04_PnL'!$B$2</c:f>
              <c:numCache>
                <c:formatCode>#,##0</c:formatCode>
                <c:ptCount val="1"/>
                <c:pt idx="0">
                  <c:v>122958.1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1F-47A2-8BAE-EFD40DFFB0B0}"/>
            </c:ext>
          </c:extLst>
        </c:ser>
        <c:ser>
          <c:idx val="1"/>
          <c:order val="1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'04_PnL'!$C$2</c:f>
              <c:numCache>
                <c:formatCode>#,##0</c:formatCode>
                <c:ptCount val="1"/>
                <c:pt idx="0">
                  <c:v>133404.79999999999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1F-47A2-8BAE-EFD40DFFB0B0}"/>
            </c:ext>
          </c:extLst>
        </c:ser>
        <c:ser>
          <c:idx val="2"/>
          <c:order val="2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'04_PnL'!$D$2</c:f>
              <c:numCache>
                <c:formatCode>#,##0</c:formatCode>
                <c:ptCount val="1"/>
                <c:pt idx="0">
                  <c:v>118279.8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1F-47A2-8BAE-EFD40DFFB0B0}"/>
            </c:ext>
          </c:extLst>
        </c:ser>
        <c:ser>
          <c:idx val="3"/>
          <c:order val="3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'04_PnL'!$E$2</c:f>
              <c:numCache>
                <c:formatCode>#,##0</c:formatCode>
                <c:ptCount val="1"/>
                <c:pt idx="0">
                  <c:v>134341.20000000001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A1F-47A2-8BAE-EFD40DFFB0B0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'04_PnL'!$F$2</c:f>
              <c:numCache>
                <c:formatCode>#,##0</c:formatCode>
                <c:ptCount val="1"/>
                <c:pt idx="0">
                  <c:v>155928.1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A1F-47A2-8BAE-EFD40DFFB0B0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'04_PnL'!$G$2</c:f>
              <c:numCache>
                <c:formatCode>#,##0</c:formatCode>
                <c:ptCount val="1"/>
                <c:pt idx="0">
                  <c:v>193094.51320481821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A1F-47A2-8BAE-EFD40DFFB0B0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'04_PnL'!$H$2</c:f>
              <c:numCache>
                <c:formatCode>#,##0</c:formatCode>
                <c:ptCount val="1"/>
                <c:pt idx="0">
                  <c:v>221613.13224405795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A1F-47A2-8BAE-EFD40DFFB0B0}"/>
            </c:ext>
          </c:extLst>
        </c:ser>
        <c:ser>
          <c:idx val="7"/>
          <c:order val="7"/>
          <c:spPr>
            <a:ln>
              <a:prstDash val="solid"/>
            </a:ln>
          </c:spPr>
          <c:invertIfNegative val="1"/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'04_PnL'!$I$2</c:f>
              <c:numCache>
                <c:formatCode>#,##0</c:formatCode>
                <c:ptCount val="1"/>
                <c:pt idx="0">
                  <c:v>242275.58375459479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A1F-47A2-8BAE-EFD40DFF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8"/>
          <c:order val="8"/>
          <c:tx>
            <c:v>LNST Cổ đông mẹ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'04_PnL'!$B$16</c:f>
              <c:numCache>
                <c:formatCode>#,##0</c:formatCode>
                <c:ptCount val="1"/>
                <c:pt idx="0">
                  <c:v>4898.8999999999996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A1F-47A2-8BAE-EFD40DFFB0B0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val>
            <c:numRef>
              <c:f>'04_PnL'!$C$16</c:f>
              <c:numCache>
                <c:formatCode>#,##0</c:formatCode>
                <c:ptCount val="1"/>
                <c:pt idx="0">
                  <c:v>4099.8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A1F-47A2-8BAE-EFD40DFFB0B0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val>
            <c:numRef>
              <c:f>'04_PnL'!$D$16</c:f>
              <c:numCache>
                <c:formatCode>#,##0</c:formatCode>
                <c:ptCount val="1"/>
                <c:pt idx="0">
                  <c:v>167.7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A1F-47A2-8BAE-EFD40DFFB0B0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val>
            <c:numRef>
              <c:f>'04_PnL'!$E$16</c:f>
              <c:numCache>
                <c:formatCode>#,##0</c:formatCode>
                <c:ptCount val="1"/>
                <c:pt idx="0">
                  <c:v>3721.9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A1F-47A2-8BAE-EFD40DFFB0B0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val>
            <c:numRef>
              <c:f>'04_PnL'!$F$16</c:f>
              <c:numCache>
                <c:formatCode>#,##0</c:formatCode>
                <c:ptCount val="1"/>
                <c:pt idx="0">
                  <c:v>7033.7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A1F-47A2-8BAE-EFD40DFFB0B0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val>
            <c:numRef>
              <c:f>'04_PnL'!$G$16</c:f>
              <c:numCache>
                <c:formatCode>#,##0</c:formatCode>
                <c:ptCount val="1"/>
                <c:pt idx="0">
                  <c:v>11109.526300546629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A1F-47A2-8BAE-EFD40DFFB0B0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val>
            <c:numRef>
              <c:f>'04_PnL'!$H$16</c:f>
              <c:numCache>
                <c:formatCode>#,##0</c:formatCode>
                <c:ptCount val="1"/>
                <c:pt idx="0">
                  <c:v>13777.528345377976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A1F-47A2-8BAE-EFD40DFFB0B0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val>
            <c:numRef>
              <c:f>'04_PnL'!$I$16</c:f>
              <c:numCache>
                <c:formatCode>#,##0</c:formatCode>
                <c:ptCount val="1"/>
                <c:pt idx="0">
                  <c:v>16253.233333278766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A1F-47A2-8BAE-EFD40DFF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Tỷ VND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Tỷ VND (LNST)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Xu hướng biên lợi nhuận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Biên LNG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'04_PnL'!$B$6</c:f>
              <c:numCache>
                <c:formatCode>0.00%</c:formatCode>
                <c:ptCount val="1"/>
                <c:pt idx="0">
                  <c:v>0.22470000000000001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93-4FC2-8C00-D706B2833509}"/>
            </c:ext>
          </c:extLst>
        </c:ser>
        <c:ser>
          <c:idx val="1"/>
          <c:order val="1"/>
          <c:tx>
            <c:v>Biên EBIT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'04_PnL'!$C$6</c:f>
              <c:numCache>
                <c:formatCode>0.00%</c:formatCode>
                <c:ptCount val="1"/>
                <c:pt idx="0">
                  <c:v>0.23130000000000001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593-4FC2-8C00-D706B2833509}"/>
            </c:ext>
          </c:extLst>
        </c:ser>
        <c:ser>
          <c:idx val="2"/>
          <c:order val="2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'04_PnL'!$D$6</c:f>
              <c:numCache>
                <c:formatCode>0.00%</c:formatCode>
                <c:ptCount val="1"/>
                <c:pt idx="0">
                  <c:v>0.19040000000000001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593-4FC2-8C00-D706B2833509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'04_PnL'!$E$6</c:f>
              <c:numCache>
                <c:formatCode>0.00%</c:formatCode>
                <c:ptCount val="1"/>
                <c:pt idx="0">
                  <c:v>0.20469999999999999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593-4FC2-8C00-D706B2833509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'04_PnL'!$F$6</c:f>
              <c:numCache>
                <c:formatCode>0.00%</c:formatCode>
                <c:ptCount val="1"/>
                <c:pt idx="0">
                  <c:v>0.1988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593-4FC2-8C00-D706B2833509}"/>
            </c:ext>
          </c:extLst>
        </c:ser>
        <c:ser>
          <c:idx val="5"/>
          <c:order val="5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'04_PnL'!$G$6</c:f>
              <c:numCache>
                <c:formatCode>0.00%</c:formatCode>
                <c:ptCount val="1"/>
                <c:pt idx="0">
                  <c:v>0.20816230781579118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593-4FC2-8C00-D706B2833509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'04_PnL'!$H$6</c:f>
              <c:numCache>
                <c:formatCode>0.00%</c:formatCode>
                <c:ptCount val="1"/>
                <c:pt idx="0">
                  <c:v>0.20790000000000003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593-4FC2-8C00-D706B2833509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'04_PnL'!$I$6</c:f>
              <c:numCache>
                <c:formatCode>0.00%</c:formatCode>
                <c:ptCount val="1"/>
                <c:pt idx="0">
                  <c:v>0.20789999999999997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593-4FC2-8C00-D706B2833509}"/>
            </c:ext>
          </c:extLst>
        </c:ser>
        <c:ser>
          <c:idx val="8"/>
          <c:order val="8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'04_PnL'!$B$9</c:f>
              <c:numCache>
                <c:formatCode>0.00%</c:formatCode>
                <c:ptCount val="1"/>
                <c:pt idx="0">
                  <c:v>4.7899999999999998E-2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593-4FC2-8C00-D706B2833509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'04_PnL'!$C$9</c:f>
              <c:numCache>
                <c:formatCode>0.00%</c:formatCode>
                <c:ptCount val="1"/>
                <c:pt idx="0">
                  <c:v>4.9799999999999997E-2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7593-4FC2-8C00-D706B2833509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'04_PnL'!$D$9</c:f>
              <c:numCache>
                <c:formatCode>0.00%</c:formatCode>
                <c:ptCount val="1"/>
                <c:pt idx="0">
                  <c:v>3.7000000000000002E-3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7593-4FC2-8C00-D706B2833509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'04_PnL'!$E$9</c:f>
              <c:numCache>
                <c:formatCode>0.00%</c:formatCode>
                <c:ptCount val="1"/>
                <c:pt idx="0">
                  <c:v>3.04E-2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7593-4FC2-8C00-D706B2833509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'04_PnL'!$F$9</c:f>
              <c:numCache>
                <c:formatCode>0.00%</c:formatCode>
                <c:ptCount val="1"/>
                <c:pt idx="0">
                  <c:v>4.5400000000000003E-2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7593-4FC2-8C00-D706B2833509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'04_PnL'!$G$9</c:f>
              <c:numCache>
                <c:formatCode>0.00%</c:formatCode>
                <c:ptCount val="1"/>
                <c:pt idx="0">
                  <c:v>6.2718104353471665E-2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7593-4FC2-8C00-D706B2833509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'04_PnL'!$H$9</c:f>
              <c:numCache>
                <c:formatCode>0.00%</c:formatCode>
                <c:ptCount val="1"/>
                <c:pt idx="0">
                  <c:v>6.900000000000002E-2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7593-4FC2-8C00-D706B2833509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cat>
            <c:strRef>
              <c:f>'04_PnL'!$B$1:$I$1</c:f>
              <c:strCache>
                <c:ptCount val="8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  <c:pt idx="5">
                  <c:v>2026E</c:v>
                </c:pt>
                <c:pt idx="6">
                  <c:v>2027F</c:v>
                </c:pt>
                <c:pt idx="7">
                  <c:v>2028F</c:v>
                </c:pt>
              </c:strCache>
            </c:strRef>
          </c:cat>
          <c:val>
            <c:numRef>
              <c:f>'04_PnL'!$I$9</c:f>
              <c:numCache>
                <c:formatCode>0.00%</c:formatCode>
                <c:ptCount val="1"/>
                <c:pt idx="0">
                  <c:v>7.5199999999999975E-2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7593-4FC2-8C00-D706B2833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%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49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41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25"/>
  <sheetViews>
    <sheetView tabSelected="1" workbookViewId="0"/>
  </sheetViews>
  <sheetFormatPr defaultRowHeight="15" x14ac:dyDescent="0.25"/>
  <cols>
    <col min="1" max="1" width="15" customWidth="1"/>
    <col min="2" max="2" width="16" customWidth="1"/>
    <col min="3" max="3" width="22" customWidth="1"/>
    <col min="4" max="4" width="16" customWidth="1"/>
    <col min="5" max="5" width="22" customWidth="1"/>
  </cols>
  <sheetData>
    <row r="1" spans="1:5" x14ac:dyDescent="0.25">
      <c r="A1" s="1" t="s">
        <v>0</v>
      </c>
      <c r="B1" s="1" t="s">
        <v>1</v>
      </c>
      <c r="C1" s="2">
        <f>COVAR(C6:C1625,E6:E1625)/VAR(E6:E1625)</f>
        <v>1.187744548511249</v>
      </c>
      <c r="D1" s="1" t="s">
        <v>2</v>
      </c>
      <c r="E1" s="2">
        <f>0.67*C1+0.33</f>
        <v>1.1257888475025368</v>
      </c>
    </row>
    <row r="2" spans="1:5" x14ac:dyDescent="0.25">
      <c r="B2" s="3" t="s">
        <v>3</v>
      </c>
      <c r="C2">
        <f>COUNT(C6:C1625)</f>
        <v>1620</v>
      </c>
    </row>
    <row r="4" spans="1:5" x14ac:dyDescent="0.25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</row>
    <row r="5" spans="1:5" x14ac:dyDescent="0.25">
      <c r="A5" t="s">
        <v>9</v>
      </c>
      <c r="B5">
        <v>36902</v>
      </c>
      <c r="D5">
        <v>966.67</v>
      </c>
    </row>
    <row r="6" spans="1:5" x14ac:dyDescent="0.25">
      <c r="A6" t="s">
        <v>10</v>
      </c>
      <c r="B6">
        <v>36366</v>
      </c>
      <c r="C6" s="5">
        <f t="shared" ref="C6:C69" si="0">(B6-B5)/B5</f>
        <v>-1.4524957996856538E-2</v>
      </c>
      <c r="D6">
        <v>965.14</v>
      </c>
      <c r="E6" s="5">
        <f t="shared" ref="E6:E69" si="1">(D6-D5)/D5</f>
        <v>-1.5827531629200996E-3</v>
      </c>
    </row>
    <row r="7" spans="1:5" x14ac:dyDescent="0.25">
      <c r="A7" t="s">
        <v>11</v>
      </c>
      <c r="B7">
        <v>36176</v>
      </c>
      <c r="C7" s="5">
        <f t="shared" si="0"/>
        <v>-5.2246603970741903E-3</v>
      </c>
      <c r="D7">
        <v>955.79</v>
      </c>
      <c r="E7" s="5">
        <f t="shared" si="1"/>
        <v>-9.6877136995669258E-3</v>
      </c>
    </row>
    <row r="8" spans="1:5" x14ac:dyDescent="0.25">
      <c r="A8" t="s">
        <v>12</v>
      </c>
      <c r="B8">
        <v>36460</v>
      </c>
      <c r="C8" s="5">
        <f t="shared" si="0"/>
        <v>7.8505086245024332E-3</v>
      </c>
      <c r="D8">
        <v>958.88</v>
      </c>
      <c r="E8" s="5">
        <f t="shared" si="1"/>
        <v>3.2329277351719854E-3</v>
      </c>
    </row>
    <row r="9" spans="1:5" x14ac:dyDescent="0.25">
      <c r="A9" t="s">
        <v>13</v>
      </c>
      <c r="B9">
        <v>35577</v>
      </c>
      <c r="C9" s="5">
        <f t="shared" si="0"/>
        <v>-2.4218321448162369E-2</v>
      </c>
      <c r="D9">
        <v>948.98</v>
      </c>
      <c r="E9" s="5">
        <f t="shared" si="1"/>
        <v>-1.0324545302853306E-2</v>
      </c>
    </row>
    <row r="10" spans="1:5" x14ac:dyDescent="0.25">
      <c r="A10" t="s">
        <v>14</v>
      </c>
      <c r="B10">
        <v>36113</v>
      </c>
      <c r="C10" s="5">
        <f t="shared" si="0"/>
        <v>1.5065913370998116E-2</v>
      </c>
      <c r="D10">
        <v>960.15</v>
      </c>
      <c r="E10" s="5">
        <f t="shared" si="1"/>
        <v>1.1770532571813904E-2</v>
      </c>
    </row>
    <row r="11" spans="1:5" x14ac:dyDescent="0.25">
      <c r="A11" t="s">
        <v>15</v>
      </c>
      <c r="B11">
        <v>36303</v>
      </c>
      <c r="C11" s="5">
        <f t="shared" si="0"/>
        <v>5.2612632569988644E-3</v>
      </c>
      <c r="D11">
        <v>968.54</v>
      </c>
      <c r="E11" s="5">
        <f t="shared" si="1"/>
        <v>8.7382179867728869E-3</v>
      </c>
    </row>
    <row r="12" spans="1:5" x14ac:dyDescent="0.25">
      <c r="A12" t="s">
        <v>16</v>
      </c>
      <c r="B12">
        <v>36113</v>
      </c>
      <c r="C12" s="5">
        <f t="shared" si="0"/>
        <v>-5.2337272401729888E-3</v>
      </c>
      <c r="D12">
        <v>965.84</v>
      </c>
      <c r="E12" s="5">
        <f t="shared" si="1"/>
        <v>-2.7877010758460487E-3</v>
      </c>
    </row>
    <row r="13" spans="1:5" x14ac:dyDescent="0.25">
      <c r="A13" t="s">
        <v>17</v>
      </c>
      <c r="B13">
        <v>35924</v>
      </c>
      <c r="C13" s="5">
        <f t="shared" si="0"/>
        <v>-5.2335723977515024E-3</v>
      </c>
      <c r="D13">
        <v>967</v>
      </c>
      <c r="E13" s="5">
        <f t="shared" si="1"/>
        <v>1.2010270852314754E-3</v>
      </c>
    </row>
    <row r="14" spans="1:5" x14ac:dyDescent="0.25">
      <c r="A14" t="s">
        <v>18</v>
      </c>
      <c r="B14">
        <v>35956</v>
      </c>
      <c r="C14" s="5">
        <f t="shared" si="0"/>
        <v>8.9076940207103881E-4</v>
      </c>
      <c r="D14">
        <v>967.56</v>
      </c>
      <c r="E14" s="5">
        <f t="shared" si="1"/>
        <v>5.7911065149942654E-4</v>
      </c>
    </row>
    <row r="15" spans="1:5" x14ac:dyDescent="0.25">
      <c r="A15" t="s">
        <v>19</v>
      </c>
      <c r="B15">
        <v>36397</v>
      </c>
      <c r="C15" s="5">
        <f t="shared" si="0"/>
        <v>1.226499054399822E-2</v>
      </c>
      <c r="D15">
        <v>974.31</v>
      </c>
      <c r="E15" s="5">
        <f t="shared" si="1"/>
        <v>6.9763115465707555E-3</v>
      </c>
    </row>
    <row r="16" spans="1:5" x14ac:dyDescent="0.25">
      <c r="A16" t="s">
        <v>20</v>
      </c>
      <c r="B16">
        <v>36618</v>
      </c>
      <c r="C16" s="5">
        <f t="shared" si="0"/>
        <v>6.0719290051377862E-3</v>
      </c>
      <c r="D16">
        <v>978.96</v>
      </c>
      <c r="E16" s="5">
        <f t="shared" si="1"/>
        <v>4.7726083074176506E-3</v>
      </c>
    </row>
    <row r="17" spans="1:5" x14ac:dyDescent="0.25">
      <c r="A17" t="s">
        <v>21</v>
      </c>
      <c r="B17">
        <v>37406</v>
      </c>
      <c r="C17" s="5">
        <f t="shared" si="0"/>
        <v>2.151947129826861E-2</v>
      </c>
      <c r="D17">
        <v>978.63</v>
      </c>
      <c r="E17" s="5">
        <f t="shared" si="1"/>
        <v>-3.3709242461391775E-4</v>
      </c>
    </row>
    <row r="18" spans="1:5" x14ac:dyDescent="0.25">
      <c r="A18" t="s">
        <v>22</v>
      </c>
      <c r="B18">
        <v>37848</v>
      </c>
      <c r="C18" s="5">
        <f t="shared" si="0"/>
        <v>1.1816286157300968E-2</v>
      </c>
      <c r="D18">
        <v>986.37</v>
      </c>
      <c r="E18" s="5">
        <f t="shared" si="1"/>
        <v>7.9090156647558408E-3</v>
      </c>
    </row>
    <row r="19" spans="1:5" x14ac:dyDescent="0.25">
      <c r="A19" t="s">
        <v>23</v>
      </c>
      <c r="B19">
        <v>37596</v>
      </c>
      <c r="C19" s="5">
        <f t="shared" si="0"/>
        <v>-6.6582117945466071E-3</v>
      </c>
      <c r="D19">
        <v>991.46</v>
      </c>
      <c r="E19" s="5">
        <f t="shared" si="1"/>
        <v>5.1603353711082373E-3</v>
      </c>
    </row>
    <row r="20" spans="1:5" x14ac:dyDescent="0.25">
      <c r="A20" t="s">
        <v>24</v>
      </c>
      <c r="B20">
        <v>35956</v>
      </c>
      <c r="C20" s="5">
        <f t="shared" si="0"/>
        <v>-4.3621661878923287E-2</v>
      </c>
      <c r="D20">
        <v>959.58</v>
      </c>
      <c r="E20" s="5">
        <f t="shared" si="1"/>
        <v>-3.2154600286446247E-2</v>
      </c>
    </row>
    <row r="21" spans="1:5" x14ac:dyDescent="0.25">
      <c r="A21" t="s">
        <v>25</v>
      </c>
      <c r="B21">
        <v>34946</v>
      </c>
      <c r="C21" s="5">
        <f t="shared" si="0"/>
        <v>-2.8089887640449437E-2</v>
      </c>
      <c r="D21">
        <v>936.62</v>
      </c>
      <c r="E21" s="5">
        <f t="shared" si="1"/>
        <v>-2.3927134788136514E-2</v>
      </c>
    </row>
    <row r="22" spans="1:5" x14ac:dyDescent="0.25">
      <c r="A22" t="s">
        <v>26</v>
      </c>
      <c r="B22">
        <v>34316</v>
      </c>
      <c r="C22" s="5">
        <f t="shared" si="0"/>
        <v>-1.8027814342127853E-2</v>
      </c>
      <c r="D22">
        <v>928.14</v>
      </c>
      <c r="E22" s="5">
        <f t="shared" si="1"/>
        <v>-9.0538318635092329E-3</v>
      </c>
    </row>
    <row r="23" spans="1:5" x14ac:dyDescent="0.25">
      <c r="A23" t="s">
        <v>27</v>
      </c>
      <c r="B23">
        <v>34032</v>
      </c>
      <c r="C23" s="5">
        <f t="shared" si="0"/>
        <v>-8.2760228464856048E-3</v>
      </c>
      <c r="D23">
        <v>929.09</v>
      </c>
      <c r="E23" s="5">
        <f t="shared" si="1"/>
        <v>1.0235524813067484E-3</v>
      </c>
    </row>
    <row r="24" spans="1:5" x14ac:dyDescent="0.25">
      <c r="A24" t="s">
        <v>28</v>
      </c>
      <c r="B24">
        <v>34063</v>
      </c>
      <c r="C24" s="5">
        <f t="shared" si="0"/>
        <v>9.1090738128819934E-4</v>
      </c>
      <c r="D24">
        <v>925.91</v>
      </c>
      <c r="E24" s="5">
        <f t="shared" si="1"/>
        <v>-3.4227039361095948E-3</v>
      </c>
    </row>
    <row r="25" spans="1:5" x14ac:dyDescent="0.25">
      <c r="A25" t="s">
        <v>29</v>
      </c>
      <c r="B25">
        <v>34536</v>
      </c>
      <c r="C25" s="5">
        <f t="shared" si="0"/>
        <v>1.3886034700408067E-2</v>
      </c>
      <c r="D25">
        <v>938.54</v>
      </c>
      <c r="E25" s="5">
        <f t="shared" si="1"/>
        <v>1.364063461891544E-2</v>
      </c>
    </row>
    <row r="26" spans="1:5" x14ac:dyDescent="0.25">
      <c r="A26" t="s">
        <v>30</v>
      </c>
      <c r="B26">
        <v>34284</v>
      </c>
      <c r="C26" s="5">
        <f t="shared" si="0"/>
        <v>-7.2967338429464909E-3</v>
      </c>
      <c r="D26">
        <v>940.75</v>
      </c>
      <c r="E26" s="5">
        <f t="shared" si="1"/>
        <v>2.3547211626569315E-3</v>
      </c>
    </row>
    <row r="27" spans="1:5" x14ac:dyDescent="0.25">
      <c r="A27" t="s">
        <v>31</v>
      </c>
      <c r="B27">
        <v>33369</v>
      </c>
      <c r="C27" s="5">
        <f t="shared" si="0"/>
        <v>-2.6688834441722088E-2</v>
      </c>
      <c r="D27">
        <v>930.73</v>
      </c>
      <c r="E27" s="5">
        <f t="shared" si="1"/>
        <v>-1.0651076268934341E-2</v>
      </c>
    </row>
    <row r="28" spans="1:5" x14ac:dyDescent="0.25">
      <c r="A28" t="s">
        <v>32</v>
      </c>
      <c r="B28">
        <v>33590</v>
      </c>
      <c r="C28" s="5">
        <f t="shared" si="0"/>
        <v>6.6229134825736462E-3</v>
      </c>
      <c r="D28">
        <v>934.67</v>
      </c>
      <c r="E28" s="5">
        <f t="shared" si="1"/>
        <v>4.2332362769008638E-3</v>
      </c>
    </row>
    <row r="29" spans="1:5" x14ac:dyDescent="0.25">
      <c r="A29" t="s">
        <v>33</v>
      </c>
      <c r="B29">
        <v>34379</v>
      </c>
      <c r="C29" s="5">
        <f t="shared" si="0"/>
        <v>2.3489133670735338E-2</v>
      </c>
      <c r="D29">
        <v>937.68</v>
      </c>
      <c r="E29" s="5">
        <f t="shared" si="1"/>
        <v>3.2203879444081774E-3</v>
      </c>
    </row>
    <row r="30" spans="1:5" x14ac:dyDescent="0.25">
      <c r="A30" t="s">
        <v>34</v>
      </c>
      <c r="B30">
        <v>34063</v>
      </c>
      <c r="C30" s="5">
        <f t="shared" si="0"/>
        <v>-9.1916576980133214E-3</v>
      </c>
      <c r="D30">
        <v>938.24</v>
      </c>
      <c r="E30" s="5">
        <f t="shared" si="1"/>
        <v>5.9721866734926531E-4</v>
      </c>
    </row>
    <row r="31" spans="1:5" x14ac:dyDescent="0.25">
      <c r="A31" t="s">
        <v>35</v>
      </c>
      <c r="B31">
        <v>33779</v>
      </c>
      <c r="C31" s="5">
        <f t="shared" si="0"/>
        <v>-8.3374922936911011E-3</v>
      </c>
      <c r="D31">
        <v>937.45</v>
      </c>
      <c r="E31" s="5">
        <f t="shared" si="1"/>
        <v>-8.4200204638468158E-4</v>
      </c>
    </row>
    <row r="32" spans="1:5" x14ac:dyDescent="0.25">
      <c r="A32" t="s">
        <v>36</v>
      </c>
      <c r="B32">
        <v>33906</v>
      </c>
      <c r="C32" s="5">
        <f t="shared" si="0"/>
        <v>3.7597323781047398E-3</v>
      </c>
      <c r="D32">
        <v>934.77</v>
      </c>
      <c r="E32" s="5">
        <f t="shared" si="1"/>
        <v>-2.8588191370207089E-3</v>
      </c>
    </row>
    <row r="33" spans="1:5" x14ac:dyDescent="0.25">
      <c r="A33" t="s">
        <v>37</v>
      </c>
      <c r="B33">
        <v>34347</v>
      </c>
      <c r="C33" s="5">
        <f t="shared" si="0"/>
        <v>1.3006547513714387E-2</v>
      </c>
      <c r="D33">
        <v>927.93</v>
      </c>
      <c r="E33" s="5">
        <f t="shared" si="1"/>
        <v>-7.3173080008986507E-3</v>
      </c>
    </row>
    <row r="34" spans="1:5" x14ac:dyDescent="0.25">
      <c r="A34" t="s">
        <v>38</v>
      </c>
      <c r="B34">
        <v>34852</v>
      </c>
      <c r="C34" s="5">
        <f t="shared" si="0"/>
        <v>1.4702885259265729E-2</v>
      </c>
      <c r="D34">
        <v>928.76</v>
      </c>
      <c r="E34" s="5">
        <f t="shared" si="1"/>
        <v>8.9446402207067448E-4</v>
      </c>
    </row>
    <row r="35" spans="1:5" x14ac:dyDescent="0.25">
      <c r="A35" t="s">
        <v>39</v>
      </c>
      <c r="B35">
        <v>34883</v>
      </c>
      <c r="C35" s="5">
        <f t="shared" si="0"/>
        <v>8.8947549638471245E-4</v>
      </c>
      <c r="D35">
        <v>938.13</v>
      </c>
      <c r="E35" s="5">
        <f t="shared" si="1"/>
        <v>1.0088720444463592E-2</v>
      </c>
    </row>
    <row r="36" spans="1:5" x14ac:dyDescent="0.25">
      <c r="A36" t="s">
        <v>40</v>
      </c>
      <c r="B36">
        <v>34883</v>
      </c>
      <c r="C36" s="5">
        <f t="shared" si="0"/>
        <v>0</v>
      </c>
      <c r="D36">
        <v>933.09</v>
      </c>
      <c r="E36" s="5">
        <f t="shared" si="1"/>
        <v>-5.3723897540852161E-3</v>
      </c>
    </row>
    <row r="37" spans="1:5" x14ac:dyDescent="0.25">
      <c r="A37" t="s">
        <v>41</v>
      </c>
      <c r="B37">
        <v>33496</v>
      </c>
      <c r="C37" s="5">
        <f t="shared" si="0"/>
        <v>-3.9761488404093687E-2</v>
      </c>
      <c r="D37">
        <v>903.34</v>
      </c>
      <c r="E37" s="5">
        <f t="shared" si="1"/>
        <v>-3.1883312435027705E-2</v>
      </c>
    </row>
    <row r="38" spans="1:5" x14ac:dyDescent="0.25">
      <c r="A38" t="s">
        <v>42</v>
      </c>
      <c r="B38">
        <v>33748</v>
      </c>
      <c r="C38" s="5">
        <f t="shared" si="0"/>
        <v>7.5232863625507521E-3</v>
      </c>
      <c r="D38">
        <v>909.67</v>
      </c>
      <c r="E38" s="5">
        <f t="shared" si="1"/>
        <v>7.0073283592002201E-3</v>
      </c>
    </row>
    <row r="39" spans="1:5" x14ac:dyDescent="0.25">
      <c r="A39" t="s">
        <v>43</v>
      </c>
      <c r="B39">
        <v>33496</v>
      </c>
      <c r="C39" s="5">
        <f t="shared" si="0"/>
        <v>-7.467109162024416E-3</v>
      </c>
      <c r="D39">
        <v>895.97</v>
      </c>
      <c r="E39" s="5">
        <f t="shared" si="1"/>
        <v>-1.5060406521046019E-2</v>
      </c>
    </row>
    <row r="40" spans="1:5" x14ac:dyDescent="0.25">
      <c r="A40" t="s">
        <v>44</v>
      </c>
      <c r="B40">
        <v>34189</v>
      </c>
      <c r="C40" s="5">
        <f t="shared" si="0"/>
        <v>2.0689037497014569E-2</v>
      </c>
      <c r="D40">
        <v>898.44</v>
      </c>
      <c r="E40" s="5">
        <f t="shared" si="1"/>
        <v>2.756788731765603E-3</v>
      </c>
    </row>
    <row r="41" spans="1:5" x14ac:dyDescent="0.25">
      <c r="A41" t="s">
        <v>45</v>
      </c>
      <c r="B41">
        <v>33590</v>
      </c>
      <c r="C41" s="5">
        <f t="shared" si="0"/>
        <v>-1.752025505279476E-2</v>
      </c>
      <c r="D41">
        <v>882.19</v>
      </c>
      <c r="E41" s="5">
        <f t="shared" si="1"/>
        <v>-1.8086906192956678E-2</v>
      </c>
    </row>
    <row r="42" spans="1:5" x14ac:dyDescent="0.25">
      <c r="A42" t="s">
        <v>46</v>
      </c>
      <c r="B42">
        <v>33590</v>
      </c>
      <c r="C42" s="5">
        <f t="shared" si="0"/>
        <v>0</v>
      </c>
      <c r="D42">
        <v>884.43</v>
      </c>
      <c r="E42" s="5">
        <f t="shared" si="1"/>
        <v>2.5391355603666958E-3</v>
      </c>
    </row>
    <row r="43" spans="1:5" x14ac:dyDescent="0.25">
      <c r="A43" t="s">
        <v>47</v>
      </c>
      <c r="B43">
        <v>33559</v>
      </c>
      <c r="C43" s="5">
        <f t="shared" si="0"/>
        <v>-9.2289371836856205E-4</v>
      </c>
      <c r="D43">
        <v>890.61</v>
      </c>
      <c r="E43" s="5">
        <f t="shared" si="1"/>
        <v>6.9875513042299154E-3</v>
      </c>
    </row>
    <row r="44" spans="1:5" x14ac:dyDescent="0.25">
      <c r="A44" t="s">
        <v>48</v>
      </c>
      <c r="B44">
        <v>33432</v>
      </c>
      <c r="C44" s="5">
        <f t="shared" si="0"/>
        <v>-3.7843797490986026E-3</v>
      </c>
      <c r="D44">
        <v>889.37</v>
      </c>
      <c r="E44" s="5">
        <f t="shared" si="1"/>
        <v>-1.392304151087467E-3</v>
      </c>
    </row>
    <row r="45" spans="1:5" x14ac:dyDescent="0.25">
      <c r="A45" t="s">
        <v>49</v>
      </c>
      <c r="B45">
        <v>33275</v>
      </c>
      <c r="C45" s="5">
        <f t="shared" si="0"/>
        <v>-4.6960995453457768E-3</v>
      </c>
      <c r="D45">
        <v>893.31</v>
      </c>
      <c r="E45" s="5">
        <f t="shared" si="1"/>
        <v>4.4301022071802972E-3</v>
      </c>
    </row>
    <row r="46" spans="1:5" x14ac:dyDescent="0.25">
      <c r="A46" t="s">
        <v>50</v>
      </c>
      <c r="B46">
        <v>32518</v>
      </c>
      <c r="C46" s="5">
        <f t="shared" si="0"/>
        <v>-2.2749812171299774E-2</v>
      </c>
      <c r="D46">
        <v>891.44</v>
      </c>
      <c r="E46" s="5">
        <f t="shared" si="1"/>
        <v>-2.093338258834997E-3</v>
      </c>
    </row>
    <row r="47" spans="1:5" x14ac:dyDescent="0.25">
      <c r="A47" t="s">
        <v>51</v>
      </c>
      <c r="B47">
        <v>30247</v>
      </c>
      <c r="C47" s="5">
        <f t="shared" si="0"/>
        <v>-6.9838243434405561E-2</v>
      </c>
      <c r="D47">
        <v>835.49</v>
      </c>
      <c r="E47" s="5">
        <f t="shared" si="1"/>
        <v>-6.2763618415148575E-2</v>
      </c>
    </row>
    <row r="48" spans="1:5" x14ac:dyDescent="0.25">
      <c r="A48" t="s">
        <v>52</v>
      </c>
      <c r="B48">
        <v>29616</v>
      </c>
      <c r="C48" s="5">
        <f t="shared" si="0"/>
        <v>-2.0861573048566801E-2</v>
      </c>
      <c r="D48">
        <v>837.5</v>
      </c>
      <c r="E48" s="5">
        <f t="shared" si="1"/>
        <v>2.4057738572574069E-3</v>
      </c>
    </row>
    <row r="49" spans="1:5" x14ac:dyDescent="0.25">
      <c r="A49" t="s">
        <v>53</v>
      </c>
      <c r="B49">
        <v>27566</v>
      </c>
      <c r="C49" s="5">
        <f t="shared" si="0"/>
        <v>-6.9219340896812531E-2</v>
      </c>
      <c r="D49">
        <v>811.35</v>
      </c>
      <c r="E49" s="5">
        <f t="shared" si="1"/>
        <v>-3.1223880597014898E-2</v>
      </c>
    </row>
    <row r="50" spans="1:5" x14ac:dyDescent="0.25">
      <c r="A50" t="s">
        <v>54</v>
      </c>
      <c r="B50">
        <v>25642</v>
      </c>
      <c r="C50" s="5">
        <f t="shared" si="0"/>
        <v>-6.9796125662047445E-2</v>
      </c>
      <c r="D50">
        <v>769.25</v>
      </c>
      <c r="E50" s="5">
        <f t="shared" si="1"/>
        <v>-5.1888827263203333E-2</v>
      </c>
    </row>
    <row r="51" spans="1:5" x14ac:dyDescent="0.25">
      <c r="A51" t="s">
        <v>55</v>
      </c>
      <c r="B51">
        <v>24917</v>
      </c>
      <c r="C51" s="5">
        <f t="shared" si="0"/>
        <v>-2.8273925590827548E-2</v>
      </c>
      <c r="D51">
        <v>761.78</v>
      </c>
      <c r="E51" s="5">
        <f t="shared" si="1"/>
        <v>-9.7107572310692579E-3</v>
      </c>
    </row>
    <row r="52" spans="1:5" x14ac:dyDescent="0.25">
      <c r="A52" t="s">
        <v>56</v>
      </c>
      <c r="B52">
        <v>23970</v>
      </c>
      <c r="C52" s="5">
        <f t="shared" si="0"/>
        <v>-3.8006180519324154E-2</v>
      </c>
      <c r="D52">
        <v>747.86</v>
      </c>
      <c r="E52" s="5">
        <f t="shared" si="1"/>
        <v>-1.8272992202473103E-2</v>
      </c>
    </row>
    <row r="53" spans="1:5" x14ac:dyDescent="0.25">
      <c r="A53" t="s">
        <v>57</v>
      </c>
      <c r="B53">
        <v>24380</v>
      </c>
      <c r="C53" s="5">
        <f t="shared" si="0"/>
        <v>1.7104714226115977E-2</v>
      </c>
      <c r="D53">
        <v>745.78</v>
      </c>
      <c r="E53" s="5">
        <f t="shared" si="1"/>
        <v>-2.7812692215121023E-3</v>
      </c>
    </row>
    <row r="54" spans="1:5" x14ac:dyDescent="0.25">
      <c r="A54" t="s">
        <v>58</v>
      </c>
      <c r="B54">
        <v>24854</v>
      </c>
      <c r="C54" s="5">
        <f t="shared" si="0"/>
        <v>1.944216570959803E-2</v>
      </c>
      <c r="D54">
        <v>747.66</v>
      </c>
      <c r="E54" s="5">
        <f t="shared" si="1"/>
        <v>2.5208506530075832E-3</v>
      </c>
    </row>
    <row r="55" spans="1:5" x14ac:dyDescent="0.25">
      <c r="A55" t="s">
        <v>59</v>
      </c>
      <c r="B55">
        <v>23844</v>
      </c>
      <c r="C55" s="5">
        <f t="shared" si="0"/>
        <v>-4.0637321960247851E-2</v>
      </c>
      <c r="D55">
        <v>725.94</v>
      </c>
      <c r="E55" s="5">
        <f t="shared" si="1"/>
        <v>-2.9050637990530339E-2</v>
      </c>
    </row>
    <row r="56" spans="1:5" x14ac:dyDescent="0.25">
      <c r="A56" t="s">
        <v>60</v>
      </c>
      <c r="B56">
        <v>24349</v>
      </c>
      <c r="C56" s="5">
        <f t="shared" si="0"/>
        <v>2.1179332326790808E-2</v>
      </c>
      <c r="D56">
        <v>709.73</v>
      </c>
      <c r="E56" s="5">
        <f t="shared" si="1"/>
        <v>-2.2329669118659991E-2</v>
      </c>
    </row>
    <row r="57" spans="1:5" x14ac:dyDescent="0.25">
      <c r="A57" t="s">
        <v>61</v>
      </c>
      <c r="B57">
        <v>22646</v>
      </c>
      <c r="C57" s="5">
        <f t="shared" si="0"/>
        <v>-6.9941270688734652E-2</v>
      </c>
      <c r="D57">
        <v>666.59</v>
      </c>
      <c r="E57" s="5">
        <f t="shared" si="1"/>
        <v>-6.0783678300198644E-2</v>
      </c>
    </row>
    <row r="58" spans="1:5" x14ac:dyDescent="0.25">
      <c r="A58" t="s">
        <v>62</v>
      </c>
      <c r="B58">
        <v>21700</v>
      </c>
      <c r="C58" s="5">
        <f t="shared" si="0"/>
        <v>-4.1773381612646827E-2</v>
      </c>
      <c r="D58">
        <v>659.21</v>
      </c>
      <c r="E58" s="5">
        <f t="shared" si="1"/>
        <v>-1.1071273196417581E-2</v>
      </c>
    </row>
    <row r="59" spans="1:5" x14ac:dyDescent="0.25">
      <c r="A59" t="s">
        <v>63</v>
      </c>
      <c r="B59">
        <v>23024</v>
      </c>
      <c r="C59" s="5">
        <f t="shared" si="0"/>
        <v>6.1013824884792629E-2</v>
      </c>
      <c r="D59">
        <v>690.25</v>
      </c>
      <c r="E59" s="5">
        <f t="shared" si="1"/>
        <v>4.7086664340650113E-2</v>
      </c>
    </row>
    <row r="60" spans="1:5" x14ac:dyDescent="0.25">
      <c r="A60" t="s">
        <v>64</v>
      </c>
      <c r="B60">
        <v>21447</v>
      </c>
      <c r="C60" s="5">
        <f t="shared" si="0"/>
        <v>-6.8493745656706045E-2</v>
      </c>
      <c r="D60">
        <v>694.21</v>
      </c>
      <c r="E60" s="5">
        <f t="shared" si="1"/>
        <v>5.7370517928287384E-3</v>
      </c>
    </row>
    <row r="61" spans="1:5" x14ac:dyDescent="0.25">
      <c r="A61" t="s">
        <v>65</v>
      </c>
      <c r="B61">
        <v>19965</v>
      </c>
      <c r="C61" s="5">
        <f t="shared" si="0"/>
        <v>-6.9100573506784169E-2</v>
      </c>
      <c r="D61">
        <v>696.06</v>
      </c>
      <c r="E61" s="5">
        <f t="shared" si="1"/>
        <v>2.6648996701285044E-3</v>
      </c>
    </row>
    <row r="62" spans="1:5" x14ac:dyDescent="0.25">
      <c r="A62" t="s">
        <v>66</v>
      </c>
      <c r="B62">
        <v>18766</v>
      </c>
      <c r="C62" s="5">
        <f t="shared" si="0"/>
        <v>-6.005509641873278E-2</v>
      </c>
      <c r="D62">
        <v>662.26</v>
      </c>
      <c r="E62" s="5">
        <f t="shared" si="1"/>
        <v>-4.8559032267333213E-2</v>
      </c>
    </row>
    <row r="63" spans="1:5" x14ac:dyDescent="0.25">
      <c r="A63" t="s">
        <v>67</v>
      </c>
      <c r="B63">
        <v>18577</v>
      </c>
      <c r="C63" s="5">
        <f t="shared" si="0"/>
        <v>-1.0071405733773846E-2</v>
      </c>
      <c r="D63">
        <v>662.53</v>
      </c>
      <c r="E63" s="5">
        <f t="shared" si="1"/>
        <v>4.0769486304469816E-4</v>
      </c>
    </row>
    <row r="64" spans="1:5" x14ac:dyDescent="0.25">
      <c r="A64" t="s">
        <v>68</v>
      </c>
      <c r="B64">
        <v>19302</v>
      </c>
      <c r="C64" s="5">
        <f t="shared" si="0"/>
        <v>3.9026753512407815E-2</v>
      </c>
      <c r="D64">
        <v>680.23</v>
      </c>
      <c r="E64" s="5">
        <f t="shared" si="1"/>
        <v>2.6715771361296915E-2</v>
      </c>
    </row>
    <row r="65" spans="1:5" x14ac:dyDescent="0.25">
      <c r="A65" t="s">
        <v>69</v>
      </c>
      <c r="B65">
        <v>20627</v>
      </c>
      <c r="C65" s="5">
        <f t="shared" si="0"/>
        <v>6.8645736193140613E-2</v>
      </c>
      <c r="D65">
        <v>701.8</v>
      </c>
      <c r="E65" s="5">
        <f t="shared" si="1"/>
        <v>3.1709862840509737E-2</v>
      </c>
    </row>
    <row r="66" spans="1:5" x14ac:dyDescent="0.25">
      <c r="A66" t="s">
        <v>70</v>
      </c>
      <c r="B66">
        <v>22046</v>
      </c>
      <c r="C66" s="5">
        <f t="shared" si="0"/>
        <v>6.8793329131720565E-2</v>
      </c>
      <c r="D66">
        <v>736.75</v>
      </c>
      <c r="E66" s="5">
        <f t="shared" si="1"/>
        <v>4.9800512966657239E-2</v>
      </c>
    </row>
    <row r="67" spans="1:5" x14ac:dyDescent="0.25">
      <c r="A67" t="s">
        <v>71</v>
      </c>
      <c r="B67">
        <v>23529</v>
      </c>
      <c r="C67" s="5">
        <f t="shared" si="0"/>
        <v>6.7268438719042006E-2</v>
      </c>
      <c r="D67">
        <v>746.69</v>
      </c>
      <c r="E67" s="5">
        <f t="shared" si="1"/>
        <v>1.3491686460807674E-2</v>
      </c>
    </row>
    <row r="68" spans="1:5" x14ac:dyDescent="0.25">
      <c r="A68" t="s">
        <v>72</v>
      </c>
      <c r="B68">
        <v>23340</v>
      </c>
      <c r="C68" s="5">
        <f t="shared" si="0"/>
        <v>-8.0326405712099966E-3</v>
      </c>
      <c r="D68">
        <v>748.02</v>
      </c>
      <c r="E68" s="5">
        <f t="shared" si="1"/>
        <v>1.7811943376768501E-3</v>
      </c>
    </row>
    <row r="69" spans="1:5" x14ac:dyDescent="0.25">
      <c r="A69" t="s">
        <v>73</v>
      </c>
      <c r="B69">
        <v>23024</v>
      </c>
      <c r="C69" s="5">
        <f t="shared" si="0"/>
        <v>-1.3538988860325622E-2</v>
      </c>
      <c r="D69">
        <v>760.33</v>
      </c>
      <c r="E69" s="5">
        <f t="shared" si="1"/>
        <v>1.6456779230501938E-2</v>
      </c>
    </row>
    <row r="70" spans="1:5" x14ac:dyDescent="0.25">
      <c r="A70" t="s">
        <v>74</v>
      </c>
      <c r="B70">
        <v>22614</v>
      </c>
      <c r="C70" s="5">
        <f t="shared" ref="C70:C133" si="2">(B70-B69)/B69</f>
        <v>-1.7807505211952745E-2</v>
      </c>
      <c r="D70">
        <v>757.94</v>
      </c>
      <c r="E70" s="5">
        <f t="shared" ref="E70:E133" si="3">(D70-D69)/D69</f>
        <v>-3.1433719569134272E-3</v>
      </c>
    </row>
    <row r="71" spans="1:5" x14ac:dyDescent="0.25">
      <c r="A71" t="s">
        <v>75</v>
      </c>
      <c r="B71">
        <v>23655</v>
      </c>
      <c r="C71" s="5">
        <f t="shared" si="2"/>
        <v>4.6033430618201115E-2</v>
      </c>
      <c r="D71">
        <v>765.79</v>
      </c>
      <c r="E71" s="5">
        <f t="shared" si="3"/>
        <v>1.0357020344618186E-2</v>
      </c>
    </row>
    <row r="72" spans="1:5" x14ac:dyDescent="0.25">
      <c r="A72" t="s">
        <v>76</v>
      </c>
      <c r="B72">
        <v>23592</v>
      </c>
      <c r="C72" s="5">
        <f t="shared" si="2"/>
        <v>-2.6632847178186432E-3</v>
      </c>
      <c r="D72">
        <v>767.41</v>
      </c>
      <c r="E72" s="5">
        <f t="shared" si="3"/>
        <v>2.1154624635996875E-3</v>
      </c>
    </row>
    <row r="73" spans="1:5" x14ac:dyDescent="0.25">
      <c r="A73" t="s">
        <v>77</v>
      </c>
      <c r="B73">
        <v>24223</v>
      </c>
      <c r="C73" s="5">
        <f t="shared" si="2"/>
        <v>2.6746354696507289E-2</v>
      </c>
      <c r="D73">
        <v>777.22</v>
      </c>
      <c r="E73" s="5">
        <f t="shared" si="3"/>
        <v>1.2783257971618899E-2</v>
      </c>
    </row>
    <row r="74" spans="1:5" x14ac:dyDescent="0.25">
      <c r="A74" t="s">
        <v>78</v>
      </c>
      <c r="B74">
        <v>24254</v>
      </c>
      <c r="C74" s="5">
        <f t="shared" si="2"/>
        <v>1.2797754200553192E-3</v>
      </c>
      <c r="D74">
        <v>780.7</v>
      </c>
      <c r="E74" s="5">
        <f t="shared" si="3"/>
        <v>4.4774967190757036E-3</v>
      </c>
    </row>
    <row r="75" spans="1:5" x14ac:dyDescent="0.25">
      <c r="A75" t="s">
        <v>79</v>
      </c>
      <c r="B75">
        <v>25863</v>
      </c>
      <c r="C75" s="5">
        <f t="shared" si="2"/>
        <v>6.6339572853962234E-2</v>
      </c>
      <c r="D75">
        <v>789.6</v>
      </c>
      <c r="E75" s="5">
        <f t="shared" si="3"/>
        <v>1.1400025618035067E-2</v>
      </c>
    </row>
    <row r="76" spans="1:5" x14ac:dyDescent="0.25">
      <c r="A76" t="s">
        <v>80</v>
      </c>
      <c r="B76">
        <v>26588</v>
      </c>
      <c r="C76" s="5">
        <f t="shared" si="2"/>
        <v>2.8032324169663225E-2</v>
      </c>
      <c r="D76">
        <v>794.97</v>
      </c>
      <c r="E76" s="5">
        <f t="shared" si="3"/>
        <v>6.8009118541033494E-3</v>
      </c>
    </row>
    <row r="77" spans="1:5" x14ac:dyDescent="0.25">
      <c r="A77" t="s">
        <v>81</v>
      </c>
      <c r="B77">
        <v>25043</v>
      </c>
      <c r="C77" s="5">
        <f t="shared" si="2"/>
        <v>-5.8108921317887766E-2</v>
      </c>
      <c r="D77">
        <v>766.84</v>
      </c>
      <c r="E77" s="5">
        <f t="shared" si="3"/>
        <v>-3.5384983081122548E-2</v>
      </c>
    </row>
    <row r="78" spans="1:5" x14ac:dyDescent="0.25">
      <c r="A78" t="s">
        <v>82</v>
      </c>
      <c r="B78">
        <v>25863</v>
      </c>
      <c r="C78" s="5">
        <f t="shared" si="2"/>
        <v>3.274368086890548E-2</v>
      </c>
      <c r="D78">
        <v>768.92</v>
      </c>
      <c r="E78" s="5">
        <f t="shared" si="3"/>
        <v>2.712430233164581E-3</v>
      </c>
    </row>
    <row r="79" spans="1:5" x14ac:dyDescent="0.25">
      <c r="A79" t="s">
        <v>83</v>
      </c>
      <c r="B79">
        <v>26336</v>
      </c>
      <c r="C79" s="5">
        <f t="shared" si="2"/>
        <v>1.8288674941035456E-2</v>
      </c>
      <c r="D79">
        <v>773.91</v>
      </c>
      <c r="E79" s="5">
        <f t="shared" si="3"/>
        <v>6.4896218072101252E-3</v>
      </c>
    </row>
    <row r="80" spans="1:5" x14ac:dyDescent="0.25">
      <c r="A80" t="s">
        <v>84</v>
      </c>
      <c r="B80">
        <v>26178</v>
      </c>
      <c r="C80" s="5">
        <f t="shared" si="2"/>
        <v>-5.9993924665856626E-3</v>
      </c>
      <c r="D80">
        <v>776.66</v>
      </c>
      <c r="E80" s="5">
        <f t="shared" si="3"/>
        <v>3.5533847605018674E-3</v>
      </c>
    </row>
    <row r="81" spans="1:5" x14ac:dyDescent="0.25">
      <c r="A81" t="s">
        <v>85</v>
      </c>
      <c r="B81">
        <v>25926</v>
      </c>
      <c r="C81" s="5">
        <f t="shared" si="2"/>
        <v>-9.62640385056154E-3</v>
      </c>
      <c r="D81">
        <v>770.77</v>
      </c>
      <c r="E81" s="5">
        <f t="shared" si="3"/>
        <v>-7.5837560837431909E-3</v>
      </c>
    </row>
    <row r="82" spans="1:5" x14ac:dyDescent="0.25">
      <c r="A82" t="s">
        <v>86</v>
      </c>
      <c r="B82">
        <v>25516</v>
      </c>
      <c r="C82" s="5">
        <f t="shared" si="2"/>
        <v>-1.581424053074134E-2</v>
      </c>
      <c r="D82">
        <v>767.21</v>
      </c>
      <c r="E82" s="5">
        <f t="shared" si="3"/>
        <v>-4.6187578655110416E-3</v>
      </c>
    </row>
    <row r="83" spans="1:5" x14ac:dyDescent="0.25">
      <c r="A83" t="s">
        <v>87</v>
      </c>
      <c r="B83">
        <v>25768</v>
      </c>
      <c r="C83" s="5">
        <f t="shared" si="2"/>
        <v>9.8761561373255993E-3</v>
      </c>
      <c r="D83">
        <v>769.11</v>
      </c>
      <c r="E83" s="5">
        <f t="shared" si="3"/>
        <v>2.4765057806858319E-3</v>
      </c>
    </row>
    <row r="84" spans="1:5" x14ac:dyDescent="0.25">
      <c r="A84" t="s">
        <v>88</v>
      </c>
      <c r="B84">
        <v>25043</v>
      </c>
      <c r="C84" s="5">
        <f t="shared" si="2"/>
        <v>-2.8135672151505742E-2</v>
      </c>
      <c r="D84">
        <v>762.47</v>
      </c>
      <c r="E84" s="5">
        <f t="shared" si="3"/>
        <v>-8.6333554368035609E-3</v>
      </c>
    </row>
    <row r="85" spans="1:5" x14ac:dyDescent="0.25">
      <c r="A85" t="s">
        <v>89</v>
      </c>
      <c r="B85">
        <v>25011</v>
      </c>
      <c r="C85" s="5">
        <f t="shared" si="2"/>
        <v>-1.2778021802499701E-3</v>
      </c>
      <c r="D85">
        <v>764.16</v>
      </c>
      <c r="E85" s="5">
        <f t="shared" si="3"/>
        <v>2.2164806484188766E-3</v>
      </c>
    </row>
    <row r="86" spans="1:5" x14ac:dyDescent="0.25">
      <c r="A86" t="s">
        <v>90</v>
      </c>
      <c r="B86">
        <v>25610</v>
      </c>
      <c r="C86" s="5">
        <f t="shared" si="2"/>
        <v>2.3949462236615888E-2</v>
      </c>
      <c r="D86">
        <v>782.59</v>
      </c>
      <c r="E86" s="5">
        <f t="shared" si="3"/>
        <v>2.4117985762144138E-2</v>
      </c>
    </row>
    <row r="87" spans="1:5" x14ac:dyDescent="0.25">
      <c r="A87" t="s">
        <v>91</v>
      </c>
      <c r="B87">
        <v>26052</v>
      </c>
      <c r="C87" s="5">
        <f t="shared" si="2"/>
        <v>1.7258883248730966E-2</v>
      </c>
      <c r="D87">
        <v>796.54</v>
      </c>
      <c r="E87" s="5">
        <f t="shared" si="3"/>
        <v>1.7825425829616954E-2</v>
      </c>
    </row>
    <row r="88" spans="1:5" x14ac:dyDescent="0.25">
      <c r="A88" t="s">
        <v>92</v>
      </c>
      <c r="B88">
        <v>26431</v>
      </c>
      <c r="C88" s="5">
        <f t="shared" si="2"/>
        <v>1.454782742207892E-2</v>
      </c>
      <c r="D88">
        <v>813.73</v>
      </c>
      <c r="E88" s="5">
        <f t="shared" si="3"/>
        <v>2.1580837120546432E-2</v>
      </c>
    </row>
    <row r="89" spans="1:5" x14ac:dyDescent="0.25">
      <c r="A89" t="s">
        <v>93</v>
      </c>
      <c r="B89">
        <v>26809</v>
      </c>
      <c r="C89" s="5">
        <f t="shared" si="2"/>
        <v>1.4301388521054823E-2</v>
      </c>
      <c r="D89">
        <v>828.33</v>
      </c>
      <c r="E89" s="5">
        <f t="shared" si="3"/>
        <v>1.7942069236724738E-2</v>
      </c>
    </row>
    <row r="90" spans="1:5" x14ac:dyDescent="0.25">
      <c r="A90" t="s">
        <v>94</v>
      </c>
      <c r="B90">
        <v>26273</v>
      </c>
      <c r="C90" s="5">
        <f t="shared" si="2"/>
        <v>-1.9993285836845835E-2</v>
      </c>
      <c r="D90">
        <v>835.32</v>
      </c>
      <c r="E90" s="5">
        <f t="shared" si="3"/>
        <v>8.4386657491579541E-3</v>
      </c>
    </row>
    <row r="91" spans="1:5" x14ac:dyDescent="0.25">
      <c r="A91" t="s">
        <v>95</v>
      </c>
      <c r="B91">
        <v>26462</v>
      </c>
      <c r="C91" s="5">
        <f t="shared" si="2"/>
        <v>7.1936969512427203E-3</v>
      </c>
      <c r="D91">
        <v>834.21</v>
      </c>
      <c r="E91" s="5">
        <f t="shared" si="3"/>
        <v>-1.3288320643585854E-3</v>
      </c>
    </row>
    <row r="92" spans="1:5" x14ac:dyDescent="0.25">
      <c r="A92" t="s">
        <v>96</v>
      </c>
      <c r="B92">
        <v>26178</v>
      </c>
      <c r="C92" s="5">
        <f t="shared" si="2"/>
        <v>-1.0732370947018366E-2</v>
      </c>
      <c r="D92">
        <v>832.4</v>
      </c>
      <c r="E92" s="5">
        <f t="shared" si="3"/>
        <v>-2.1697174572350595E-3</v>
      </c>
    </row>
    <row r="93" spans="1:5" x14ac:dyDescent="0.25">
      <c r="A93" t="s">
        <v>97</v>
      </c>
      <c r="B93">
        <v>25894</v>
      </c>
      <c r="C93" s="5">
        <f t="shared" si="2"/>
        <v>-1.0848804339521735E-2</v>
      </c>
      <c r="D93">
        <v>827.03</v>
      </c>
      <c r="E93" s="5">
        <f t="shared" si="3"/>
        <v>-6.4512253724171124E-3</v>
      </c>
    </row>
    <row r="94" spans="1:5" x14ac:dyDescent="0.25">
      <c r="A94" t="s">
        <v>98</v>
      </c>
      <c r="B94">
        <v>26967</v>
      </c>
      <c r="C94" s="5">
        <f t="shared" si="2"/>
        <v>4.1438171004865992E-2</v>
      </c>
      <c r="D94">
        <v>837.01</v>
      </c>
      <c r="E94" s="5">
        <f t="shared" si="3"/>
        <v>1.2067276882338027E-2</v>
      </c>
    </row>
    <row r="95" spans="1:5" x14ac:dyDescent="0.25">
      <c r="A95" t="s">
        <v>99</v>
      </c>
      <c r="B95">
        <v>27503</v>
      </c>
      <c r="C95" s="5">
        <f t="shared" si="2"/>
        <v>1.9876144917862573E-2</v>
      </c>
      <c r="D95">
        <v>845.92</v>
      </c>
      <c r="E95" s="5">
        <f t="shared" si="3"/>
        <v>1.0645034109508809E-2</v>
      </c>
    </row>
    <row r="96" spans="1:5" x14ac:dyDescent="0.25">
      <c r="A96" t="s">
        <v>100</v>
      </c>
      <c r="B96">
        <v>27282</v>
      </c>
      <c r="C96" s="5">
        <f t="shared" si="2"/>
        <v>-8.0354870377776968E-3</v>
      </c>
      <c r="D96">
        <v>852.91</v>
      </c>
      <c r="E96" s="5">
        <f t="shared" si="3"/>
        <v>8.2631927369018459E-3</v>
      </c>
    </row>
    <row r="97" spans="1:5" x14ac:dyDescent="0.25">
      <c r="A97" t="s">
        <v>101</v>
      </c>
      <c r="B97">
        <v>27440</v>
      </c>
      <c r="C97" s="5">
        <f t="shared" si="2"/>
        <v>5.7913642694817098E-3</v>
      </c>
      <c r="D97">
        <v>862.73</v>
      </c>
      <c r="E97" s="5">
        <f t="shared" si="3"/>
        <v>1.1513524287439531E-2</v>
      </c>
    </row>
    <row r="98" spans="1:5" x14ac:dyDescent="0.25">
      <c r="A98" t="s">
        <v>102</v>
      </c>
      <c r="B98">
        <v>26809</v>
      </c>
      <c r="C98" s="5">
        <f t="shared" si="2"/>
        <v>-2.2995626822157434E-2</v>
      </c>
      <c r="D98">
        <v>852.74</v>
      </c>
      <c r="E98" s="5">
        <f t="shared" si="3"/>
        <v>-1.1579520823432603E-2</v>
      </c>
    </row>
    <row r="99" spans="1:5" x14ac:dyDescent="0.25">
      <c r="A99" t="s">
        <v>103</v>
      </c>
      <c r="B99">
        <v>27156</v>
      </c>
      <c r="C99" s="5">
        <f t="shared" si="2"/>
        <v>1.2943414524972956E-2</v>
      </c>
      <c r="D99">
        <v>859.04</v>
      </c>
      <c r="E99" s="5">
        <f t="shared" si="3"/>
        <v>7.3879494335904903E-3</v>
      </c>
    </row>
    <row r="100" spans="1:5" x14ac:dyDescent="0.25">
      <c r="A100" t="s">
        <v>104</v>
      </c>
      <c r="B100">
        <v>27282</v>
      </c>
      <c r="C100" s="5">
        <f t="shared" si="2"/>
        <v>4.6398585947856827E-3</v>
      </c>
      <c r="D100">
        <v>869.13</v>
      </c>
      <c r="E100" s="5">
        <f t="shared" si="3"/>
        <v>1.1745669584652674E-2</v>
      </c>
    </row>
    <row r="101" spans="1:5" x14ac:dyDescent="0.25">
      <c r="A101" t="s">
        <v>105</v>
      </c>
      <c r="B101">
        <v>26746</v>
      </c>
      <c r="C101" s="5">
        <f t="shared" si="2"/>
        <v>-1.9646653471153141E-2</v>
      </c>
      <c r="D101">
        <v>857.48</v>
      </c>
      <c r="E101" s="5">
        <f t="shared" si="3"/>
        <v>-1.3404208806507631E-2</v>
      </c>
    </row>
    <row r="102" spans="1:5" x14ac:dyDescent="0.25">
      <c r="A102" t="s">
        <v>106</v>
      </c>
      <c r="B102">
        <v>26714</v>
      </c>
      <c r="C102" s="5">
        <f t="shared" si="2"/>
        <v>-1.1964405892469902E-3</v>
      </c>
      <c r="D102">
        <v>861.39</v>
      </c>
      <c r="E102" s="5">
        <f t="shared" si="3"/>
        <v>4.5598731165741105E-3</v>
      </c>
    </row>
    <row r="103" spans="1:5" x14ac:dyDescent="0.25">
      <c r="A103" t="s">
        <v>107</v>
      </c>
      <c r="B103">
        <v>26683</v>
      </c>
      <c r="C103" s="5">
        <f t="shared" si="2"/>
        <v>-1.1604402186119638E-3</v>
      </c>
      <c r="D103">
        <v>864.47</v>
      </c>
      <c r="E103" s="5">
        <f t="shared" si="3"/>
        <v>3.5756161552839491E-3</v>
      </c>
    </row>
    <row r="104" spans="1:5" x14ac:dyDescent="0.25">
      <c r="A104" t="s">
        <v>108</v>
      </c>
      <c r="B104">
        <v>27124</v>
      </c>
      <c r="C104" s="5">
        <f t="shared" si="2"/>
        <v>1.6527376981598771E-2</v>
      </c>
      <c r="D104">
        <v>878.67</v>
      </c>
      <c r="E104" s="5">
        <f t="shared" si="3"/>
        <v>1.6426249609587298E-2</v>
      </c>
    </row>
    <row r="105" spans="1:5" x14ac:dyDescent="0.25">
      <c r="A105" t="s">
        <v>109</v>
      </c>
      <c r="B105">
        <v>26904</v>
      </c>
      <c r="C105" s="5">
        <f t="shared" si="2"/>
        <v>-8.1108980976257183E-3</v>
      </c>
      <c r="D105">
        <v>874.8</v>
      </c>
      <c r="E105" s="5">
        <f t="shared" si="3"/>
        <v>-4.4043838983918934E-3</v>
      </c>
    </row>
    <row r="106" spans="1:5" x14ac:dyDescent="0.25">
      <c r="A106" t="s">
        <v>110</v>
      </c>
      <c r="B106">
        <v>26935</v>
      </c>
      <c r="C106" s="5">
        <f t="shared" si="2"/>
        <v>1.1522450193279809E-3</v>
      </c>
      <c r="D106">
        <v>881.17</v>
      </c>
      <c r="E106" s="5">
        <f t="shared" si="3"/>
        <v>7.281664380429818E-3</v>
      </c>
    </row>
    <row r="107" spans="1:5" x14ac:dyDescent="0.25">
      <c r="A107" t="s">
        <v>111</v>
      </c>
      <c r="B107">
        <v>26967</v>
      </c>
      <c r="C107" s="5">
        <f t="shared" si="2"/>
        <v>1.1880452942268423E-3</v>
      </c>
      <c r="D107">
        <v>883.9</v>
      </c>
      <c r="E107" s="5">
        <f t="shared" si="3"/>
        <v>3.0981535912480208E-3</v>
      </c>
    </row>
    <row r="108" spans="1:5" x14ac:dyDescent="0.25">
      <c r="A108" t="s">
        <v>112</v>
      </c>
      <c r="B108">
        <v>27156</v>
      </c>
      <c r="C108" s="5">
        <f t="shared" si="2"/>
        <v>7.0085660251418399E-3</v>
      </c>
      <c r="D108">
        <v>886.22</v>
      </c>
      <c r="E108" s="5">
        <f t="shared" si="3"/>
        <v>2.6247313044462611E-3</v>
      </c>
    </row>
    <row r="109" spans="1:5" x14ac:dyDescent="0.25">
      <c r="A109" t="s">
        <v>113</v>
      </c>
      <c r="B109">
        <v>28418</v>
      </c>
      <c r="C109" s="5">
        <f t="shared" si="2"/>
        <v>4.6472234496980409E-2</v>
      </c>
      <c r="D109">
        <v>899.92</v>
      </c>
      <c r="E109" s="5">
        <f t="shared" si="3"/>
        <v>1.5458915393468813E-2</v>
      </c>
    </row>
    <row r="110" spans="1:5" x14ac:dyDescent="0.25">
      <c r="A110" t="s">
        <v>114</v>
      </c>
      <c r="B110">
        <v>27976</v>
      </c>
      <c r="C110" s="5">
        <f t="shared" si="2"/>
        <v>-1.555352241537054E-2</v>
      </c>
      <c r="D110">
        <v>903.1</v>
      </c>
      <c r="E110" s="5">
        <f t="shared" si="3"/>
        <v>3.5336474353276554E-3</v>
      </c>
    </row>
    <row r="111" spans="1:5" x14ac:dyDescent="0.25">
      <c r="A111" t="s">
        <v>115</v>
      </c>
      <c r="B111">
        <v>28197</v>
      </c>
      <c r="C111" s="5">
        <f t="shared" si="2"/>
        <v>7.8996282527881035E-3</v>
      </c>
      <c r="D111">
        <v>900.68</v>
      </c>
      <c r="E111" s="5">
        <f t="shared" si="3"/>
        <v>-2.6796589524970354E-3</v>
      </c>
    </row>
    <row r="112" spans="1:5" x14ac:dyDescent="0.25">
      <c r="A112" t="s">
        <v>116</v>
      </c>
      <c r="B112">
        <v>26241</v>
      </c>
      <c r="C112" s="5">
        <f t="shared" si="2"/>
        <v>-6.9369081817214601E-2</v>
      </c>
      <c r="D112">
        <v>867.37</v>
      </c>
      <c r="E112" s="5">
        <f t="shared" si="3"/>
        <v>-3.6983168272860446E-2</v>
      </c>
    </row>
    <row r="113" spans="1:5" x14ac:dyDescent="0.25">
      <c r="A113" t="s">
        <v>117</v>
      </c>
      <c r="B113">
        <v>27124</v>
      </c>
      <c r="C113" s="5">
        <f t="shared" si="2"/>
        <v>3.3649632254868334E-2</v>
      </c>
      <c r="D113">
        <v>863.52</v>
      </c>
      <c r="E113" s="5">
        <f t="shared" si="3"/>
        <v>-4.4387055120652351E-3</v>
      </c>
    </row>
    <row r="114" spans="1:5" x14ac:dyDescent="0.25">
      <c r="A114" t="s">
        <v>118</v>
      </c>
      <c r="B114">
        <v>26021</v>
      </c>
      <c r="C114" s="5">
        <f t="shared" si="2"/>
        <v>-4.0665093644005307E-2</v>
      </c>
      <c r="D114">
        <v>832.47</v>
      </c>
      <c r="E114" s="5">
        <f t="shared" si="3"/>
        <v>-3.5957476375764262E-2</v>
      </c>
    </row>
    <row r="115" spans="1:5" x14ac:dyDescent="0.25">
      <c r="A115" t="s">
        <v>119</v>
      </c>
      <c r="B115">
        <v>26620</v>
      </c>
      <c r="C115" s="5">
        <f t="shared" si="2"/>
        <v>2.3019868567695324E-2</v>
      </c>
      <c r="D115">
        <v>856.13</v>
      </c>
      <c r="E115" s="5">
        <f t="shared" si="3"/>
        <v>2.8421444616622781E-2</v>
      </c>
    </row>
    <row r="116" spans="1:5" x14ac:dyDescent="0.25">
      <c r="A116" t="s">
        <v>120</v>
      </c>
      <c r="B116">
        <v>26431</v>
      </c>
      <c r="C116" s="5">
        <f t="shared" si="2"/>
        <v>-7.0999248685199101E-3</v>
      </c>
      <c r="D116">
        <v>854.44</v>
      </c>
      <c r="E116" s="5">
        <f t="shared" si="3"/>
        <v>-1.9739992758108474E-3</v>
      </c>
    </row>
    <row r="117" spans="1:5" x14ac:dyDescent="0.25">
      <c r="A117" t="s">
        <v>121</v>
      </c>
      <c r="B117">
        <v>26431</v>
      </c>
      <c r="C117" s="5">
        <f t="shared" si="2"/>
        <v>0</v>
      </c>
      <c r="D117">
        <v>855.27</v>
      </c>
      <c r="E117" s="5">
        <f t="shared" si="3"/>
        <v>9.7139647020262068E-4</v>
      </c>
    </row>
    <row r="118" spans="1:5" x14ac:dyDescent="0.25">
      <c r="A118" t="s">
        <v>122</v>
      </c>
      <c r="B118">
        <v>26651</v>
      </c>
      <c r="C118" s="5">
        <f t="shared" si="2"/>
        <v>8.3235594566985743E-3</v>
      </c>
      <c r="D118">
        <v>868.56</v>
      </c>
      <c r="E118" s="5">
        <f t="shared" si="3"/>
        <v>1.553895261145599E-2</v>
      </c>
    </row>
    <row r="119" spans="1:5" x14ac:dyDescent="0.25">
      <c r="A119" t="s">
        <v>123</v>
      </c>
      <c r="B119">
        <v>27093</v>
      </c>
      <c r="C119" s="5">
        <f t="shared" si="2"/>
        <v>1.6584743536827887E-2</v>
      </c>
      <c r="D119">
        <v>871.28</v>
      </c>
      <c r="E119" s="5">
        <f t="shared" si="3"/>
        <v>3.1316201528967802E-3</v>
      </c>
    </row>
    <row r="120" spans="1:5" x14ac:dyDescent="0.25">
      <c r="A120" t="s">
        <v>124</v>
      </c>
      <c r="B120">
        <v>26904</v>
      </c>
      <c r="C120" s="5">
        <f t="shared" si="2"/>
        <v>-6.9759716531945523E-3</v>
      </c>
      <c r="D120">
        <v>868.2</v>
      </c>
      <c r="E120" s="5">
        <f t="shared" si="3"/>
        <v>-3.5350289229638316E-3</v>
      </c>
    </row>
    <row r="121" spans="1:5" x14ac:dyDescent="0.25">
      <c r="A121" t="s">
        <v>125</v>
      </c>
      <c r="B121">
        <v>26809</v>
      </c>
      <c r="C121" s="5">
        <f t="shared" si="2"/>
        <v>-3.5310734463276836E-3</v>
      </c>
      <c r="D121">
        <v>859.71</v>
      </c>
      <c r="E121" s="5">
        <f t="shared" si="3"/>
        <v>-9.7788527988942747E-3</v>
      </c>
    </row>
    <row r="122" spans="1:5" x14ac:dyDescent="0.25">
      <c r="A122" t="s">
        <v>126</v>
      </c>
      <c r="B122">
        <v>26367</v>
      </c>
      <c r="C122" s="5">
        <f t="shared" si="2"/>
        <v>-1.6487000634115408E-2</v>
      </c>
      <c r="D122">
        <v>854.59</v>
      </c>
      <c r="E122" s="5">
        <f t="shared" si="3"/>
        <v>-5.9554966209535822E-3</v>
      </c>
    </row>
    <row r="123" spans="1:5" x14ac:dyDescent="0.25">
      <c r="A123" t="s">
        <v>127</v>
      </c>
      <c r="B123">
        <v>26557</v>
      </c>
      <c r="C123" s="5">
        <f t="shared" si="2"/>
        <v>7.2059771684302347E-3</v>
      </c>
      <c r="D123">
        <v>851.98</v>
      </c>
      <c r="E123" s="5">
        <f t="shared" si="3"/>
        <v>-3.0540961162662957E-3</v>
      </c>
    </row>
    <row r="124" spans="1:5" x14ac:dyDescent="0.25">
      <c r="A124" t="s">
        <v>128</v>
      </c>
      <c r="B124">
        <v>25705</v>
      </c>
      <c r="C124" s="5">
        <f t="shared" si="2"/>
        <v>-3.2081936965771739E-2</v>
      </c>
      <c r="D124">
        <v>829.36</v>
      </c>
      <c r="E124" s="5">
        <f t="shared" si="3"/>
        <v>-2.6549919012183388E-2</v>
      </c>
    </row>
    <row r="125" spans="1:5" x14ac:dyDescent="0.25">
      <c r="A125" t="s">
        <v>129</v>
      </c>
      <c r="B125">
        <v>25484</v>
      </c>
      <c r="C125" s="5">
        <f t="shared" si="2"/>
        <v>-8.5975491149581796E-3</v>
      </c>
      <c r="D125">
        <v>825.11</v>
      </c>
      <c r="E125" s="5">
        <f t="shared" si="3"/>
        <v>-5.1244332979646957E-3</v>
      </c>
    </row>
    <row r="126" spans="1:5" x14ac:dyDescent="0.25">
      <c r="A126" t="s">
        <v>130</v>
      </c>
      <c r="B126">
        <v>25863</v>
      </c>
      <c r="C126" s="5">
        <f t="shared" si="2"/>
        <v>1.4872076597080522E-2</v>
      </c>
      <c r="D126">
        <v>843.49</v>
      </c>
      <c r="E126" s="5">
        <f t="shared" si="3"/>
        <v>2.2275817769751904E-2</v>
      </c>
    </row>
    <row r="127" spans="1:5" x14ac:dyDescent="0.25">
      <c r="A127" t="s">
        <v>131</v>
      </c>
      <c r="B127">
        <v>25800</v>
      </c>
      <c r="C127" s="5">
        <f t="shared" si="2"/>
        <v>-2.4359123071569424E-3</v>
      </c>
      <c r="D127">
        <v>842.38</v>
      </c>
      <c r="E127" s="5">
        <f t="shared" si="3"/>
        <v>-1.3159610665212553E-3</v>
      </c>
    </row>
    <row r="128" spans="1:5" x14ac:dyDescent="0.25">
      <c r="A128" t="s">
        <v>132</v>
      </c>
      <c r="B128">
        <v>25768</v>
      </c>
      <c r="C128" s="5">
        <f t="shared" si="2"/>
        <v>-1.2403100775193799E-3</v>
      </c>
      <c r="D128">
        <v>847.61</v>
      </c>
      <c r="E128" s="5">
        <f t="shared" si="3"/>
        <v>6.208599444431276E-3</v>
      </c>
    </row>
    <row r="129" spans="1:5" x14ac:dyDescent="0.25">
      <c r="A129" t="s">
        <v>133</v>
      </c>
      <c r="B129">
        <v>26336</v>
      </c>
      <c r="C129" s="5">
        <f t="shared" si="2"/>
        <v>2.2042843837317604E-2</v>
      </c>
      <c r="D129">
        <v>861.16</v>
      </c>
      <c r="E129" s="5">
        <f t="shared" si="3"/>
        <v>1.5986125694600058E-2</v>
      </c>
    </row>
    <row r="130" spans="1:5" x14ac:dyDescent="0.25">
      <c r="A130" t="s">
        <v>134</v>
      </c>
      <c r="B130">
        <v>26399</v>
      </c>
      <c r="C130" s="5">
        <f t="shared" si="2"/>
        <v>2.3921628189550424E-3</v>
      </c>
      <c r="D130">
        <v>863.42</v>
      </c>
      <c r="E130" s="5">
        <f t="shared" si="3"/>
        <v>2.6243671327047134E-3</v>
      </c>
    </row>
    <row r="131" spans="1:5" x14ac:dyDescent="0.25">
      <c r="A131" t="s">
        <v>135</v>
      </c>
      <c r="B131">
        <v>26367</v>
      </c>
      <c r="C131" s="5">
        <f t="shared" si="2"/>
        <v>-1.21216712754271E-3</v>
      </c>
      <c r="D131">
        <v>864.5</v>
      </c>
      <c r="E131" s="5">
        <f t="shared" si="3"/>
        <v>1.2508396840472088E-3</v>
      </c>
    </row>
    <row r="132" spans="1:5" x14ac:dyDescent="0.25">
      <c r="A132" t="s">
        <v>136</v>
      </c>
      <c r="B132">
        <v>26494</v>
      </c>
      <c r="C132" s="5">
        <f t="shared" si="2"/>
        <v>4.8166268441612618E-3</v>
      </c>
      <c r="D132">
        <v>876.46</v>
      </c>
      <c r="E132" s="5">
        <f t="shared" si="3"/>
        <v>1.3834586466165456E-2</v>
      </c>
    </row>
    <row r="133" spans="1:5" x14ac:dyDescent="0.25">
      <c r="A133" t="s">
        <v>137</v>
      </c>
      <c r="B133">
        <v>26147</v>
      </c>
      <c r="C133" s="5">
        <f t="shared" si="2"/>
        <v>-1.3097305050200046E-2</v>
      </c>
      <c r="D133">
        <v>871.21</v>
      </c>
      <c r="E133" s="5">
        <f t="shared" si="3"/>
        <v>-5.9900052483855505E-3</v>
      </c>
    </row>
    <row r="134" spans="1:5" x14ac:dyDescent="0.25">
      <c r="A134" t="s">
        <v>138</v>
      </c>
      <c r="B134">
        <v>26115</v>
      </c>
      <c r="C134" s="5">
        <f t="shared" ref="C134:C197" si="4">(B134-B133)/B133</f>
        <v>-1.223849772440433E-3</v>
      </c>
      <c r="D134">
        <v>868.72</v>
      </c>
      <c r="E134" s="5">
        <f t="shared" ref="E134:E197" si="5">(D134-D133)/D133</f>
        <v>-2.8580939153591087E-3</v>
      </c>
    </row>
    <row r="135" spans="1:5" x14ac:dyDescent="0.25">
      <c r="A135" t="s">
        <v>139</v>
      </c>
      <c r="B135">
        <v>26147</v>
      </c>
      <c r="C135" s="5">
        <f t="shared" si="4"/>
        <v>1.2253494160444189E-3</v>
      </c>
      <c r="D135">
        <v>868.11</v>
      </c>
      <c r="E135" s="5">
        <f t="shared" si="5"/>
        <v>-7.0218252141082704E-4</v>
      </c>
    </row>
    <row r="136" spans="1:5" x14ac:dyDescent="0.25">
      <c r="A136" t="s">
        <v>140</v>
      </c>
      <c r="B136">
        <v>26683</v>
      </c>
      <c r="C136" s="5">
        <f t="shared" si="4"/>
        <v>2.0499483688377253E-2</v>
      </c>
      <c r="D136">
        <v>869.91</v>
      </c>
      <c r="E136" s="5">
        <f t="shared" si="5"/>
        <v>2.0734699519645602E-3</v>
      </c>
    </row>
    <row r="137" spans="1:5" x14ac:dyDescent="0.25">
      <c r="A137" t="s">
        <v>141</v>
      </c>
      <c r="B137">
        <v>26746</v>
      </c>
      <c r="C137" s="5">
        <f t="shared" si="4"/>
        <v>2.3610538545141102E-3</v>
      </c>
      <c r="D137">
        <v>876.83</v>
      </c>
      <c r="E137" s="5">
        <f t="shared" si="5"/>
        <v>7.9548459035993068E-3</v>
      </c>
    </row>
    <row r="138" spans="1:5" x14ac:dyDescent="0.25">
      <c r="A138" t="s">
        <v>142</v>
      </c>
      <c r="B138">
        <v>26494</v>
      </c>
      <c r="C138" s="5">
        <f t="shared" si="4"/>
        <v>-9.4219696403200475E-3</v>
      </c>
      <c r="D138">
        <v>872.02</v>
      </c>
      <c r="E138" s="5">
        <f t="shared" si="5"/>
        <v>-5.4856699702337496E-3</v>
      </c>
    </row>
    <row r="139" spans="1:5" x14ac:dyDescent="0.25">
      <c r="A139" t="s">
        <v>143</v>
      </c>
      <c r="B139">
        <v>26273</v>
      </c>
      <c r="C139" s="5">
        <f t="shared" si="4"/>
        <v>-8.3415112855740915E-3</v>
      </c>
      <c r="D139">
        <v>861.4</v>
      </c>
      <c r="E139" s="5">
        <f t="shared" si="5"/>
        <v>-1.217861975642761E-2</v>
      </c>
    </row>
    <row r="140" spans="1:5" x14ac:dyDescent="0.25">
      <c r="A140" t="s">
        <v>144</v>
      </c>
      <c r="B140">
        <v>26399</v>
      </c>
      <c r="C140" s="5">
        <f t="shared" si="4"/>
        <v>4.7957979674951474E-3</v>
      </c>
      <c r="D140">
        <v>861.69</v>
      </c>
      <c r="E140" s="5">
        <f t="shared" si="5"/>
        <v>3.3666124912941413E-4</v>
      </c>
    </row>
    <row r="141" spans="1:5" x14ac:dyDescent="0.25">
      <c r="A141" t="s">
        <v>145</v>
      </c>
      <c r="B141">
        <v>26241</v>
      </c>
      <c r="C141" s="5">
        <f t="shared" si="4"/>
        <v>-5.9850751922421305E-3</v>
      </c>
      <c r="D141">
        <v>855.08</v>
      </c>
      <c r="E141" s="5">
        <f t="shared" si="5"/>
        <v>-7.6709721593612706E-3</v>
      </c>
    </row>
    <row r="142" spans="1:5" x14ac:dyDescent="0.25">
      <c r="A142" t="s">
        <v>146</v>
      </c>
      <c r="B142">
        <v>26178</v>
      </c>
      <c r="C142" s="5">
        <f t="shared" si="4"/>
        <v>-2.4008231393620669E-3</v>
      </c>
      <c r="D142">
        <v>856.75</v>
      </c>
      <c r="E142" s="5">
        <f t="shared" si="5"/>
        <v>1.9530336342797854E-3</v>
      </c>
    </row>
    <row r="143" spans="1:5" x14ac:dyDescent="0.25">
      <c r="A143" t="s">
        <v>147</v>
      </c>
      <c r="B143">
        <v>24980</v>
      </c>
      <c r="C143" s="5">
        <f t="shared" si="4"/>
        <v>-4.5763618305447319E-2</v>
      </c>
      <c r="D143">
        <v>829.16</v>
      </c>
      <c r="E143" s="5">
        <f t="shared" si="5"/>
        <v>-3.2203093084330357E-2</v>
      </c>
    </row>
    <row r="144" spans="1:5" x14ac:dyDescent="0.25">
      <c r="A144" t="s">
        <v>148</v>
      </c>
      <c r="B144">
        <v>23245</v>
      </c>
      <c r="C144" s="5">
        <f t="shared" si="4"/>
        <v>-6.9455564451561244E-2</v>
      </c>
      <c r="D144">
        <v>785.17</v>
      </c>
      <c r="E144" s="5">
        <f t="shared" si="5"/>
        <v>-5.3053692894013231E-2</v>
      </c>
    </row>
    <row r="145" spans="1:5" x14ac:dyDescent="0.25">
      <c r="A145" t="s">
        <v>149</v>
      </c>
      <c r="B145">
        <v>23970</v>
      </c>
      <c r="C145" s="5">
        <f t="shared" si="4"/>
        <v>3.1189503118950312E-2</v>
      </c>
      <c r="D145">
        <v>813.36</v>
      </c>
      <c r="E145" s="5">
        <f t="shared" si="5"/>
        <v>3.5903052842059753E-2</v>
      </c>
    </row>
    <row r="146" spans="1:5" x14ac:dyDescent="0.25">
      <c r="A146" t="s">
        <v>150</v>
      </c>
      <c r="B146">
        <v>23024</v>
      </c>
      <c r="C146" s="5">
        <f t="shared" si="4"/>
        <v>-3.9465999165623697E-2</v>
      </c>
      <c r="D146">
        <v>790.84</v>
      </c>
      <c r="E146" s="5">
        <f t="shared" si="5"/>
        <v>-2.7687616799449175E-2</v>
      </c>
    </row>
    <row r="147" spans="1:5" x14ac:dyDescent="0.25">
      <c r="A147" t="s">
        <v>151</v>
      </c>
      <c r="B147">
        <v>23434</v>
      </c>
      <c r="C147" s="5">
        <f t="shared" si="4"/>
        <v>1.7807505211952745E-2</v>
      </c>
      <c r="D147">
        <v>801.13</v>
      </c>
      <c r="E147" s="5">
        <f t="shared" si="5"/>
        <v>1.3011481462748423E-2</v>
      </c>
    </row>
    <row r="148" spans="1:5" x14ac:dyDescent="0.25">
      <c r="A148" t="s">
        <v>152</v>
      </c>
      <c r="B148">
        <v>23497</v>
      </c>
      <c r="C148" s="5">
        <f t="shared" si="4"/>
        <v>2.6884014679525478E-3</v>
      </c>
      <c r="D148">
        <v>798.39</v>
      </c>
      <c r="E148" s="5">
        <f t="shared" si="5"/>
        <v>-3.4201690112715902E-3</v>
      </c>
    </row>
    <row r="149" spans="1:5" x14ac:dyDescent="0.25">
      <c r="A149" t="s">
        <v>153</v>
      </c>
      <c r="B149">
        <v>23970</v>
      </c>
      <c r="C149" s="5">
        <f t="shared" si="4"/>
        <v>2.0130229390986083E-2</v>
      </c>
      <c r="D149">
        <v>814.65</v>
      </c>
      <c r="E149" s="5">
        <f t="shared" si="5"/>
        <v>2.0365986547927692E-2</v>
      </c>
    </row>
    <row r="150" spans="1:5" x14ac:dyDescent="0.25">
      <c r="A150" t="s">
        <v>154</v>
      </c>
      <c r="B150">
        <v>24286</v>
      </c>
      <c r="C150" s="5">
        <f t="shared" si="4"/>
        <v>1.3183145598664998E-2</v>
      </c>
      <c r="D150">
        <v>827.57</v>
      </c>
      <c r="E150" s="5">
        <f t="shared" si="5"/>
        <v>1.5859571595163657E-2</v>
      </c>
    </row>
    <row r="151" spans="1:5" x14ac:dyDescent="0.25">
      <c r="A151" t="s">
        <v>155</v>
      </c>
      <c r="B151">
        <v>24980</v>
      </c>
      <c r="C151" s="5">
        <f t="shared" si="4"/>
        <v>2.8576134398418843E-2</v>
      </c>
      <c r="D151">
        <v>837.8</v>
      </c>
      <c r="E151" s="5">
        <f t="shared" si="5"/>
        <v>1.2361492079219768E-2</v>
      </c>
    </row>
    <row r="152" spans="1:5" x14ac:dyDescent="0.25">
      <c r="A152" t="s">
        <v>156</v>
      </c>
      <c r="B152">
        <v>25011</v>
      </c>
      <c r="C152" s="5">
        <f t="shared" si="4"/>
        <v>1.2409927942353884E-3</v>
      </c>
      <c r="D152">
        <v>840.04</v>
      </c>
      <c r="E152" s="5">
        <f t="shared" si="5"/>
        <v>2.6736691334447471E-3</v>
      </c>
    </row>
    <row r="153" spans="1:5" x14ac:dyDescent="0.25">
      <c r="A153" t="s">
        <v>157</v>
      </c>
      <c r="B153">
        <v>24790</v>
      </c>
      <c r="C153" s="5">
        <f t="shared" si="4"/>
        <v>-8.8361121106713039E-3</v>
      </c>
      <c r="D153">
        <v>841.46</v>
      </c>
      <c r="E153" s="5">
        <f t="shared" si="5"/>
        <v>1.6903956954431609E-3</v>
      </c>
    </row>
    <row r="154" spans="1:5" x14ac:dyDescent="0.25">
      <c r="A154" t="s">
        <v>158</v>
      </c>
      <c r="B154">
        <v>24917</v>
      </c>
      <c r="C154" s="5">
        <f t="shared" si="4"/>
        <v>5.1230334812424365E-3</v>
      </c>
      <c r="D154">
        <v>843.2</v>
      </c>
      <c r="E154" s="5">
        <f t="shared" si="5"/>
        <v>2.0678344781689078E-3</v>
      </c>
    </row>
    <row r="155" spans="1:5" x14ac:dyDescent="0.25">
      <c r="A155" t="s">
        <v>159</v>
      </c>
      <c r="B155">
        <v>25074</v>
      </c>
      <c r="C155" s="5">
        <f t="shared" si="4"/>
        <v>6.3009190512501503E-3</v>
      </c>
      <c r="D155">
        <v>843.08</v>
      </c>
      <c r="E155" s="5">
        <f t="shared" si="5"/>
        <v>-1.4231499051233935E-4</v>
      </c>
    </row>
    <row r="156" spans="1:5" x14ac:dyDescent="0.25">
      <c r="A156" t="s">
        <v>160</v>
      </c>
      <c r="B156">
        <v>25169</v>
      </c>
      <c r="C156" s="5">
        <f t="shared" si="4"/>
        <v>3.7887851958203719E-3</v>
      </c>
      <c r="D156">
        <v>846.92</v>
      </c>
      <c r="E156" s="5">
        <f t="shared" si="5"/>
        <v>4.5547279024528136E-3</v>
      </c>
    </row>
    <row r="157" spans="1:5" x14ac:dyDescent="0.25">
      <c r="A157" t="s">
        <v>161</v>
      </c>
      <c r="B157">
        <v>25926</v>
      </c>
      <c r="C157" s="5">
        <f t="shared" si="4"/>
        <v>3.0076681632166553E-2</v>
      </c>
      <c r="D157">
        <v>855.05</v>
      </c>
      <c r="E157" s="5">
        <f t="shared" si="5"/>
        <v>9.5994899164029614E-3</v>
      </c>
    </row>
    <row r="158" spans="1:5" x14ac:dyDescent="0.25">
      <c r="A158" t="s">
        <v>162</v>
      </c>
      <c r="B158">
        <v>26210</v>
      </c>
      <c r="C158" s="5">
        <f t="shared" si="4"/>
        <v>1.0954254416415954E-2</v>
      </c>
      <c r="D158">
        <v>850.74</v>
      </c>
      <c r="E158" s="5">
        <f t="shared" si="5"/>
        <v>-5.0406408981930242E-3</v>
      </c>
    </row>
    <row r="159" spans="1:5" x14ac:dyDescent="0.25">
      <c r="A159" t="s">
        <v>163</v>
      </c>
      <c r="B159">
        <v>25926</v>
      </c>
      <c r="C159" s="5">
        <f t="shared" si="4"/>
        <v>-1.0835558946966807E-2</v>
      </c>
      <c r="D159">
        <v>850.15</v>
      </c>
      <c r="E159" s="5">
        <f t="shared" si="5"/>
        <v>-6.9351388203215064E-4</v>
      </c>
    </row>
    <row r="160" spans="1:5" x14ac:dyDescent="0.25">
      <c r="A160" t="s">
        <v>164</v>
      </c>
      <c r="B160">
        <v>25674</v>
      </c>
      <c r="C160" s="5">
        <f t="shared" si="4"/>
        <v>-9.7199722286507757E-3</v>
      </c>
      <c r="D160">
        <v>846.43</v>
      </c>
      <c r="E160" s="5">
        <f t="shared" si="5"/>
        <v>-4.3756984061636504E-3</v>
      </c>
    </row>
    <row r="161" spans="1:5" x14ac:dyDescent="0.25">
      <c r="A161" t="s">
        <v>165</v>
      </c>
      <c r="B161">
        <v>25800</v>
      </c>
      <c r="C161" s="5">
        <f t="shared" si="4"/>
        <v>4.9076887123159618E-3</v>
      </c>
      <c r="D161">
        <v>851.21</v>
      </c>
      <c r="E161" s="5">
        <f t="shared" si="5"/>
        <v>5.6472478527463425E-3</v>
      </c>
    </row>
    <row r="162" spans="1:5" x14ac:dyDescent="0.25">
      <c r="A162" t="s">
        <v>166</v>
      </c>
      <c r="B162">
        <v>25768</v>
      </c>
      <c r="C162" s="5">
        <f t="shared" si="4"/>
        <v>-1.2403100775193799E-3</v>
      </c>
      <c r="D162">
        <v>848.21</v>
      </c>
      <c r="E162" s="5">
        <f t="shared" si="5"/>
        <v>-3.5243946852128146E-3</v>
      </c>
    </row>
    <row r="163" spans="1:5" x14ac:dyDescent="0.25">
      <c r="A163" t="s">
        <v>167</v>
      </c>
      <c r="B163">
        <v>25863</v>
      </c>
      <c r="C163" s="5">
        <f t="shared" si="4"/>
        <v>3.6867432474386838E-3</v>
      </c>
      <c r="D163">
        <v>854.78</v>
      </c>
      <c r="E163" s="5">
        <f t="shared" si="5"/>
        <v>7.7457233468126241E-3</v>
      </c>
    </row>
    <row r="164" spans="1:5" x14ac:dyDescent="0.25">
      <c r="A164" t="s">
        <v>168</v>
      </c>
      <c r="B164">
        <v>26525</v>
      </c>
      <c r="C164" s="5">
        <f t="shared" si="4"/>
        <v>2.5596411862506285E-2</v>
      </c>
      <c r="D164">
        <v>868.68</v>
      </c>
      <c r="E164" s="5">
        <f t="shared" si="5"/>
        <v>1.6261494185638384E-2</v>
      </c>
    </row>
    <row r="165" spans="1:5" x14ac:dyDescent="0.25">
      <c r="A165" t="s">
        <v>169</v>
      </c>
      <c r="B165">
        <v>27629</v>
      </c>
      <c r="C165" s="5">
        <f t="shared" si="4"/>
        <v>4.1621112158341189E-2</v>
      </c>
      <c r="D165">
        <v>874.12</v>
      </c>
      <c r="E165" s="5">
        <f t="shared" si="5"/>
        <v>6.2623750978496743E-3</v>
      </c>
    </row>
    <row r="166" spans="1:5" x14ac:dyDescent="0.25">
      <c r="A166" t="s">
        <v>170</v>
      </c>
      <c r="B166">
        <v>27534</v>
      </c>
      <c r="C166" s="5">
        <f t="shared" si="4"/>
        <v>-3.438416156936552E-3</v>
      </c>
      <c r="D166">
        <v>873.47</v>
      </c>
      <c r="E166" s="5">
        <f t="shared" si="5"/>
        <v>-7.4360499702555395E-4</v>
      </c>
    </row>
    <row r="167" spans="1:5" x14ac:dyDescent="0.25">
      <c r="A167" t="s">
        <v>171</v>
      </c>
      <c r="B167">
        <v>28039</v>
      </c>
      <c r="C167" s="5">
        <f t="shared" si="4"/>
        <v>1.8340960267305875E-2</v>
      </c>
      <c r="D167">
        <v>874.71</v>
      </c>
      <c r="E167" s="5">
        <f t="shared" si="5"/>
        <v>1.4196251731599357E-3</v>
      </c>
    </row>
    <row r="168" spans="1:5" x14ac:dyDescent="0.25">
      <c r="A168" t="s">
        <v>172</v>
      </c>
      <c r="B168">
        <v>29269</v>
      </c>
      <c r="C168" s="5">
        <f t="shared" si="4"/>
        <v>4.3867470309212168E-2</v>
      </c>
      <c r="D168">
        <v>878.98</v>
      </c>
      <c r="E168" s="5">
        <f t="shared" si="5"/>
        <v>4.881617907649371E-3</v>
      </c>
    </row>
    <row r="169" spans="1:5" x14ac:dyDescent="0.25">
      <c r="A169" t="s">
        <v>173</v>
      </c>
      <c r="B169">
        <v>29458</v>
      </c>
      <c r="C169" s="5">
        <f t="shared" si="4"/>
        <v>6.457343947521268E-3</v>
      </c>
      <c r="D169">
        <v>881.65</v>
      </c>
      <c r="E169" s="5">
        <f t="shared" si="5"/>
        <v>3.0376117772872636E-3</v>
      </c>
    </row>
    <row r="170" spans="1:5" x14ac:dyDescent="0.25">
      <c r="A170" t="s">
        <v>174</v>
      </c>
      <c r="B170">
        <v>29585</v>
      </c>
      <c r="C170" s="5">
        <f t="shared" si="4"/>
        <v>4.3112227578246997E-3</v>
      </c>
      <c r="D170">
        <v>891.73</v>
      </c>
      <c r="E170" s="5">
        <f t="shared" si="5"/>
        <v>1.1433108376339865E-2</v>
      </c>
    </row>
    <row r="171" spans="1:5" x14ac:dyDescent="0.25">
      <c r="A171" t="s">
        <v>175</v>
      </c>
      <c r="B171">
        <v>29900</v>
      </c>
      <c r="C171" s="5">
        <f t="shared" si="4"/>
        <v>1.0647287476761873E-2</v>
      </c>
      <c r="D171">
        <v>903.97</v>
      </c>
      <c r="E171" s="5">
        <f t="shared" si="5"/>
        <v>1.372612786381529E-2</v>
      </c>
    </row>
    <row r="172" spans="1:5" x14ac:dyDescent="0.25">
      <c r="A172" t="s">
        <v>176</v>
      </c>
      <c r="B172">
        <v>29679</v>
      </c>
      <c r="C172" s="5">
        <f t="shared" si="4"/>
        <v>-7.391304347826087E-3</v>
      </c>
      <c r="D172">
        <v>901.54</v>
      </c>
      <c r="E172" s="5">
        <f t="shared" si="5"/>
        <v>-2.6881423056075572E-3</v>
      </c>
    </row>
    <row r="173" spans="1:5" x14ac:dyDescent="0.25">
      <c r="A173" t="s">
        <v>177</v>
      </c>
      <c r="B173">
        <v>28481</v>
      </c>
      <c r="C173" s="5">
        <f t="shared" si="4"/>
        <v>-4.0365241416489776E-2</v>
      </c>
      <c r="D173">
        <v>888.25</v>
      </c>
      <c r="E173" s="5">
        <f t="shared" si="5"/>
        <v>-1.4741442420746683E-2</v>
      </c>
    </row>
    <row r="174" spans="1:5" x14ac:dyDescent="0.25">
      <c r="A174" t="s">
        <v>178</v>
      </c>
      <c r="B174">
        <v>29364</v>
      </c>
      <c r="C174" s="5">
        <f t="shared" si="4"/>
        <v>3.100312489027773E-2</v>
      </c>
      <c r="D174">
        <v>890.14</v>
      </c>
      <c r="E174" s="5">
        <f t="shared" si="5"/>
        <v>2.1277793414016173E-3</v>
      </c>
    </row>
    <row r="175" spans="1:5" x14ac:dyDescent="0.25">
      <c r="A175" t="s">
        <v>179</v>
      </c>
      <c r="B175">
        <v>29458</v>
      </c>
      <c r="C175" s="5">
        <f t="shared" si="4"/>
        <v>3.2011987467647461E-3</v>
      </c>
      <c r="D175">
        <v>889.32</v>
      </c>
      <c r="E175" s="5">
        <f t="shared" si="5"/>
        <v>-9.2120340620569386E-4</v>
      </c>
    </row>
    <row r="176" spans="1:5" x14ac:dyDescent="0.25">
      <c r="A176" t="s">
        <v>180</v>
      </c>
      <c r="B176">
        <v>29616</v>
      </c>
      <c r="C176" s="5">
        <f t="shared" si="4"/>
        <v>5.3635684703645867E-3</v>
      </c>
      <c r="D176">
        <v>888.82</v>
      </c>
      <c r="E176" s="5">
        <f t="shared" si="5"/>
        <v>-5.6222731974992131E-4</v>
      </c>
    </row>
    <row r="177" spans="1:5" x14ac:dyDescent="0.25">
      <c r="A177" t="s">
        <v>181</v>
      </c>
      <c r="B177">
        <v>29458</v>
      </c>
      <c r="C177" s="5">
        <f t="shared" si="4"/>
        <v>-5.3349540788762834E-3</v>
      </c>
      <c r="D177">
        <v>888.97</v>
      </c>
      <c r="E177" s="5">
        <f t="shared" si="5"/>
        <v>1.6876307913860766E-4</v>
      </c>
    </row>
    <row r="178" spans="1:5" x14ac:dyDescent="0.25">
      <c r="A178" t="s">
        <v>182</v>
      </c>
      <c r="B178">
        <v>29332</v>
      </c>
      <c r="C178" s="5">
        <f t="shared" si="4"/>
        <v>-4.2772761219363161E-3</v>
      </c>
      <c r="D178">
        <v>894.57</v>
      </c>
      <c r="E178" s="5">
        <f t="shared" si="5"/>
        <v>6.299425177452583E-3</v>
      </c>
    </row>
    <row r="179" spans="1:5" x14ac:dyDescent="0.25">
      <c r="A179" t="s">
        <v>183</v>
      </c>
      <c r="B179">
        <v>29301</v>
      </c>
      <c r="C179" s="5">
        <f t="shared" si="4"/>
        <v>-1.0568662211918724E-3</v>
      </c>
      <c r="D179">
        <v>896.26</v>
      </c>
      <c r="E179" s="5">
        <f t="shared" si="5"/>
        <v>1.8891758051353619E-3</v>
      </c>
    </row>
    <row r="180" spans="1:5" x14ac:dyDescent="0.25">
      <c r="A180" t="s">
        <v>184</v>
      </c>
      <c r="B180">
        <v>29837</v>
      </c>
      <c r="C180" s="5">
        <f t="shared" si="4"/>
        <v>1.8292891027609979E-2</v>
      </c>
      <c r="D180">
        <v>897.47</v>
      </c>
      <c r="E180" s="5">
        <f t="shared" si="5"/>
        <v>1.3500546716355036E-3</v>
      </c>
    </row>
    <row r="181" spans="1:5" x14ac:dyDescent="0.25">
      <c r="A181" t="s">
        <v>185</v>
      </c>
      <c r="B181">
        <v>29711</v>
      </c>
      <c r="C181" s="5">
        <f t="shared" si="4"/>
        <v>-4.2229446660187013E-3</v>
      </c>
      <c r="D181">
        <v>894.04</v>
      </c>
      <c r="E181" s="5">
        <f t="shared" si="5"/>
        <v>-3.8218547695188293E-3</v>
      </c>
    </row>
    <row r="182" spans="1:5" x14ac:dyDescent="0.25">
      <c r="A182" t="s">
        <v>186</v>
      </c>
      <c r="B182">
        <v>29805</v>
      </c>
      <c r="C182" s="5">
        <f t="shared" si="4"/>
        <v>3.1638113829894651E-3</v>
      </c>
      <c r="D182">
        <v>900.95</v>
      </c>
      <c r="E182" s="5">
        <f t="shared" si="5"/>
        <v>7.7289606729006336E-3</v>
      </c>
    </row>
    <row r="183" spans="1:5" x14ac:dyDescent="0.25">
      <c r="A183" t="s">
        <v>187</v>
      </c>
      <c r="B183">
        <v>31035</v>
      </c>
      <c r="C183" s="5">
        <f t="shared" si="4"/>
        <v>4.1268243583291397E-2</v>
      </c>
      <c r="D183">
        <v>907.94</v>
      </c>
      <c r="E183" s="5">
        <f t="shared" si="5"/>
        <v>7.7584771629946262E-3</v>
      </c>
    </row>
    <row r="184" spans="1:5" x14ac:dyDescent="0.25">
      <c r="A184" t="s">
        <v>188</v>
      </c>
      <c r="B184">
        <v>31414</v>
      </c>
      <c r="C184" s="5">
        <f t="shared" si="4"/>
        <v>1.2212018688577412E-2</v>
      </c>
      <c r="D184">
        <v>906.19</v>
      </c>
      <c r="E184" s="5">
        <f t="shared" si="5"/>
        <v>-1.9274401392162476E-3</v>
      </c>
    </row>
    <row r="185" spans="1:5" x14ac:dyDescent="0.25">
      <c r="A185" t="s">
        <v>189</v>
      </c>
      <c r="B185">
        <v>32139</v>
      </c>
      <c r="C185" s="5">
        <f t="shared" si="4"/>
        <v>2.3078882027121665E-2</v>
      </c>
      <c r="D185">
        <v>912.5</v>
      </c>
      <c r="E185" s="5">
        <f t="shared" si="5"/>
        <v>6.9632196338515603E-3</v>
      </c>
    </row>
    <row r="186" spans="1:5" x14ac:dyDescent="0.25">
      <c r="A186" t="s">
        <v>190</v>
      </c>
      <c r="B186">
        <v>31918</v>
      </c>
      <c r="C186" s="5">
        <f t="shared" si="4"/>
        <v>-6.8763807212421047E-3</v>
      </c>
      <c r="D186">
        <v>908.58</v>
      </c>
      <c r="E186" s="5">
        <f t="shared" si="5"/>
        <v>-4.2958904109588591E-3</v>
      </c>
    </row>
    <row r="187" spans="1:5" x14ac:dyDescent="0.25">
      <c r="A187" t="s">
        <v>191</v>
      </c>
      <c r="B187">
        <v>31698</v>
      </c>
      <c r="C187" s="5">
        <f t="shared" si="4"/>
        <v>-6.8926624475217748E-3</v>
      </c>
      <c r="D187">
        <v>908.27</v>
      </c>
      <c r="E187" s="5">
        <f t="shared" si="5"/>
        <v>-3.4119174976343208E-4</v>
      </c>
    </row>
    <row r="188" spans="1:5" x14ac:dyDescent="0.25">
      <c r="A188" t="s">
        <v>192</v>
      </c>
      <c r="B188">
        <v>32486</v>
      </c>
      <c r="C188" s="5">
        <f t="shared" si="4"/>
        <v>2.4859612593854503E-2</v>
      </c>
      <c r="D188">
        <v>912.5</v>
      </c>
      <c r="E188" s="5">
        <f t="shared" si="5"/>
        <v>4.6572054565272641E-3</v>
      </c>
    </row>
    <row r="189" spans="1:5" x14ac:dyDescent="0.25">
      <c r="A189" t="s">
        <v>193</v>
      </c>
      <c r="B189">
        <v>32644</v>
      </c>
      <c r="C189" s="5">
        <f t="shared" si="4"/>
        <v>4.8636335652280979E-3</v>
      </c>
      <c r="D189">
        <v>903.98</v>
      </c>
      <c r="E189" s="5">
        <f t="shared" si="5"/>
        <v>-9.3369863013698425E-3</v>
      </c>
    </row>
    <row r="190" spans="1:5" x14ac:dyDescent="0.25">
      <c r="A190" t="s">
        <v>194</v>
      </c>
      <c r="B190">
        <v>32896</v>
      </c>
      <c r="C190" s="5">
        <f t="shared" si="4"/>
        <v>7.7196422007106968E-3</v>
      </c>
      <c r="D190">
        <v>905.21</v>
      </c>
      <c r="E190" s="5">
        <f t="shared" si="5"/>
        <v>1.3606495718932036E-3</v>
      </c>
    </row>
    <row r="191" spans="1:5" x14ac:dyDescent="0.25">
      <c r="A191" t="s">
        <v>195</v>
      </c>
      <c r="B191">
        <v>33117</v>
      </c>
      <c r="C191" s="5">
        <f t="shared" si="4"/>
        <v>6.7181420233463039E-3</v>
      </c>
      <c r="D191">
        <v>914.09</v>
      </c>
      <c r="E191" s="5">
        <f t="shared" si="5"/>
        <v>9.8098783707647897E-3</v>
      </c>
    </row>
    <row r="192" spans="1:5" x14ac:dyDescent="0.25">
      <c r="A192" t="s">
        <v>196</v>
      </c>
      <c r="B192">
        <v>32802</v>
      </c>
      <c r="C192" s="5">
        <f t="shared" si="4"/>
        <v>-9.5117311350665819E-3</v>
      </c>
      <c r="D192">
        <v>909.91</v>
      </c>
      <c r="E192" s="5">
        <f t="shared" si="5"/>
        <v>-4.5728538765330146E-3</v>
      </c>
    </row>
    <row r="193" spans="1:5" x14ac:dyDescent="0.25">
      <c r="A193" t="s">
        <v>197</v>
      </c>
      <c r="B193">
        <v>32802</v>
      </c>
      <c r="C193" s="5">
        <f t="shared" si="4"/>
        <v>0</v>
      </c>
      <c r="D193">
        <v>914.68</v>
      </c>
      <c r="E193" s="5">
        <f t="shared" si="5"/>
        <v>5.2422767086854546E-3</v>
      </c>
    </row>
    <row r="194" spans="1:5" x14ac:dyDescent="0.25">
      <c r="A194" t="s">
        <v>198</v>
      </c>
      <c r="B194">
        <v>33180</v>
      </c>
      <c r="C194" s="5">
        <f t="shared" si="4"/>
        <v>1.1523687580025609E-2</v>
      </c>
      <c r="D194">
        <v>915.67</v>
      </c>
      <c r="E194" s="5">
        <f t="shared" si="5"/>
        <v>1.0823457384003248E-3</v>
      </c>
    </row>
    <row r="195" spans="1:5" x14ac:dyDescent="0.25">
      <c r="A195" t="s">
        <v>199</v>
      </c>
      <c r="B195">
        <v>33937</v>
      </c>
      <c r="C195" s="5">
        <f t="shared" si="4"/>
        <v>2.2814948764315852E-2</v>
      </c>
      <c r="D195">
        <v>919.72</v>
      </c>
      <c r="E195" s="5">
        <f t="shared" si="5"/>
        <v>4.4229908154685294E-3</v>
      </c>
    </row>
    <row r="196" spans="1:5" x14ac:dyDescent="0.25">
      <c r="A196" t="s">
        <v>200</v>
      </c>
      <c r="B196">
        <v>34536</v>
      </c>
      <c r="C196" s="5">
        <f t="shared" si="4"/>
        <v>1.7650352123051535E-2</v>
      </c>
      <c r="D196">
        <v>918.84</v>
      </c>
      <c r="E196" s="5">
        <f t="shared" si="5"/>
        <v>-9.5681294306962492E-4</v>
      </c>
    </row>
    <row r="197" spans="1:5" x14ac:dyDescent="0.25">
      <c r="A197" t="s">
        <v>201</v>
      </c>
      <c r="B197">
        <v>34379</v>
      </c>
      <c r="C197" s="5">
        <f t="shared" si="4"/>
        <v>-4.545981005327774E-3</v>
      </c>
      <c r="D197">
        <v>924</v>
      </c>
      <c r="E197" s="5">
        <f t="shared" si="5"/>
        <v>5.6157764137390277E-3</v>
      </c>
    </row>
    <row r="198" spans="1:5" x14ac:dyDescent="0.25">
      <c r="A198" t="s">
        <v>202</v>
      </c>
      <c r="B198">
        <v>33906</v>
      </c>
      <c r="C198" s="5">
        <f t="shared" ref="C198:C261" si="6">(B198-B197)/B197</f>
        <v>-1.3758399022659181E-2</v>
      </c>
      <c r="D198">
        <v>925.83</v>
      </c>
      <c r="E198" s="5">
        <f t="shared" ref="E198:E261" si="7">(D198-D197)/D197</f>
        <v>1.9805194805195248E-3</v>
      </c>
    </row>
    <row r="199" spans="1:5" x14ac:dyDescent="0.25">
      <c r="A199" t="s">
        <v>203</v>
      </c>
      <c r="B199">
        <v>33496</v>
      </c>
      <c r="C199" s="5">
        <f t="shared" si="6"/>
        <v>-1.2092255058101811E-2</v>
      </c>
      <c r="D199">
        <v>929.86</v>
      </c>
      <c r="E199" s="5">
        <f t="shared" si="7"/>
        <v>4.3528509553589457E-3</v>
      </c>
    </row>
    <row r="200" spans="1:5" x14ac:dyDescent="0.25">
      <c r="A200" t="s">
        <v>204</v>
      </c>
      <c r="B200">
        <v>34379</v>
      </c>
      <c r="C200" s="5">
        <f t="shared" si="6"/>
        <v>2.6361356579890135E-2</v>
      </c>
      <c r="D200">
        <v>940.18</v>
      </c>
      <c r="E200" s="5">
        <f t="shared" si="7"/>
        <v>1.1098444927193273E-2</v>
      </c>
    </row>
    <row r="201" spans="1:5" x14ac:dyDescent="0.25">
      <c r="A201" t="s">
        <v>205</v>
      </c>
      <c r="B201">
        <v>34505</v>
      </c>
      <c r="C201" s="5">
        <f t="shared" si="6"/>
        <v>3.665028069461008E-3</v>
      </c>
      <c r="D201">
        <v>942.76</v>
      </c>
      <c r="E201" s="5">
        <f t="shared" si="7"/>
        <v>2.7441553745027984E-3</v>
      </c>
    </row>
    <row r="202" spans="1:5" x14ac:dyDescent="0.25">
      <c r="A202" t="s">
        <v>206</v>
      </c>
      <c r="B202">
        <v>34189</v>
      </c>
      <c r="C202" s="5">
        <f t="shared" si="6"/>
        <v>-9.1580930299956526E-3</v>
      </c>
      <c r="D202">
        <v>943.3</v>
      </c>
      <c r="E202" s="5">
        <f t="shared" si="7"/>
        <v>5.7278628707196281E-4</v>
      </c>
    </row>
    <row r="203" spans="1:5" x14ac:dyDescent="0.25">
      <c r="A203" t="s">
        <v>207</v>
      </c>
      <c r="B203">
        <v>34156</v>
      </c>
      <c r="C203" s="5">
        <f t="shared" si="6"/>
        <v>-9.6522273245780812E-4</v>
      </c>
      <c r="D203">
        <v>943.69</v>
      </c>
      <c r="E203" s="5">
        <f t="shared" si="7"/>
        <v>4.1344217110155841E-4</v>
      </c>
    </row>
    <row r="204" spans="1:5" x14ac:dyDescent="0.25">
      <c r="A204" t="s">
        <v>208</v>
      </c>
      <c r="B204">
        <v>34156</v>
      </c>
      <c r="C204" s="5">
        <f t="shared" si="6"/>
        <v>0</v>
      </c>
      <c r="D204">
        <v>944.42</v>
      </c>
      <c r="E204" s="5">
        <f t="shared" si="7"/>
        <v>7.7355911369189503E-4</v>
      </c>
    </row>
    <row r="205" spans="1:5" x14ac:dyDescent="0.25">
      <c r="A205" t="s">
        <v>209</v>
      </c>
      <c r="B205">
        <v>33836</v>
      </c>
      <c r="C205" s="5">
        <f t="shared" si="6"/>
        <v>-9.3687785454971313E-3</v>
      </c>
      <c r="D205">
        <v>939.03</v>
      </c>
      <c r="E205" s="5">
        <f t="shared" si="7"/>
        <v>-5.7072065394633605E-3</v>
      </c>
    </row>
    <row r="206" spans="1:5" x14ac:dyDescent="0.25">
      <c r="A206" t="s">
        <v>210</v>
      </c>
      <c r="B206">
        <v>34700</v>
      </c>
      <c r="C206" s="5">
        <f t="shared" si="6"/>
        <v>2.5534933207234899E-2</v>
      </c>
      <c r="D206">
        <v>949.9</v>
      </c>
      <c r="E206" s="5">
        <f t="shared" si="7"/>
        <v>1.1575775001863631E-2</v>
      </c>
    </row>
    <row r="207" spans="1:5" x14ac:dyDescent="0.25">
      <c r="A207" t="s">
        <v>211</v>
      </c>
      <c r="B207">
        <v>35179</v>
      </c>
      <c r="C207" s="5">
        <f t="shared" si="6"/>
        <v>1.3804034582132564E-2</v>
      </c>
      <c r="D207">
        <v>961.26</v>
      </c>
      <c r="E207" s="5">
        <f t="shared" si="7"/>
        <v>1.1959153595115291E-2</v>
      </c>
    </row>
    <row r="208" spans="1:5" x14ac:dyDescent="0.25">
      <c r="A208" t="s">
        <v>212</v>
      </c>
      <c r="B208">
        <v>35179</v>
      </c>
      <c r="C208" s="5">
        <f t="shared" si="6"/>
        <v>0</v>
      </c>
      <c r="D208">
        <v>950.8</v>
      </c>
      <c r="E208" s="5">
        <f t="shared" si="7"/>
        <v>-1.0881551297255723E-2</v>
      </c>
    </row>
    <row r="209" spans="1:5" x14ac:dyDescent="0.25">
      <c r="A209" t="s">
        <v>213</v>
      </c>
      <c r="B209">
        <v>35179</v>
      </c>
      <c r="C209" s="5">
        <f t="shared" si="6"/>
        <v>0</v>
      </c>
      <c r="D209">
        <v>946.47</v>
      </c>
      <c r="E209" s="5">
        <f t="shared" si="7"/>
        <v>-4.5540597391669413E-3</v>
      </c>
    </row>
    <row r="210" spans="1:5" x14ac:dyDescent="0.25">
      <c r="A210" t="s">
        <v>214</v>
      </c>
      <c r="B210">
        <v>33580</v>
      </c>
      <c r="C210" s="5">
        <f t="shared" si="6"/>
        <v>-4.5453253361380369E-2</v>
      </c>
      <c r="D210">
        <v>921.05</v>
      </c>
      <c r="E210" s="5">
        <f t="shared" si="7"/>
        <v>-2.6857692267055557E-2</v>
      </c>
    </row>
    <row r="211" spans="1:5" x14ac:dyDescent="0.25">
      <c r="A211" t="s">
        <v>215</v>
      </c>
      <c r="B211">
        <v>32717</v>
      </c>
      <c r="C211" s="5">
        <f t="shared" si="6"/>
        <v>-2.5699821322215606E-2</v>
      </c>
      <c r="D211">
        <v>919.08</v>
      </c>
      <c r="E211" s="5">
        <f t="shared" si="7"/>
        <v>-2.1388632538949176E-3</v>
      </c>
    </row>
    <row r="212" spans="1:5" x14ac:dyDescent="0.25">
      <c r="A212" t="s">
        <v>216</v>
      </c>
      <c r="B212">
        <v>33484</v>
      </c>
      <c r="C212" s="5">
        <f t="shared" si="6"/>
        <v>2.3443469755784454E-2</v>
      </c>
      <c r="D212">
        <v>925.47</v>
      </c>
      <c r="E212" s="5">
        <f t="shared" si="7"/>
        <v>6.9526047786917199E-3</v>
      </c>
    </row>
    <row r="213" spans="1:5" x14ac:dyDescent="0.25">
      <c r="A213" t="s">
        <v>217</v>
      </c>
      <c r="B213">
        <v>34028</v>
      </c>
      <c r="C213" s="5">
        <f t="shared" si="6"/>
        <v>1.6246565523832277E-2</v>
      </c>
      <c r="D213">
        <v>933.68</v>
      </c>
      <c r="E213" s="5">
        <f t="shared" si="7"/>
        <v>8.8711681632034772E-3</v>
      </c>
    </row>
    <row r="214" spans="1:5" x14ac:dyDescent="0.25">
      <c r="A214" t="s">
        <v>218</v>
      </c>
      <c r="B214">
        <v>34284</v>
      </c>
      <c r="C214" s="5">
        <f t="shared" si="6"/>
        <v>7.5232161749147763E-3</v>
      </c>
      <c r="D214">
        <v>935.41</v>
      </c>
      <c r="E214" s="5">
        <f t="shared" si="7"/>
        <v>1.8528832148059489E-3</v>
      </c>
    </row>
    <row r="215" spans="1:5" x14ac:dyDescent="0.25">
      <c r="A215" t="s">
        <v>219</v>
      </c>
      <c r="B215">
        <v>34156</v>
      </c>
      <c r="C215" s="5">
        <f t="shared" si="6"/>
        <v>-3.7335200093337999E-3</v>
      </c>
      <c r="D215">
        <v>939.76</v>
      </c>
      <c r="E215" s="5">
        <f t="shared" si="7"/>
        <v>4.6503672186528075E-3</v>
      </c>
    </row>
    <row r="216" spans="1:5" x14ac:dyDescent="0.25">
      <c r="A216" t="s">
        <v>220</v>
      </c>
      <c r="B216">
        <v>34156</v>
      </c>
      <c r="C216" s="5">
        <f t="shared" si="6"/>
        <v>0</v>
      </c>
      <c r="D216">
        <v>937.75</v>
      </c>
      <c r="E216" s="5">
        <f t="shared" si="7"/>
        <v>-2.138843960160031E-3</v>
      </c>
    </row>
    <row r="217" spans="1:5" x14ac:dyDescent="0.25">
      <c r="A217" t="s">
        <v>221</v>
      </c>
      <c r="B217">
        <v>33580</v>
      </c>
      <c r="C217" s="5">
        <f t="shared" si="6"/>
        <v>-1.6863801381894836E-2</v>
      </c>
      <c r="D217">
        <v>938.29</v>
      </c>
      <c r="E217" s="5">
        <f t="shared" si="7"/>
        <v>5.7584644094904147E-4</v>
      </c>
    </row>
    <row r="218" spans="1:5" x14ac:dyDescent="0.25">
      <c r="A218" t="s">
        <v>222</v>
      </c>
      <c r="B218">
        <v>33804</v>
      </c>
      <c r="C218" s="5">
        <f t="shared" si="6"/>
        <v>6.6706372840976769E-3</v>
      </c>
      <c r="D218">
        <v>951.99</v>
      </c>
      <c r="E218" s="5">
        <f t="shared" si="7"/>
        <v>1.4601029532447374E-2</v>
      </c>
    </row>
    <row r="219" spans="1:5" x14ac:dyDescent="0.25">
      <c r="A219" t="s">
        <v>223</v>
      </c>
      <c r="B219">
        <v>33900</v>
      </c>
      <c r="C219" s="5">
        <f t="shared" si="6"/>
        <v>2.8399006034788782E-3</v>
      </c>
      <c r="D219">
        <v>951.9</v>
      </c>
      <c r="E219" s="5">
        <f t="shared" si="7"/>
        <v>-9.4538808180791639E-5</v>
      </c>
    </row>
    <row r="220" spans="1:5" x14ac:dyDescent="0.25">
      <c r="A220" t="s">
        <v>224</v>
      </c>
      <c r="B220">
        <v>34540</v>
      </c>
      <c r="C220" s="5">
        <f t="shared" si="6"/>
        <v>1.887905604719764E-2</v>
      </c>
      <c r="D220">
        <v>952.22</v>
      </c>
      <c r="E220" s="5">
        <f t="shared" si="7"/>
        <v>3.3616976573174704E-4</v>
      </c>
    </row>
    <row r="221" spans="1:5" x14ac:dyDescent="0.25">
      <c r="A221" t="s">
        <v>225</v>
      </c>
      <c r="B221">
        <v>35531</v>
      </c>
      <c r="C221" s="5">
        <f t="shared" si="6"/>
        <v>2.8691372321945571E-2</v>
      </c>
      <c r="D221">
        <v>959.28</v>
      </c>
      <c r="E221" s="5">
        <f t="shared" si="7"/>
        <v>7.4142530087584228E-3</v>
      </c>
    </row>
    <row r="222" spans="1:5" x14ac:dyDescent="0.25">
      <c r="A222" t="s">
        <v>226</v>
      </c>
      <c r="B222">
        <v>35531</v>
      </c>
      <c r="C222" s="5">
        <f t="shared" si="6"/>
        <v>0</v>
      </c>
      <c r="D222">
        <v>966.29</v>
      </c>
      <c r="E222" s="5">
        <f t="shared" si="7"/>
        <v>7.3075640063380775E-3</v>
      </c>
    </row>
    <row r="223" spans="1:5" x14ac:dyDescent="0.25">
      <c r="A223" t="s">
        <v>227</v>
      </c>
      <c r="B223">
        <v>35084</v>
      </c>
      <c r="C223" s="5">
        <f t="shared" si="6"/>
        <v>-1.2580563451633785E-2</v>
      </c>
      <c r="D223">
        <v>950.79</v>
      </c>
      <c r="E223" s="5">
        <f t="shared" si="7"/>
        <v>-1.6040733113247576E-2</v>
      </c>
    </row>
    <row r="224" spans="1:5" x14ac:dyDescent="0.25">
      <c r="A224" t="s">
        <v>228</v>
      </c>
      <c r="B224">
        <v>35819</v>
      </c>
      <c r="C224" s="5">
        <f t="shared" si="6"/>
        <v>2.094972067039106E-2</v>
      </c>
      <c r="D224">
        <v>968.9</v>
      </c>
      <c r="E224" s="5">
        <f t="shared" si="7"/>
        <v>1.9047318545630489E-2</v>
      </c>
    </row>
    <row r="225" spans="1:5" x14ac:dyDescent="0.25">
      <c r="A225" t="s">
        <v>229</v>
      </c>
      <c r="B225">
        <v>35371</v>
      </c>
      <c r="C225" s="5">
        <f t="shared" si="6"/>
        <v>-1.2507328512800469E-2</v>
      </c>
      <c r="D225">
        <v>973.53</v>
      </c>
      <c r="E225" s="5">
        <f t="shared" si="7"/>
        <v>4.7786149241407739E-3</v>
      </c>
    </row>
    <row r="226" spans="1:5" x14ac:dyDescent="0.25">
      <c r="A226" t="s">
        <v>230</v>
      </c>
      <c r="B226">
        <v>35819</v>
      </c>
      <c r="C226" s="5">
        <f t="shared" si="6"/>
        <v>1.2665743122897288E-2</v>
      </c>
      <c r="D226">
        <v>983.26</v>
      </c>
      <c r="E226" s="5">
        <f t="shared" si="7"/>
        <v>9.9945558945281794E-3</v>
      </c>
    </row>
    <row r="227" spans="1:5" x14ac:dyDescent="0.25">
      <c r="A227" t="s">
        <v>231</v>
      </c>
      <c r="B227">
        <v>35435</v>
      </c>
      <c r="C227" s="5">
        <f t="shared" si="6"/>
        <v>-1.0720567296686117E-2</v>
      </c>
      <c r="D227">
        <v>990</v>
      </c>
      <c r="E227" s="5">
        <f t="shared" si="7"/>
        <v>6.8547484897178868E-3</v>
      </c>
    </row>
    <row r="228" spans="1:5" x14ac:dyDescent="0.25">
      <c r="A228" t="s">
        <v>232</v>
      </c>
      <c r="B228">
        <v>36203</v>
      </c>
      <c r="C228" s="5">
        <f t="shared" si="6"/>
        <v>2.1673486665725977E-2</v>
      </c>
      <c r="D228">
        <v>994.19</v>
      </c>
      <c r="E228" s="5">
        <f t="shared" si="7"/>
        <v>4.2323232323232879E-3</v>
      </c>
    </row>
    <row r="229" spans="1:5" x14ac:dyDescent="0.25">
      <c r="A229" t="s">
        <v>233</v>
      </c>
      <c r="B229">
        <v>35819</v>
      </c>
      <c r="C229" s="5">
        <f t="shared" si="6"/>
        <v>-1.0606855785432147E-2</v>
      </c>
      <c r="D229">
        <v>995.76</v>
      </c>
      <c r="E229" s="5">
        <f t="shared" si="7"/>
        <v>1.5791750067893826E-3</v>
      </c>
    </row>
    <row r="230" spans="1:5" x14ac:dyDescent="0.25">
      <c r="A230" t="s">
        <v>234</v>
      </c>
      <c r="B230">
        <v>35819</v>
      </c>
      <c r="C230" s="5">
        <f t="shared" si="6"/>
        <v>0</v>
      </c>
      <c r="D230">
        <v>999.94</v>
      </c>
      <c r="E230" s="5">
        <f t="shared" si="7"/>
        <v>4.1977986663453678E-3</v>
      </c>
    </row>
    <row r="231" spans="1:5" x14ac:dyDescent="0.25">
      <c r="A231" t="s">
        <v>235</v>
      </c>
      <c r="B231">
        <v>36075</v>
      </c>
      <c r="C231" s="5">
        <f t="shared" si="6"/>
        <v>7.147044864457411E-3</v>
      </c>
      <c r="D231">
        <v>1005.97</v>
      </c>
      <c r="E231" s="5">
        <f t="shared" si="7"/>
        <v>6.030361821709275E-3</v>
      </c>
    </row>
    <row r="232" spans="1:5" x14ac:dyDescent="0.25">
      <c r="A232" t="s">
        <v>236</v>
      </c>
      <c r="B232">
        <v>36938</v>
      </c>
      <c r="C232" s="5">
        <f t="shared" si="6"/>
        <v>2.3922383922383921E-2</v>
      </c>
      <c r="D232">
        <v>1010.22</v>
      </c>
      <c r="E232" s="5">
        <f t="shared" si="7"/>
        <v>4.224778074892889E-3</v>
      </c>
    </row>
    <row r="233" spans="1:5" x14ac:dyDescent="0.25">
      <c r="A233" t="s">
        <v>237</v>
      </c>
      <c r="B233">
        <v>37098</v>
      </c>
      <c r="C233" s="5">
        <f t="shared" si="6"/>
        <v>4.3315826520114783E-3</v>
      </c>
      <c r="D233">
        <v>1003.08</v>
      </c>
      <c r="E233" s="5">
        <f t="shared" si="7"/>
        <v>-7.067767416998264E-3</v>
      </c>
    </row>
    <row r="234" spans="1:5" x14ac:dyDescent="0.25">
      <c r="A234" t="s">
        <v>238</v>
      </c>
      <c r="B234">
        <v>37098</v>
      </c>
      <c r="C234" s="5">
        <f t="shared" si="6"/>
        <v>0</v>
      </c>
      <c r="D234">
        <v>1008.87</v>
      </c>
      <c r="E234" s="5">
        <f t="shared" si="7"/>
        <v>5.7722215576025476E-3</v>
      </c>
    </row>
    <row r="235" spans="1:5" x14ac:dyDescent="0.25">
      <c r="A235" t="s">
        <v>239</v>
      </c>
      <c r="B235">
        <v>36459</v>
      </c>
      <c r="C235" s="5">
        <f t="shared" si="6"/>
        <v>-1.7224648229015042E-2</v>
      </c>
      <c r="D235">
        <v>1014.32</v>
      </c>
      <c r="E235" s="5">
        <f t="shared" si="7"/>
        <v>5.4020835191848759E-3</v>
      </c>
    </row>
    <row r="236" spans="1:5" x14ac:dyDescent="0.25">
      <c r="A236" t="s">
        <v>240</v>
      </c>
      <c r="B236">
        <v>36683</v>
      </c>
      <c r="C236" s="5">
        <f t="shared" si="6"/>
        <v>6.143887654625744E-3</v>
      </c>
      <c r="D236">
        <v>1019.8</v>
      </c>
      <c r="E236" s="5">
        <f t="shared" si="7"/>
        <v>5.4026342771511006E-3</v>
      </c>
    </row>
    <row r="237" spans="1:5" x14ac:dyDescent="0.25">
      <c r="A237" t="s">
        <v>241</v>
      </c>
      <c r="B237">
        <v>36427</v>
      </c>
      <c r="C237" s="5">
        <f t="shared" si="6"/>
        <v>-6.9787094839571465E-3</v>
      </c>
      <c r="D237">
        <v>1021.49</v>
      </c>
      <c r="E237" s="5">
        <f t="shared" si="7"/>
        <v>1.6571876838596339E-3</v>
      </c>
    </row>
    <row r="238" spans="1:5" x14ac:dyDescent="0.25">
      <c r="A238" t="s">
        <v>242</v>
      </c>
      <c r="B238">
        <v>36555</v>
      </c>
      <c r="C238" s="5">
        <f t="shared" si="6"/>
        <v>3.513877069206907E-3</v>
      </c>
      <c r="D238">
        <v>1029.98</v>
      </c>
      <c r="E238" s="5">
        <f t="shared" si="7"/>
        <v>8.3113882661602252E-3</v>
      </c>
    </row>
    <row r="239" spans="1:5" x14ac:dyDescent="0.25">
      <c r="A239" t="s">
        <v>243</v>
      </c>
      <c r="B239">
        <v>36619</v>
      </c>
      <c r="C239" s="5">
        <f t="shared" si="6"/>
        <v>1.7507864861168103E-3</v>
      </c>
      <c r="D239">
        <v>1029.26</v>
      </c>
      <c r="E239" s="5">
        <f t="shared" si="7"/>
        <v>-6.9904269985827613E-4</v>
      </c>
    </row>
    <row r="240" spans="1:5" x14ac:dyDescent="0.25">
      <c r="A240" t="s">
        <v>244</v>
      </c>
      <c r="B240">
        <v>36779</v>
      </c>
      <c r="C240" s="5">
        <f t="shared" si="6"/>
        <v>4.3693164750539335E-3</v>
      </c>
      <c r="D240">
        <v>1039.1300000000001</v>
      </c>
      <c r="E240" s="5">
        <f t="shared" si="7"/>
        <v>9.5894137535706414E-3</v>
      </c>
    </row>
    <row r="241" spans="1:5" x14ac:dyDescent="0.25">
      <c r="A241" t="s">
        <v>245</v>
      </c>
      <c r="B241">
        <v>36395</v>
      </c>
      <c r="C241" s="5">
        <f t="shared" si="6"/>
        <v>-1.0440740640039152E-2</v>
      </c>
      <c r="D241">
        <v>1030.9100000000001</v>
      </c>
      <c r="E241" s="5">
        <f t="shared" si="7"/>
        <v>-7.9104635608634403E-3</v>
      </c>
    </row>
    <row r="242" spans="1:5" x14ac:dyDescent="0.25">
      <c r="A242" t="s">
        <v>246</v>
      </c>
      <c r="B242">
        <v>36555</v>
      </c>
      <c r="C242" s="5">
        <f t="shared" si="6"/>
        <v>4.3962082703668083E-3</v>
      </c>
      <c r="D242">
        <v>1045.96</v>
      </c>
      <c r="E242" s="5">
        <f t="shared" si="7"/>
        <v>1.4598752558419215E-2</v>
      </c>
    </row>
    <row r="243" spans="1:5" x14ac:dyDescent="0.25">
      <c r="A243" t="s">
        <v>247</v>
      </c>
      <c r="B243">
        <v>37002</v>
      </c>
      <c r="C243" s="5">
        <f t="shared" si="6"/>
        <v>1.2228149363972096E-2</v>
      </c>
      <c r="D243">
        <v>1064.0899999999999</v>
      </c>
      <c r="E243" s="5">
        <f t="shared" si="7"/>
        <v>1.7333358828253358E-2</v>
      </c>
    </row>
    <row r="244" spans="1:5" x14ac:dyDescent="0.25">
      <c r="A244" t="s">
        <v>248</v>
      </c>
      <c r="B244">
        <v>36875</v>
      </c>
      <c r="C244" s="5">
        <f t="shared" si="6"/>
        <v>-3.4322469055726719E-3</v>
      </c>
      <c r="D244">
        <v>1055.27</v>
      </c>
      <c r="E244" s="5">
        <f t="shared" si="7"/>
        <v>-8.2887725662302413E-3</v>
      </c>
    </row>
    <row r="245" spans="1:5" x14ac:dyDescent="0.25">
      <c r="A245" t="s">
        <v>249</v>
      </c>
      <c r="B245">
        <v>36938</v>
      </c>
      <c r="C245" s="5">
        <f t="shared" si="6"/>
        <v>1.7084745762711863E-3</v>
      </c>
      <c r="D245">
        <v>1066.99</v>
      </c>
      <c r="E245" s="5">
        <f t="shared" si="7"/>
        <v>1.1106162403934564E-2</v>
      </c>
    </row>
    <row r="246" spans="1:5" x14ac:dyDescent="0.25">
      <c r="A246" t="s">
        <v>250</v>
      </c>
      <c r="B246">
        <v>36299</v>
      </c>
      <c r="C246" s="5">
        <f t="shared" si="6"/>
        <v>-1.7299258216470843E-2</v>
      </c>
      <c r="D246">
        <v>1051.77</v>
      </c>
      <c r="E246" s="5">
        <f t="shared" si="7"/>
        <v>-1.4264426095839723E-2</v>
      </c>
    </row>
    <row r="247" spans="1:5" x14ac:dyDescent="0.25">
      <c r="A247" t="s">
        <v>251</v>
      </c>
      <c r="B247">
        <v>36779</v>
      </c>
      <c r="C247" s="5">
        <f t="shared" si="6"/>
        <v>1.3223504779745999E-2</v>
      </c>
      <c r="D247">
        <v>1067.46</v>
      </c>
      <c r="E247" s="5">
        <f t="shared" si="7"/>
        <v>1.4917710145754352E-2</v>
      </c>
    </row>
    <row r="248" spans="1:5" x14ac:dyDescent="0.25">
      <c r="A248" t="s">
        <v>252</v>
      </c>
      <c r="B248">
        <v>37162</v>
      </c>
      <c r="C248" s="5">
        <f t="shared" si="6"/>
        <v>1.0413551211289051E-2</v>
      </c>
      <c r="D248">
        <v>1081.08</v>
      </c>
      <c r="E248" s="5">
        <f t="shared" si="7"/>
        <v>1.275926030015166E-2</v>
      </c>
    </row>
    <row r="249" spans="1:5" x14ac:dyDescent="0.25">
      <c r="A249" t="s">
        <v>253</v>
      </c>
      <c r="B249">
        <v>38346</v>
      </c>
      <c r="C249" s="5">
        <f t="shared" si="6"/>
        <v>3.1860502664011622E-2</v>
      </c>
      <c r="D249">
        <v>1083.45</v>
      </c>
      <c r="E249" s="5">
        <f t="shared" si="7"/>
        <v>2.1922521922523018E-3</v>
      </c>
    </row>
    <row r="250" spans="1:5" x14ac:dyDescent="0.25">
      <c r="A250" t="s">
        <v>254</v>
      </c>
      <c r="B250">
        <v>37770</v>
      </c>
      <c r="C250" s="5">
        <f t="shared" si="6"/>
        <v>-1.5021123454858395E-2</v>
      </c>
      <c r="D250">
        <v>1078.9000000000001</v>
      </c>
      <c r="E250" s="5">
        <f t="shared" si="7"/>
        <v>-4.1995477410124646E-3</v>
      </c>
    </row>
    <row r="251" spans="1:5" x14ac:dyDescent="0.25">
      <c r="A251" t="s">
        <v>255</v>
      </c>
      <c r="B251">
        <v>37322</v>
      </c>
      <c r="C251" s="5">
        <f t="shared" si="6"/>
        <v>-1.186126555467302E-2</v>
      </c>
      <c r="D251">
        <v>1067.52</v>
      </c>
      <c r="E251" s="5">
        <f t="shared" si="7"/>
        <v>-1.0547780146445553E-2</v>
      </c>
    </row>
    <row r="252" spans="1:5" x14ac:dyDescent="0.25">
      <c r="A252" t="s">
        <v>256</v>
      </c>
      <c r="B252">
        <v>37898</v>
      </c>
      <c r="C252" s="5">
        <f t="shared" si="6"/>
        <v>1.543325652430202E-2</v>
      </c>
      <c r="D252">
        <v>1084.42</v>
      </c>
      <c r="E252" s="5">
        <f t="shared" si="7"/>
        <v>1.583108513189457E-2</v>
      </c>
    </row>
    <row r="253" spans="1:5" x14ac:dyDescent="0.25">
      <c r="A253" t="s">
        <v>257</v>
      </c>
      <c r="B253">
        <v>37514</v>
      </c>
      <c r="C253" s="5">
        <f t="shared" si="6"/>
        <v>-1.0132460815874189E-2</v>
      </c>
      <c r="D253">
        <v>1091.33</v>
      </c>
      <c r="E253" s="5">
        <f t="shared" si="7"/>
        <v>6.3720698622303663E-3</v>
      </c>
    </row>
    <row r="254" spans="1:5" x14ac:dyDescent="0.25">
      <c r="A254" t="s">
        <v>258</v>
      </c>
      <c r="B254">
        <v>37482</v>
      </c>
      <c r="C254" s="5">
        <f t="shared" si="6"/>
        <v>-8.5301487444687312E-4</v>
      </c>
      <c r="D254">
        <v>1099.49</v>
      </c>
      <c r="E254" s="5">
        <f t="shared" si="7"/>
        <v>7.4771150797651332E-3</v>
      </c>
    </row>
    <row r="255" spans="1:5" x14ac:dyDescent="0.25">
      <c r="A255" t="s">
        <v>259</v>
      </c>
      <c r="B255">
        <v>37514</v>
      </c>
      <c r="C255" s="5">
        <f t="shared" si="6"/>
        <v>8.5374313003575052E-4</v>
      </c>
      <c r="D255">
        <v>1097.54</v>
      </c>
      <c r="E255" s="5">
        <f t="shared" si="7"/>
        <v>-1.7735495547936274E-3</v>
      </c>
    </row>
    <row r="256" spans="1:5" x14ac:dyDescent="0.25">
      <c r="A256" t="s">
        <v>260</v>
      </c>
      <c r="B256">
        <v>38026</v>
      </c>
      <c r="C256" s="5">
        <f t="shared" si="6"/>
        <v>1.364823799114997E-2</v>
      </c>
      <c r="D256">
        <v>1103.8699999999999</v>
      </c>
      <c r="E256" s="5">
        <f t="shared" si="7"/>
        <v>5.7674435555878853E-3</v>
      </c>
    </row>
    <row r="257" spans="1:5" x14ac:dyDescent="0.25">
      <c r="A257" t="s">
        <v>261</v>
      </c>
      <c r="B257">
        <v>38570</v>
      </c>
      <c r="C257" s="5">
        <f t="shared" si="6"/>
        <v>1.4306001157103034E-2</v>
      </c>
      <c r="D257">
        <v>1120.47</v>
      </c>
      <c r="E257" s="5">
        <f t="shared" si="7"/>
        <v>1.5038002663357223E-2</v>
      </c>
    </row>
    <row r="258" spans="1:5" x14ac:dyDescent="0.25">
      <c r="A258" t="s">
        <v>262</v>
      </c>
      <c r="B258">
        <v>38985</v>
      </c>
      <c r="C258" s="5">
        <f t="shared" si="6"/>
        <v>1.0759657765102411E-2</v>
      </c>
      <c r="D258">
        <v>1132.55</v>
      </c>
      <c r="E258" s="5">
        <f t="shared" si="7"/>
        <v>1.0781190036323978E-2</v>
      </c>
    </row>
    <row r="259" spans="1:5" x14ac:dyDescent="0.25">
      <c r="A259" t="s">
        <v>263</v>
      </c>
      <c r="B259">
        <v>38793</v>
      </c>
      <c r="C259" s="5">
        <f t="shared" si="6"/>
        <v>-4.9249711427472101E-3</v>
      </c>
      <c r="D259">
        <v>1143.21</v>
      </c>
      <c r="E259" s="5">
        <f t="shared" si="7"/>
        <v>9.4123879740409533E-3</v>
      </c>
    </row>
    <row r="260" spans="1:5" x14ac:dyDescent="0.25">
      <c r="A260" t="s">
        <v>264</v>
      </c>
      <c r="B260">
        <v>38633</v>
      </c>
      <c r="C260" s="5">
        <f t="shared" si="6"/>
        <v>-4.1244554429922921E-3</v>
      </c>
      <c r="D260">
        <v>1156.49</v>
      </c>
      <c r="E260" s="5">
        <f t="shared" si="7"/>
        <v>1.1616413432352736E-2</v>
      </c>
    </row>
    <row r="261" spans="1:5" x14ac:dyDescent="0.25">
      <c r="A261" t="s">
        <v>265</v>
      </c>
      <c r="B261">
        <v>38953</v>
      </c>
      <c r="C261" s="5">
        <f t="shared" si="6"/>
        <v>8.2830740558589803E-3</v>
      </c>
      <c r="D261">
        <v>1167.69</v>
      </c>
      <c r="E261" s="5">
        <f t="shared" si="7"/>
        <v>9.6844763032970845E-3</v>
      </c>
    </row>
    <row r="262" spans="1:5" x14ac:dyDescent="0.25">
      <c r="A262" t="s">
        <v>266</v>
      </c>
      <c r="B262">
        <v>40360</v>
      </c>
      <c r="C262" s="5">
        <f t="shared" ref="C262:C325" si="8">(B262-B261)/B261</f>
        <v>3.6120452853438761E-2</v>
      </c>
      <c r="D262">
        <v>1184.8900000000001</v>
      </c>
      <c r="E262" s="5">
        <f t="shared" ref="E262:E325" si="9">(D262-D261)/D261</f>
        <v>1.4729936883933275E-2</v>
      </c>
    </row>
    <row r="263" spans="1:5" x14ac:dyDescent="0.25">
      <c r="A263" t="s">
        <v>267</v>
      </c>
      <c r="B263">
        <v>40360</v>
      </c>
      <c r="C263" s="5">
        <f t="shared" si="8"/>
        <v>0</v>
      </c>
      <c r="D263">
        <v>1192.28</v>
      </c>
      <c r="E263" s="5">
        <f t="shared" si="9"/>
        <v>6.2368658694054906E-3</v>
      </c>
    </row>
    <row r="264" spans="1:5" x14ac:dyDescent="0.25">
      <c r="A264" t="s">
        <v>268</v>
      </c>
      <c r="B264">
        <v>40360</v>
      </c>
      <c r="C264" s="5">
        <f t="shared" si="8"/>
        <v>0</v>
      </c>
      <c r="D264">
        <v>1186.05</v>
      </c>
      <c r="E264" s="5">
        <f t="shared" si="9"/>
        <v>-5.2252826517261196E-3</v>
      </c>
    </row>
    <row r="265" spans="1:5" x14ac:dyDescent="0.25">
      <c r="A265" t="s">
        <v>269</v>
      </c>
      <c r="B265">
        <v>40904</v>
      </c>
      <c r="C265" s="5">
        <f t="shared" si="8"/>
        <v>1.3478691774033697E-2</v>
      </c>
      <c r="D265">
        <v>1187.4000000000001</v>
      </c>
      <c r="E265" s="5">
        <f t="shared" si="9"/>
        <v>1.1382319463767434E-3</v>
      </c>
    </row>
    <row r="266" spans="1:5" x14ac:dyDescent="0.25">
      <c r="A266" t="s">
        <v>270</v>
      </c>
      <c r="B266">
        <v>40872</v>
      </c>
      <c r="C266" s="5">
        <f t="shared" si="8"/>
        <v>-7.8231957754742814E-4</v>
      </c>
      <c r="D266">
        <v>1194.2</v>
      </c>
      <c r="E266" s="5">
        <f t="shared" si="9"/>
        <v>5.7267980461512165E-3</v>
      </c>
    </row>
    <row r="267" spans="1:5" x14ac:dyDescent="0.25">
      <c r="A267" t="s">
        <v>271</v>
      </c>
      <c r="B267">
        <v>40424</v>
      </c>
      <c r="C267" s="5">
        <f t="shared" si="8"/>
        <v>-1.096104912898806E-2</v>
      </c>
      <c r="D267">
        <v>1191.94</v>
      </c>
      <c r="E267" s="5">
        <f t="shared" si="9"/>
        <v>-1.8924803215541709E-3</v>
      </c>
    </row>
    <row r="268" spans="1:5" x14ac:dyDescent="0.25">
      <c r="A268" t="s">
        <v>272</v>
      </c>
      <c r="B268">
        <v>38378</v>
      </c>
      <c r="C268" s="5">
        <f t="shared" si="8"/>
        <v>-5.0613496932515337E-2</v>
      </c>
      <c r="D268">
        <v>1131</v>
      </c>
      <c r="E268" s="5">
        <f t="shared" si="9"/>
        <v>-5.1126734567176244E-2</v>
      </c>
    </row>
    <row r="269" spans="1:5" x14ac:dyDescent="0.25">
      <c r="A269" t="s">
        <v>273</v>
      </c>
      <c r="B269">
        <v>39273</v>
      </c>
      <c r="C269" s="5">
        <f t="shared" si="8"/>
        <v>2.3320652457136902E-2</v>
      </c>
      <c r="D269">
        <v>1134.68</v>
      </c>
      <c r="E269" s="5">
        <f t="shared" si="9"/>
        <v>3.2537577365164133E-3</v>
      </c>
    </row>
    <row r="270" spans="1:5" x14ac:dyDescent="0.25">
      <c r="A270" t="s">
        <v>274</v>
      </c>
      <c r="B270">
        <v>39977</v>
      </c>
      <c r="C270" s="5">
        <f t="shared" si="8"/>
        <v>1.7925801441193694E-2</v>
      </c>
      <c r="D270">
        <v>1164.21</v>
      </c>
      <c r="E270" s="5">
        <f t="shared" si="9"/>
        <v>2.6024958578630072E-2</v>
      </c>
    </row>
    <row r="271" spans="1:5" x14ac:dyDescent="0.25">
      <c r="A271" t="s">
        <v>275</v>
      </c>
      <c r="B271">
        <v>40680</v>
      </c>
      <c r="C271" s="5">
        <f t="shared" si="8"/>
        <v>1.7585111439077469E-2</v>
      </c>
      <c r="D271">
        <v>1166.78</v>
      </c>
      <c r="E271" s="5">
        <f t="shared" si="9"/>
        <v>2.2075055187637423E-3</v>
      </c>
    </row>
    <row r="272" spans="1:5" x14ac:dyDescent="0.25">
      <c r="A272" t="s">
        <v>276</v>
      </c>
      <c r="B272">
        <v>42215</v>
      </c>
      <c r="C272" s="5">
        <f t="shared" si="8"/>
        <v>3.7733529990167158E-2</v>
      </c>
      <c r="D272">
        <v>1166.05</v>
      </c>
      <c r="E272" s="5">
        <f t="shared" si="9"/>
        <v>-6.2565350794495812E-4</v>
      </c>
    </row>
    <row r="273" spans="1:5" x14ac:dyDescent="0.25">
      <c r="A273" t="s">
        <v>277</v>
      </c>
      <c r="B273">
        <v>42215</v>
      </c>
      <c r="C273" s="5">
        <f t="shared" si="8"/>
        <v>0</v>
      </c>
      <c r="D273">
        <v>1136.1199999999999</v>
      </c>
      <c r="E273" s="5">
        <f t="shared" si="9"/>
        <v>-2.566785300801858E-2</v>
      </c>
    </row>
    <row r="274" spans="1:5" x14ac:dyDescent="0.25">
      <c r="A274" t="s">
        <v>278</v>
      </c>
      <c r="B274">
        <v>42695</v>
      </c>
      <c r="C274" s="5">
        <f t="shared" si="8"/>
        <v>1.1370365983655099E-2</v>
      </c>
      <c r="D274">
        <v>1097.17</v>
      </c>
      <c r="E274" s="5">
        <f t="shared" si="9"/>
        <v>-3.4283350350314948E-2</v>
      </c>
    </row>
    <row r="275" spans="1:5" x14ac:dyDescent="0.25">
      <c r="A275" t="s">
        <v>279</v>
      </c>
      <c r="B275">
        <v>39721</v>
      </c>
      <c r="C275" s="5">
        <f t="shared" si="8"/>
        <v>-6.965686848577117E-2</v>
      </c>
      <c r="D275">
        <v>1023.94</v>
      </c>
      <c r="E275" s="5">
        <f t="shared" si="9"/>
        <v>-6.6744442520302247E-2</v>
      </c>
    </row>
    <row r="276" spans="1:5" x14ac:dyDescent="0.25">
      <c r="A276" t="s">
        <v>280</v>
      </c>
      <c r="B276">
        <v>42439</v>
      </c>
      <c r="C276" s="5">
        <f t="shared" si="8"/>
        <v>6.8427280279952665E-2</v>
      </c>
      <c r="D276">
        <v>1056.6099999999999</v>
      </c>
      <c r="E276" s="5">
        <f t="shared" si="9"/>
        <v>3.1906166376935996E-2</v>
      </c>
    </row>
    <row r="277" spans="1:5" x14ac:dyDescent="0.25">
      <c r="A277" t="s">
        <v>281</v>
      </c>
      <c r="B277">
        <v>39561</v>
      </c>
      <c r="C277" s="5">
        <f t="shared" si="8"/>
        <v>-6.7814981502862928E-2</v>
      </c>
      <c r="D277">
        <v>1035.51</v>
      </c>
      <c r="E277" s="5">
        <f t="shared" si="9"/>
        <v>-1.996952517958368E-2</v>
      </c>
    </row>
    <row r="278" spans="1:5" x14ac:dyDescent="0.25">
      <c r="A278" t="s">
        <v>282</v>
      </c>
      <c r="B278">
        <v>40936</v>
      </c>
      <c r="C278" s="5">
        <f t="shared" si="8"/>
        <v>3.4756452061373573E-2</v>
      </c>
      <c r="D278">
        <v>1075.53</v>
      </c>
      <c r="E278" s="5">
        <f t="shared" si="9"/>
        <v>3.8647622910449909E-2</v>
      </c>
    </row>
    <row r="279" spans="1:5" x14ac:dyDescent="0.25">
      <c r="A279" t="s">
        <v>283</v>
      </c>
      <c r="B279">
        <v>40776</v>
      </c>
      <c r="C279" s="5">
        <f t="shared" si="8"/>
        <v>-3.9085401602501468E-3</v>
      </c>
      <c r="D279">
        <v>1111.29</v>
      </c>
      <c r="E279" s="5">
        <f t="shared" si="9"/>
        <v>3.3248723884968336E-2</v>
      </c>
    </row>
    <row r="280" spans="1:5" x14ac:dyDescent="0.25">
      <c r="A280" t="s">
        <v>284</v>
      </c>
      <c r="B280">
        <v>41096</v>
      </c>
      <c r="C280" s="5">
        <f t="shared" si="8"/>
        <v>7.8477535805375719E-3</v>
      </c>
      <c r="D280">
        <v>1112.19</v>
      </c>
      <c r="E280" s="5">
        <f t="shared" si="9"/>
        <v>8.0986961099271211E-4</v>
      </c>
    </row>
    <row r="281" spans="1:5" x14ac:dyDescent="0.25">
      <c r="A281" t="s">
        <v>285</v>
      </c>
      <c r="B281">
        <v>41736</v>
      </c>
      <c r="C281" s="5">
        <f t="shared" si="8"/>
        <v>1.5573291804555188E-2</v>
      </c>
      <c r="D281">
        <v>1126.9100000000001</v>
      </c>
      <c r="E281" s="5">
        <f t="shared" si="9"/>
        <v>1.3235148670640831E-2</v>
      </c>
    </row>
    <row r="282" spans="1:5" x14ac:dyDescent="0.25">
      <c r="A282" t="s">
        <v>286</v>
      </c>
      <c r="B282">
        <v>41096</v>
      </c>
      <c r="C282" s="5">
        <f t="shared" si="8"/>
        <v>-1.5334483419589803E-2</v>
      </c>
      <c r="D282">
        <v>1083.18</v>
      </c>
      <c r="E282" s="5">
        <f t="shared" si="9"/>
        <v>-3.8805228456575962E-2</v>
      </c>
    </row>
    <row r="283" spans="1:5" x14ac:dyDescent="0.25">
      <c r="A283" t="s">
        <v>287</v>
      </c>
      <c r="B283">
        <v>41416</v>
      </c>
      <c r="C283" s="5">
        <f t="shared" si="8"/>
        <v>7.7866459022775938E-3</v>
      </c>
      <c r="D283">
        <v>1114.93</v>
      </c>
      <c r="E283" s="5">
        <f t="shared" si="9"/>
        <v>2.9311841060580879E-2</v>
      </c>
    </row>
    <row r="284" spans="1:5" x14ac:dyDescent="0.25">
      <c r="A284" t="s">
        <v>288</v>
      </c>
      <c r="B284">
        <v>44134</v>
      </c>
      <c r="C284" s="5">
        <f t="shared" si="8"/>
        <v>6.5626810894340346E-2</v>
      </c>
      <c r="D284">
        <v>1155.78</v>
      </c>
      <c r="E284" s="5">
        <f t="shared" si="9"/>
        <v>3.663907151121587E-2</v>
      </c>
    </row>
    <row r="285" spans="1:5" x14ac:dyDescent="0.25">
      <c r="A285" t="s">
        <v>289</v>
      </c>
      <c r="B285">
        <v>44614</v>
      </c>
      <c r="C285" s="5">
        <f t="shared" si="8"/>
        <v>1.0875968640957086E-2</v>
      </c>
      <c r="D285">
        <v>1174.3800000000001</v>
      </c>
      <c r="E285" s="5">
        <f t="shared" si="9"/>
        <v>1.6093028084929777E-2</v>
      </c>
    </row>
    <row r="286" spans="1:5" x14ac:dyDescent="0.25">
      <c r="A286" t="s">
        <v>290</v>
      </c>
      <c r="B286">
        <v>44006</v>
      </c>
      <c r="C286" s="5">
        <f t="shared" si="8"/>
        <v>-1.36280091451114E-2</v>
      </c>
      <c r="D286">
        <v>1173.5</v>
      </c>
      <c r="E286" s="5">
        <f t="shared" si="9"/>
        <v>-7.4933156218609737E-4</v>
      </c>
    </row>
    <row r="287" spans="1:5" x14ac:dyDescent="0.25">
      <c r="A287" t="s">
        <v>291</v>
      </c>
      <c r="B287">
        <v>43814</v>
      </c>
      <c r="C287" s="5">
        <f t="shared" si="8"/>
        <v>-4.3630414034449847E-3</v>
      </c>
      <c r="D287">
        <v>1175.04</v>
      </c>
      <c r="E287" s="5">
        <f t="shared" si="9"/>
        <v>1.3123135918193128E-3</v>
      </c>
    </row>
    <row r="288" spans="1:5" x14ac:dyDescent="0.25">
      <c r="A288" t="s">
        <v>292</v>
      </c>
      <c r="B288">
        <v>43559</v>
      </c>
      <c r="C288" s="5">
        <f t="shared" si="8"/>
        <v>-5.8200575158625098E-3</v>
      </c>
      <c r="D288">
        <v>1177.6400000000001</v>
      </c>
      <c r="E288" s="5">
        <f t="shared" si="9"/>
        <v>2.2126906318083949E-3</v>
      </c>
    </row>
    <row r="289" spans="1:5" x14ac:dyDescent="0.25">
      <c r="A289" t="s">
        <v>293</v>
      </c>
      <c r="B289">
        <v>42791</v>
      </c>
      <c r="C289" s="5">
        <f t="shared" si="8"/>
        <v>-1.7631258752496614E-2</v>
      </c>
      <c r="D289">
        <v>1162.01</v>
      </c>
      <c r="E289" s="5">
        <f t="shared" si="9"/>
        <v>-1.3272307326517534E-2</v>
      </c>
    </row>
    <row r="290" spans="1:5" x14ac:dyDescent="0.25">
      <c r="A290" t="s">
        <v>294</v>
      </c>
      <c r="B290">
        <v>43399</v>
      </c>
      <c r="C290" s="5">
        <f t="shared" si="8"/>
        <v>1.4208595265359537E-2</v>
      </c>
      <c r="D290">
        <v>1165.43</v>
      </c>
      <c r="E290" s="5">
        <f t="shared" si="9"/>
        <v>2.9431760483989576E-3</v>
      </c>
    </row>
    <row r="291" spans="1:5" x14ac:dyDescent="0.25">
      <c r="A291" t="s">
        <v>295</v>
      </c>
      <c r="B291">
        <v>43175</v>
      </c>
      <c r="C291" s="5">
        <f t="shared" si="8"/>
        <v>-5.1614092490610379E-3</v>
      </c>
      <c r="D291">
        <v>1168.47</v>
      </c>
      <c r="E291" s="5">
        <f t="shared" si="9"/>
        <v>2.6084792737444233E-3</v>
      </c>
    </row>
    <row r="292" spans="1:5" x14ac:dyDescent="0.25">
      <c r="A292" t="s">
        <v>296</v>
      </c>
      <c r="B292">
        <v>43111</v>
      </c>
      <c r="C292" s="5">
        <f t="shared" si="8"/>
        <v>-1.4823393167342212E-3</v>
      </c>
      <c r="D292">
        <v>1186.17</v>
      </c>
      <c r="E292" s="5">
        <f t="shared" si="9"/>
        <v>1.5148014069680903E-2</v>
      </c>
    </row>
    <row r="293" spans="1:5" x14ac:dyDescent="0.25">
      <c r="A293" t="s">
        <v>297</v>
      </c>
      <c r="B293">
        <v>43431</v>
      </c>
      <c r="C293" s="5">
        <f t="shared" si="8"/>
        <v>7.4226995430400596E-3</v>
      </c>
      <c r="D293">
        <v>1186.6099999999999</v>
      </c>
      <c r="E293" s="5">
        <f t="shared" si="9"/>
        <v>3.7094177057236922E-4</v>
      </c>
    </row>
    <row r="294" spans="1:5" x14ac:dyDescent="0.25">
      <c r="A294" t="s">
        <v>298</v>
      </c>
      <c r="B294">
        <v>43559</v>
      </c>
      <c r="C294" s="5">
        <f t="shared" si="8"/>
        <v>2.9472036103244227E-3</v>
      </c>
      <c r="D294">
        <v>1186.95</v>
      </c>
      <c r="E294" s="5">
        <f t="shared" si="9"/>
        <v>2.8653053657068926E-4</v>
      </c>
    </row>
    <row r="295" spans="1:5" x14ac:dyDescent="0.25">
      <c r="A295" t="s">
        <v>299</v>
      </c>
      <c r="B295">
        <v>42471</v>
      </c>
      <c r="C295" s="5">
        <f t="shared" si="8"/>
        <v>-2.4977616566036871E-2</v>
      </c>
      <c r="D295">
        <v>1168.52</v>
      </c>
      <c r="E295" s="5">
        <f t="shared" si="9"/>
        <v>-1.5527191541345518E-2</v>
      </c>
    </row>
    <row r="296" spans="1:5" x14ac:dyDescent="0.25">
      <c r="A296" t="s">
        <v>300</v>
      </c>
      <c r="B296">
        <v>42279</v>
      </c>
      <c r="C296" s="5">
        <f t="shared" si="8"/>
        <v>-4.5207317934590659E-3</v>
      </c>
      <c r="D296">
        <v>1168.69</v>
      </c>
      <c r="E296" s="5">
        <f t="shared" si="9"/>
        <v>1.4548317529873068E-4</v>
      </c>
    </row>
    <row r="297" spans="1:5" x14ac:dyDescent="0.25">
      <c r="A297" t="s">
        <v>301</v>
      </c>
      <c r="B297">
        <v>41832</v>
      </c>
      <c r="C297" s="5">
        <f t="shared" si="8"/>
        <v>-1.0572624707301498E-2</v>
      </c>
      <c r="D297">
        <v>1168.27</v>
      </c>
      <c r="E297" s="5">
        <f t="shared" si="9"/>
        <v>-3.5937673805720315E-4</v>
      </c>
    </row>
    <row r="298" spans="1:5" x14ac:dyDescent="0.25">
      <c r="A298" t="s">
        <v>302</v>
      </c>
      <c r="B298">
        <v>40968</v>
      </c>
      <c r="C298" s="5">
        <f t="shared" si="8"/>
        <v>-2.0654044750430294E-2</v>
      </c>
      <c r="D298">
        <v>1161.97</v>
      </c>
      <c r="E298" s="5">
        <f t="shared" si="9"/>
        <v>-5.3925890419166417E-3</v>
      </c>
    </row>
    <row r="299" spans="1:5" x14ac:dyDescent="0.25">
      <c r="A299" t="s">
        <v>303</v>
      </c>
      <c r="B299">
        <v>41736</v>
      </c>
      <c r="C299" s="5">
        <f t="shared" si="8"/>
        <v>1.8746338605741066E-2</v>
      </c>
      <c r="D299">
        <v>1170.08</v>
      </c>
      <c r="E299" s="5">
        <f t="shared" si="9"/>
        <v>6.9795261495562708E-3</v>
      </c>
    </row>
    <row r="300" spans="1:5" x14ac:dyDescent="0.25">
      <c r="A300" t="s">
        <v>304</v>
      </c>
      <c r="B300">
        <v>42375</v>
      </c>
      <c r="C300" s="5">
        <f t="shared" si="8"/>
        <v>1.5310523289246694E-2</v>
      </c>
      <c r="D300">
        <v>1181.73</v>
      </c>
      <c r="E300" s="5">
        <f t="shared" si="9"/>
        <v>9.9565841651853646E-3</v>
      </c>
    </row>
    <row r="301" spans="1:5" x14ac:dyDescent="0.25">
      <c r="A301" t="s">
        <v>305</v>
      </c>
      <c r="B301">
        <v>41928</v>
      </c>
      <c r="C301" s="5">
        <f t="shared" si="8"/>
        <v>-1.0548672566371681E-2</v>
      </c>
      <c r="D301">
        <v>1181.56</v>
      </c>
      <c r="E301" s="5">
        <f t="shared" si="9"/>
        <v>-1.4385688778322694E-4</v>
      </c>
    </row>
    <row r="302" spans="1:5" x14ac:dyDescent="0.25">
      <c r="A302" t="s">
        <v>306</v>
      </c>
      <c r="B302">
        <v>42439</v>
      </c>
      <c r="C302" s="5">
        <f t="shared" si="8"/>
        <v>1.2187559626025567E-2</v>
      </c>
      <c r="D302">
        <v>1184.56</v>
      </c>
      <c r="E302" s="5">
        <f t="shared" si="9"/>
        <v>2.5390162158502321E-3</v>
      </c>
    </row>
    <row r="303" spans="1:5" x14ac:dyDescent="0.25">
      <c r="A303" t="s">
        <v>307</v>
      </c>
      <c r="B303">
        <v>42599</v>
      </c>
      <c r="C303" s="5">
        <f t="shared" si="8"/>
        <v>3.7701171092627064E-3</v>
      </c>
      <c r="D303">
        <v>1179.9000000000001</v>
      </c>
      <c r="E303" s="5">
        <f t="shared" si="9"/>
        <v>-3.933950158708596E-3</v>
      </c>
    </row>
    <row r="304" spans="1:5" x14ac:dyDescent="0.25">
      <c r="A304" t="s">
        <v>308</v>
      </c>
      <c r="B304">
        <v>42471</v>
      </c>
      <c r="C304" s="5">
        <f t="shared" si="8"/>
        <v>-3.0047653700791097E-3</v>
      </c>
      <c r="D304">
        <v>1186.0899999999999</v>
      </c>
      <c r="E304" s="5">
        <f t="shared" si="9"/>
        <v>5.2462073057037263E-3</v>
      </c>
    </row>
    <row r="305" spans="1:5" x14ac:dyDescent="0.25">
      <c r="A305" t="s">
        <v>309</v>
      </c>
      <c r="B305">
        <v>42727</v>
      </c>
      <c r="C305" s="5">
        <f t="shared" si="8"/>
        <v>6.0276423912787548E-3</v>
      </c>
      <c r="D305">
        <v>1200.94</v>
      </c>
      <c r="E305" s="5">
        <f t="shared" si="9"/>
        <v>1.2520129163891558E-2</v>
      </c>
    </row>
    <row r="306" spans="1:5" x14ac:dyDescent="0.25">
      <c r="A306" t="s">
        <v>310</v>
      </c>
      <c r="B306">
        <v>42535</v>
      </c>
      <c r="C306" s="5">
        <f t="shared" si="8"/>
        <v>-4.4936457041215155E-3</v>
      </c>
      <c r="D306">
        <v>1194.05</v>
      </c>
      <c r="E306" s="5">
        <f t="shared" si="9"/>
        <v>-5.7371725481706829E-3</v>
      </c>
    </row>
    <row r="307" spans="1:5" x14ac:dyDescent="0.25">
      <c r="A307" t="s">
        <v>311</v>
      </c>
      <c r="B307">
        <v>42183</v>
      </c>
      <c r="C307" s="5">
        <f t="shared" si="8"/>
        <v>-8.2755377924062529E-3</v>
      </c>
      <c r="D307">
        <v>1194.43</v>
      </c>
      <c r="E307" s="5">
        <f t="shared" si="9"/>
        <v>3.1824462962196657E-4</v>
      </c>
    </row>
    <row r="308" spans="1:5" x14ac:dyDescent="0.25">
      <c r="A308" t="s">
        <v>312</v>
      </c>
      <c r="B308">
        <v>41896</v>
      </c>
      <c r="C308" s="5">
        <f t="shared" si="8"/>
        <v>-6.8036886897565371E-3</v>
      </c>
      <c r="D308">
        <v>1183.45</v>
      </c>
      <c r="E308" s="5">
        <f t="shared" si="9"/>
        <v>-9.192669306698608E-3</v>
      </c>
    </row>
    <row r="309" spans="1:5" x14ac:dyDescent="0.25">
      <c r="A309" t="s">
        <v>313</v>
      </c>
      <c r="B309">
        <v>41544</v>
      </c>
      <c r="C309" s="5">
        <f t="shared" si="8"/>
        <v>-8.4017567309528363E-3</v>
      </c>
      <c r="D309">
        <v>1161.81</v>
      </c>
      <c r="E309" s="5">
        <f t="shared" si="9"/>
        <v>-1.8285521145802612E-2</v>
      </c>
    </row>
    <row r="310" spans="1:5" x14ac:dyDescent="0.25">
      <c r="A310" t="s">
        <v>314</v>
      </c>
      <c r="B310">
        <v>41192</v>
      </c>
      <c r="C310" s="5">
        <f t="shared" si="8"/>
        <v>-8.4729443481609858E-3</v>
      </c>
      <c r="D310">
        <v>1163.0999999999999</v>
      </c>
      <c r="E310" s="5">
        <f t="shared" si="9"/>
        <v>1.1103364577684507E-3</v>
      </c>
    </row>
    <row r="311" spans="1:5" x14ac:dyDescent="0.25">
      <c r="A311" t="s">
        <v>315</v>
      </c>
      <c r="B311">
        <v>41576</v>
      </c>
      <c r="C311" s="5">
        <f t="shared" si="8"/>
        <v>9.3221984851427457E-3</v>
      </c>
      <c r="D311">
        <v>1162.21</v>
      </c>
      <c r="E311" s="5">
        <f t="shared" si="9"/>
        <v>-7.651964577421312E-4</v>
      </c>
    </row>
    <row r="312" spans="1:5" x14ac:dyDescent="0.25">
      <c r="A312" t="s">
        <v>316</v>
      </c>
      <c r="B312">
        <v>41608</v>
      </c>
      <c r="C312" s="5">
        <f t="shared" si="8"/>
        <v>7.6967481239176446E-4</v>
      </c>
      <c r="D312">
        <v>1175.68</v>
      </c>
      <c r="E312" s="5">
        <f t="shared" si="9"/>
        <v>1.1589988040027213E-2</v>
      </c>
    </row>
    <row r="313" spans="1:5" x14ac:dyDescent="0.25">
      <c r="A313" t="s">
        <v>317</v>
      </c>
      <c r="B313">
        <v>41384</v>
      </c>
      <c r="C313" s="5">
        <f t="shared" si="8"/>
        <v>-5.3835800807537013E-3</v>
      </c>
      <c r="D313">
        <v>1186.3599999999999</v>
      </c>
      <c r="E313" s="5">
        <f t="shared" si="9"/>
        <v>9.0841045182361146E-3</v>
      </c>
    </row>
    <row r="314" spans="1:5" x14ac:dyDescent="0.25">
      <c r="A314" t="s">
        <v>318</v>
      </c>
      <c r="B314">
        <v>41480</v>
      </c>
      <c r="C314" s="5">
        <f t="shared" si="8"/>
        <v>2.3197370964624011E-3</v>
      </c>
      <c r="D314">
        <v>1191.44</v>
      </c>
      <c r="E314" s="5">
        <f t="shared" si="9"/>
        <v>4.2820054620858385E-3</v>
      </c>
    </row>
    <row r="315" spans="1:5" x14ac:dyDescent="0.25">
      <c r="A315" t="s">
        <v>319</v>
      </c>
      <c r="B315">
        <v>42951</v>
      </c>
      <c r="C315" s="5">
        <f t="shared" si="8"/>
        <v>3.5462873674059786E-2</v>
      </c>
      <c r="D315">
        <v>1216.0999999999999</v>
      </c>
      <c r="E315" s="5">
        <f t="shared" si="9"/>
        <v>2.0697643188074811E-2</v>
      </c>
    </row>
    <row r="316" spans="1:5" x14ac:dyDescent="0.25">
      <c r="A316" t="s">
        <v>320</v>
      </c>
      <c r="B316">
        <v>43111</v>
      </c>
      <c r="C316" s="5">
        <f t="shared" si="8"/>
        <v>3.7251751996461085E-3</v>
      </c>
      <c r="D316">
        <v>1224.45</v>
      </c>
      <c r="E316" s="5">
        <f t="shared" si="9"/>
        <v>6.8662116602254235E-3</v>
      </c>
    </row>
    <row r="317" spans="1:5" x14ac:dyDescent="0.25">
      <c r="A317" t="s">
        <v>321</v>
      </c>
      <c r="B317">
        <v>42887</v>
      </c>
      <c r="C317" s="5">
        <f t="shared" si="8"/>
        <v>-5.195889680128042E-3</v>
      </c>
      <c r="D317">
        <v>1236.05</v>
      </c>
      <c r="E317" s="5">
        <f t="shared" si="9"/>
        <v>9.4736412266731261E-3</v>
      </c>
    </row>
    <row r="318" spans="1:5" x14ac:dyDescent="0.25">
      <c r="A318" t="s">
        <v>322</v>
      </c>
      <c r="B318">
        <v>42631</v>
      </c>
      <c r="C318" s="5">
        <f t="shared" si="8"/>
        <v>-5.969174808216942E-3</v>
      </c>
      <c r="D318">
        <v>1239.96</v>
      </c>
      <c r="E318" s="5">
        <f t="shared" si="9"/>
        <v>3.1633024554023558E-3</v>
      </c>
    </row>
    <row r="319" spans="1:5" x14ac:dyDescent="0.25">
      <c r="A319" t="s">
        <v>323</v>
      </c>
      <c r="B319">
        <v>43015</v>
      </c>
      <c r="C319" s="5">
        <f t="shared" si="8"/>
        <v>9.0075297318852471E-3</v>
      </c>
      <c r="D319">
        <v>1242.3800000000001</v>
      </c>
      <c r="E319" s="5">
        <f t="shared" si="9"/>
        <v>1.9516758605116881E-3</v>
      </c>
    </row>
    <row r="320" spans="1:5" x14ac:dyDescent="0.25">
      <c r="A320" t="s">
        <v>324</v>
      </c>
      <c r="B320">
        <v>42855</v>
      </c>
      <c r="C320" s="5">
        <f t="shared" si="8"/>
        <v>-3.7196326862722305E-3</v>
      </c>
      <c r="D320">
        <v>1234.8900000000001</v>
      </c>
      <c r="E320" s="5">
        <f t="shared" si="9"/>
        <v>-6.0287512677280773E-3</v>
      </c>
    </row>
    <row r="321" spans="1:5" x14ac:dyDescent="0.25">
      <c r="A321" t="s">
        <v>325</v>
      </c>
      <c r="B321">
        <v>42631</v>
      </c>
      <c r="C321" s="5">
        <f t="shared" si="8"/>
        <v>-5.2269280130673203E-3</v>
      </c>
      <c r="D321">
        <v>1231.6600000000001</v>
      </c>
      <c r="E321" s="5">
        <f t="shared" si="9"/>
        <v>-2.6156175853719911E-3</v>
      </c>
    </row>
    <row r="322" spans="1:5" x14ac:dyDescent="0.25">
      <c r="A322" t="s">
        <v>326</v>
      </c>
      <c r="B322">
        <v>43143</v>
      </c>
      <c r="C322" s="5">
        <f t="shared" si="8"/>
        <v>1.2010039642513664E-2</v>
      </c>
      <c r="D322">
        <v>1252.45</v>
      </c>
      <c r="E322" s="5">
        <f t="shared" si="9"/>
        <v>1.6879658347271131E-2</v>
      </c>
    </row>
    <row r="323" spans="1:5" x14ac:dyDescent="0.25">
      <c r="A323" t="s">
        <v>327</v>
      </c>
      <c r="B323">
        <v>43143</v>
      </c>
      <c r="C323" s="5">
        <f t="shared" si="8"/>
        <v>0</v>
      </c>
      <c r="D323">
        <v>1248.33</v>
      </c>
      <c r="E323" s="5">
        <f t="shared" si="9"/>
        <v>-3.2895524771448903E-3</v>
      </c>
    </row>
    <row r="324" spans="1:5" x14ac:dyDescent="0.25">
      <c r="A324" t="s">
        <v>328</v>
      </c>
      <c r="B324">
        <v>43303</v>
      </c>
      <c r="C324" s="5">
        <f t="shared" si="8"/>
        <v>3.7085969914006909E-3</v>
      </c>
      <c r="D324">
        <v>1255.8699999999999</v>
      </c>
      <c r="E324" s="5">
        <f t="shared" si="9"/>
        <v>6.0400695328959204E-3</v>
      </c>
    </row>
    <row r="325" spans="1:5" x14ac:dyDescent="0.25">
      <c r="A325" t="s">
        <v>329</v>
      </c>
      <c r="B325">
        <v>42759</v>
      </c>
      <c r="C325" s="5">
        <f t="shared" si="8"/>
        <v>-1.2562640001847447E-2</v>
      </c>
      <c r="D325">
        <v>1247.25</v>
      </c>
      <c r="E325" s="5">
        <f t="shared" si="9"/>
        <v>-6.8637677466615908E-3</v>
      </c>
    </row>
    <row r="326" spans="1:5" x14ac:dyDescent="0.25">
      <c r="A326" t="s">
        <v>330</v>
      </c>
      <c r="B326">
        <v>42855</v>
      </c>
      <c r="C326" s="5">
        <f t="shared" ref="C326:C389" si="10">(B326-B325)/B325</f>
        <v>2.245141373745878E-3</v>
      </c>
      <c r="D326">
        <v>1238.71</v>
      </c>
      <c r="E326" s="5">
        <f t="shared" ref="E326:E389" si="11">(D326-D325)/D325</f>
        <v>-6.8470635397875033E-3</v>
      </c>
    </row>
    <row r="327" spans="1:5" x14ac:dyDescent="0.25">
      <c r="A327" t="s">
        <v>331</v>
      </c>
      <c r="B327">
        <v>43942</v>
      </c>
      <c r="C327" s="5">
        <f t="shared" si="10"/>
        <v>2.5364601563411505E-2</v>
      </c>
      <c r="D327">
        <v>1260.58</v>
      </c>
      <c r="E327" s="5">
        <f t="shared" si="11"/>
        <v>1.7655464152222789E-2</v>
      </c>
    </row>
    <row r="328" spans="1:5" x14ac:dyDescent="0.25">
      <c r="A328" t="s">
        <v>332</v>
      </c>
      <c r="B328">
        <v>45573</v>
      </c>
      <c r="C328" s="5">
        <f t="shared" si="10"/>
        <v>3.7117108916298755E-2</v>
      </c>
      <c r="D328">
        <v>1268.28</v>
      </c>
      <c r="E328" s="5">
        <f t="shared" si="11"/>
        <v>6.1082993542655329E-3</v>
      </c>
    </row>
    <row r="329" spans="1:5" x14ac:dyDescent="0.25">
      <c r="A329" t="s">
        <v>333</v>
      </c>
      <c r="B329">
        <v>45573</v>
      </c>
      <c r="C329" s="5">
        <f t="shared" si="10"/>
        <v>0</v>
      </c>
      <c r="D329">
        <v>1227.82</v>
      </c>
      <c r="E329" s="5">
        <f t="shared" si="11"/>
        <v>-3.1901472860882484E-2</v>
      </c>
    </row>
    <row r="330" spans="1:5" x14ac:dyDescent="0.25">
      <c r="A330" t="s">
        <v>334</v>
      </c>
      <c r="B330">
        <v>47173</v>
      </c>
      <c r="C330" s="5">
        <f t="shared" si="10"/>
        <v>3.5108507230158209E-2</v>
      </c>
      <c r="D330">
        <v>1248.53</v>
      </c>
      <c r="E330" s="5">
        <f t="shared" si="11"/>
        <v>1.6867293251453825E-2</v>
      </c>
    </row>
    <row r="331" spans="1:5" x14ac:dyDescent="0.25">
      <c r="A331" t="s">
        <v>335</v>
      </c>
      <c r="B331">
        <v>45573</v>
      </c>
      <c r="C331" s="5">
        <f t="shared" si="10"/>
        <v>-3.3917707162995782E-2</v>
      </c>
      <c r="D331">
        <v>1215.77</v>
      </c>
      <c r="E331" s="5">
        <f t="shared" si="11"/>
        <v>-2.6238856895709348E-2</v>
      </c>
    </row>
    <row r="332" spans="1:5" x14ac:dyDescent="0.25">
      <c r="A332" t="s">
        <v>336</v>
      </c>
      <c r="B332">
        <v>45382</v>
      </c>
      <c r="C332" s="5">
        <f t="shared" si="10"/>
        <v>-4.1910780506001361E-3</v>
      </c>
      <c r="D332">
        <v>1219.75</v>
      </c>
      <c r="E332" s="5">
        <f t="shared" si="11"/>
        <v>3.2736455086077288E-3</v>
      </c>
    </row>
    <row r="333" spans="1:5" x14ac:dyDescent="0.25">
      <c r="A333" t="s">
        <v>337</v>
      </c>
      <c r="B333">
        <v>44774</v>
      </c>
      <c r="C333" s="5">
        <f t="shared" si="10"/>
        <v>-1.3397382222026353E-2</v>
      </c>
      <c r="D333">
        <v>1229.55</v>
      </c>
      <c r="E333" s="5">
        <f t="shared" si="11"/>
        <v>8.0344332855092886E-3</v>
      </c>
    </row>
    <row r="334" spans="1:5" x14ac:dyDescent="0.25">
      <c r="A334" t="s">
        <v>338</v>
      </c>
      <c r="B334">
        <v>45062</v>
      </c>
      <c r="C334" s="5">
        <f t="shared" si="10"/>
        <v>6.4323044624112211E-3</v>
      </c>
      <c r="D334">
        <v>1239.3900000000001</v>
      </c>
      <c r="E334" s="5">
        <f t="shared" si="11"/>
        <v>8.0029279004515032E-3</v>
      </c>
    </row>
    <row r="335" spans="1:5" x14ac:dyDescent="0.25">
      <c r="A335" t="s">
        <v>339</v>
      </c>
      <c r="B335">
        <v>44582</v>
      </c>
      <c r="C335" s="5">
        <f t="shared" si="10"/>
        <v>-1.0651990590741645E-2</v>
      </c>
      <c r="D335">
        <v>1242.2</v>
      </c>
      <c r="E335" s="5">
        <f t="shared" si="11"/>
        <v>2.2672443702143356E-3</v>
      </c>
    </row>
    <row r="336" spans="1:5" x14ac:dyDescent="0.25">
      <c r="A336" t="s">
        <v>340</v>
      </c>
      <c r="B336">
        <v>45062</v>
      </c>
      <c r="C336" s="5">
        <f t="shared" si="10"/>
        <v>1.0766677134269436E-2</v>
      </c>
      <c r="D336">
        <v>1256.43</v>
      </c>
      <c r="E336" s="5">
        <f t="shared" si="11"/>
        <v>1.1455482208984074E-2</v>
      </c>
    </row>
    <row r="337" spans="1:5" x14ac:dyDescent="0.25">
      <c r="A337" t="s">
        <v>341</v>
      </c>
      <c r="B337">
        <v>45414</v>
      </c>
      <c r="C337" s="5">
        <f t="shared" si="10"/>
        <v>7.8114597665438733E-3</v>
      </c>
      <c r="D337">
        <v>1250.57</v>
      </c>
      <c r="E337" s="5">
        <f t="shared" si="11"/>
        <v>-4.6640083410935161E-3</v>
      </c>
    </row>
    <row r="338" spans="1:5" x14ac:dyDescent="0.25">
      <c r="A338" t="s">
        <v>342</v>
      </c>
      <c r="B338">
        <v>44838</v>
      </c>
      <c r="C338" s="5">
        <f t="shared" si="10"/>
        <v>-1.2683313515655966E-2</v>
      </c>
      <c r="D338">
        <v>1241.81</v>
      </c>
      <c r="E338" s="5">
        <f t="shared" si="11"/>
        <v>-7.0048058085512939E-3</v>
      </c>
    </row>
    <row r="339" spans="1:5" x14ac:dyDescent="0.25">
      <c r="A339" t="s">
        <v>343</v>
      </c>
      <c r="B339">
        <v>44166</v>
      </c>
      <c r="C339" s="5">
        <f t="shared" si="10"/>
        <v>-1.4987287568580221E-2</v>
      </c>
      <c r="D339">
        <v>1259.58</v>
      </c>
      <c r="E339" s="5">
        <f t="shared" si="11"/>
        <v>1.4309757531345361E-2</v>
      </c>
    </row>
    <row r="340" spans="1:5" x14ac:dyDescent="0.25">
      <c r="A340" t="s">
        <v>344</v>
      </c>
      <c r="B340">
        <v>43974</v>
      </c>
      <c r="C340" s="5">
        <f t="shared" si="10"/>
        <v>-4.3472354299687538E-3</v>
      </c>
      <c r="D340">
        <v>1256.04</v>
      </c>
      <c r="E340" s="5">
        <f t="shared" si="11"/>
        <v>-2.8104606297336921E-3</v>
      </c>
    </row>
    <row r="341" spans="1:5" x14ac:dyDescent="0.25">
      <c r="A341" t="s">
        <v>345</v>
      </c>
      <c r="B341">
        <v>44614</v>
      </c>
      <c r="C341" s="5">
        <f t="shared" si="10"/>
        <v>1.4554054668667849E-2</v>
      </c>
      <c r="D341">
        <v>1269.0899999999999</v>
      </c>
      <c r="E341" s="5">
        <f t="shared" si="11"/>
        <v>1.0389796503296038E-2</v>
      </c>
    </row>
    <row r="342" spans="1:5" x14ac:dyDescent="0.25">
      <c r="A342" t="s">
        <v>346</v>
      </c>
      <c r="B342">
        <v>44774</v>
      </c>
      <c r="C342" s="5">
        <f t="shared" si="10"/>
        <v>3.5863181960819474E-3</v>
      </c>
      <c r="D342">
        <v>1261.99</v>
      </c>
      <c r="E342" s="5">
        <f t="shared" si="11"/>
        <v>-5.594559881489815E-3</v>
      </c>
    </row>
    <row r="343" spans="1:5" x14ac:dyDescent="0.25">
      <c r="A343" t="s">
        <v>347</v>
      </c>
      <c r="B343">
        <v>45573</v>
      </c>
      <c r="C343" s="5">
        <f t="shared" si="10"/>
        <v>1.7845178005092242E-2</v>
      </c>
      <c r="D343">
        <v>1266.3599999999999</v>
      </c>
      <c r="E343" s="5">
        <f t="shared" si="11"/>
        <v>3.4627849666002829E-3</v>
      </c>
    </row>
    <row r="344" spans="1:5" x14ac:dyDescent="0.25">
      <c r="A344" t="s">
        <v>348</v>
      </c>
      <c r="B344">
        <v>45254</v>
      </c>
      <c r="C344" s="5">
        <f t="shared" si="10"/>
        <v>-6.9997586290127924E-3</v>
      </c>
      <c r="D344">
        <v>1258.7</v>
      </c>
      <c r="E344" s="5">
        <f t="shared" si="11"/>
        <v>-6.0488328753275965E-3</v>
      </c>
    </row>
    <row r="345" spans="1:5" x14ac:dyDescent="0.25">
      <c r="A345" t="s">
        <v>349</v>
      </c>
      <c r="B345">
        <v>45318</v>
      </c>
      <c r="C345" s="5">
        <f t="shared" si="10"/>
        <v>1.4142396252264993E-3</v>
      </c>
      <c r="D345">
        <v>1252.68</v>
      </c>
      <c r="E345" s="5">
        <f t="shared" si="11"/>
        <v>-4.7827123222372141E-3</v>
      </c>
    </row>
    <row r="346" spans="1:5" x14ac:dyDescent="0.25">
      <c r="A346" t="s">
        <v>350</v>
      </c>
      <c r="B346">
        <v>45318</v>
      </c>
      <c r="C346" s="5">
        <f t="shared" si="10"/>
        <v>0</v>
      </c>
      <c r="D346">
        <v>1262.49</v>
      </c>
      <c r="E346" s="5">
        <f t="shared" si="11"/>
        <v>7.8312098860043623E-3</v>
      </c>
    </row>
    <row r="347" spans="1:5" x14ac:dyDescent="0.25">
      <c r="A347" t="s">
        <v>351</v>
      </c>
      <c r="B347">
        <v>47972</v>
      </c>
      <c r="C347" s="5">
        <f t="shared" si="10"/>
        <v>5.8563926033805551E-2</v>
      </c>
      <c r="D347">
        <v>1278.22</v>
      </c>
      <c r="E347" s="5">
        <f t="shared" si="11"/>
        <v>1.2459504629739656E-2</v>
      </c>
    </row>
    <row r="348" spans="1:5" x14ac:dyDescent="0.25">
      <c r="A348" t="s">
        <v>352</v>
      </c>
      <c r="B348">
        <v>46501</v>
      </c>
      <c r="C348" s="5">
        <f t="shared" si="10"/>
        <v>-3.0663720503627114E-2</v>
      </c>
      <c r="D348">
        <v>1283.93</v>
      </c>
      <c r="E348" s="5">
        <f t="shared" si="11"/>
        <v>4.4671496299541836E-3</v>
      </c>
    </row>
    <row r="349" spans="1:5" x14ac:dyDescent="0.25">
      <c r="A349" t="s">
        <v>353</v>
      </c>
      <c r="B349">
        <v>46693</v>
      </c>
      <c r="C349" s="5">
        <f t="shared" si="10"/>
        <v>4.128943463581428E-3</v>
      </c>
      <c r="D349">
        <v>1297.98</v>
      </c>
      <c r="E349" s="5">
        <f t="shared" si="11"/>
        <v>1.0942964180290166E-2</v>
      </c>
    </row>
    <row r="350" spans="1:5" x14ac:dyDescent="0.25">
      <c r="A350" t="s">
        <v>354</v>
      </c>
      <c r="B350">
        <v>46693</v>
      </c>
      <c r="C350" s="5">
        <f t="shared" si="10"/>
        <v>0</v>
      </c>
      <c r="D350">
        <v>1308.58</v>
      </c>
      <c r="E350" s="5">
        <f t="shared" si="11"/>
        <v>8.1665356939243355E-3</v>
      </c>
    </row>
    <row r="351" spans="1:5" x14ac:dyDescent="0.25">
      <c r="A351" t="s">
        <v>355</v>
      </c>
      <c r="B351">
        <v>46341</v>
      </c>
      <c r="C351" s="5">
        <f t="shared" si="10"/>
        <v>-7.5386032167562593E-3</v>
      </c>
      <c r="D351">
        <v>1316.7</v>
      </c>
      <c r="E351" s="5">
        <f t="shared" si="11"/>
        <v>6.2051995292608164E-3</v>
      </c>
    </row>
    <row r="352" spans="1:5" x14ac:dyDescent="0.25">
      <c r="A352" t="s">
        <v>356</v>
      </c>
      <c r="B352">
        <v>45541</v>
      </c>
      <c r="C352" s="5">
        <f t="shared" si="10"/>
        <v>-1.7263330528042124E-2</v>
      </c>
      <c r="D352">
        <v>1303.57</v>
      </c>
      <c r="E352" s="5">
        <f t="shared" si="11"/>
        <v>-9.9718994455837394E-3</v>
      </c>
    </row>
    <row r="353" spans="1:5" x14ac:dyDescent="0.25">
      <c r="A353" t="s">
        <v>357</v>
      </c>
      <c r="B353">
        <v>45637</v>
      </c>
      <c r="C353" s="5">
        <f t="shared" si="10"/>
        <v>2.1079906018752334E-3</v>
      </c>
      <c r="D353">
        <v>1320.46</v>
      </c>
      <c r="E353" s="5">
        <f t="shared" si="11"/>
        <v>1.2956726527919561E-2</v>
      </c>
    </row>
    <row r="354" spans="1:5" x14ac:dyDescent="0.25">
      <c r="A354" t="s">
        <v>358</v>
      </c>
      <c r="B354">
        <v>44294</v>
      </c>
      <c r="C354" s="5">
        <f t="shared" si="10"/>
        <v>-2.942787650371409E-2</v>
      </c>
      <c r="D354">
        <v>1328.05</v>
      </c>
      <c r="E354" s="5">
        <f t="shared" si="11"/>
        <v>5.7479969101676071E-3</v>
      </c>
    </row>
    <row r="355" spans="1:5" x14ac:dyDescent="0.25">
      <c r="A355" t="s">
        <v>359</v>
      </c>
      <c r="B355">
        <v>43655</v>
      </c>
      <c r="C355" s="5">
        <f t="shared" si="10"/>
        <v>-1.4426333137671016E-2</v>
      </c>
      <c r="D355">
        <v>1337.78</v>
      </c>
      <c r="E355" s="5">
        <f t="shared" si="11"/>
        <v>7.3265313805956243E-3</v>
      </c>
    </row>
    <row r="356" spans="1:5" x14ac:dyDescent="0.25">
      <c r="A356" t="s">
        <v>360</v>
      </c>
      <c r="B356">
        <v>44390</v>
      </c>
      <c r="C356" s="5">
        <f t="shared" si="10"/>
        <v>1.6836559386095521E-2</v>
      </c>
      <c r="D356">
        <v>1340.78</v>
      </c>
      <c r="E356" s="5">
        <f t="shared" si="11"/>
        <v>2.2425211918252626E-3</v>
      </c>
    </row>
    <row r="357" spans="1:5" x14ac:dyDescent="0.25">
      <c r="A357" t="s">
        <v>361</v>
      </c>
      <c r="B357">
        <v>44454</v>
      </c>
      <c r="C357" s="5">
        <f t="shared" si="10"/>
        <v>1.4417661635503492E-3</v>
      </c>
      <c r="D357">
        <v>1364.28</v>
      </c>
      <c r="E357" s="5">
        <f t="shared" si="11"/>
        <v>1.752711108459255E-2</v>
      </c>
    </row>
    <row r="358" spans="1:5" x14ac:dyDescent="0.25">
      <c r="A358" t="s">
        <v>362</v>
      </c>
      <c r="B358">
        <v>43974</v>
      </c>
      <c r="C358" s="5">
        <f t="shared" si="10"/>
        <v>-1.0797678499122689E-2</v>
      </c>
      <c r="D358">
        <v>1374.05</v>
      </c>
      <c r="E358" s="5">
        <f t="shared" si="11"/>
        <v>7.161286539420047E-3</v>
      </c>
    </row>
    <row r="359" spans="1:5" x14ac:dyDescent="0.25">
      <c r="A359" t="s">
        <v>363</v>
      </c>
      <c r="B359">
        <v>43527</v>
      </c>
      <c r="C359" s="5">
        <f t="shared" si="10"/>
        <v>-1.01650975576477E-2</v>
      </c>
      <c r="D359">
        <v>1358.78</v>
      </c>
      <c r="E359" s="5">
        <f t="shared" si="11"/>
        <v>-1.1113132709872263E-2</v>
      </c>
    </row>
    <row r="360" spans="1:5" x14ac:dyDescent="0.25">
      <c r="A360" t="s">
        <v>364</v>
      </c>
      <c r="B360">
        <v>43495</v>
      </c>
      <c r="C360" s="5">
        <f t="shared" si="10"/>
        <v>-7.3517586785213772E-4</v>
      </c>
      <c r="D360">
        <v>1319.88</v>
      </c>
      <c r="E360" s="5">
        <f t="shared" si="11"/>
        <v>-2.8628622735100504E-2</v>
      </c>
    </row>
    <row r="361" spans="1:5" x14ac:dyDescent="0.25">
      <c r="A361" t="s">
        <v>365</v>
      </c>
      <c r="B361">
        <v>43623</v>
      </c>
      <c r="C361" s="5">
        <f t="shared" si="10"/>
        <v>2.9428669962064604E-3</v>
      </c>
      <c r="D361">
        <v>1332.9</v>
      </c>
      <c r="E361" s="5">
        <f t="shared" si="11"/>
        <v>9.8645331393762917E-3</v>
      </c>
    </row>
    <row r="362" spans="1:5" x14ac:dyDescent="0.25">
      <c r="A362" t="s">
        <v>366</v>
      </c>
      <c r="B362">
        <v>43271</v>
      </c>
      <c r="C362" s="5">
        <f t="shared" si="10"/>
        <v>-8.0691378401302073E-3</v>
      </c>
      <c r="D362">
        <v>1323.58</v>
      </c>
      <c r="E362" s="5">
        <f t="shared" si="11"/>
        <v>-6.9922724885589042E-3</v>
      </c>
    </row>
    <row r="363" spans="1:5" x14ac:dyDescent="0.25">
      <c r="A363" t="s">
        <v>367</v>
      </c>
      <c r="B363">
        <v>43814</v>
      </c>
      <c r="C363" s="5">
        <f t="shared" si="10"/>
        <v>1.2548820226017426E-2</v>
      </c>
      <c r="D363">
        <v>1351.74</v>
      </c>
      <c r="E363" s="5">
        <f t="shared" si="11"/>
        <v>2.1275631242539238E-2</v>
      </c>
    </row>
    <row r="364" spans="1:5" x14ac:dyDescent="0.25">
      <c r="A364" t="s">
        <v>368</v>
      </c>
      <c r="B364">
        <v>44166</v>
      </c>
      <c r="C364" s="5">
        <f t="shared" si="10"/>
        <v>8.0339617473866795E-3</v>
      </c>
      <c r="D364">
        <v>1361.72</v>
      </c>
      <c r="E364" s="5">
        <f t="shared" si="11"/>
        <v>7.3830766271620416E-3</v>
      </c>
    </row>
    <row r="365" spans="1:5" x14ac:dyDescent="0.25">
      <c r="A365" t="s">
        <v>369</v>
      </c>
      <c r="B365">
        <v>44102</v>
      </c>
      <c r="C365" s="5">
        <f t="shared" si="10"/>
        <v>-1.4490784766562515E-3</v>
      </c>
      <c r="D365">
        <v>1367.36</v>
      </c>
      <c r="E365" s="5">
        <f t="shared" si="11"/>
        <v>4.1418206386040247E-3</v>
      </c>
    </row>
    <row r="366" spans="1:5" x14ac:dyDescent="0.25">
      <c r="A366" t="s">
        <v>370</v>
      </c>
      <c r="B366">
        <v>43814</v>
      </c>
      <c r="C366" s="5">
        <f t="shared" si="10"/>
        <v>-6.5303160854383018E-3</v>
      </c>
      <c r="D366">
        <v>1356.52</v>
      </c>
      <c r="E366" s="5">
        <f t="shared" si="11"/>
        <v>-7.9276854668850327E-3</v>
      </c>
    </row>
    <row r="367" spans="1:5" x14ac:dyDescent="0.25">
      <c r="A367" t="s">
        <v>371</v>
      </c>
      <c r="B367">
        <v>44454</v>
      </c>
      <c r="C367" s="5">
        <f t="shared" si="10"/>
        <v>1.460720317706669E-2</v>
      </c>
      <c r="D367">
        <v>1359.92</v>
      </c>
      <c r="E367" s="5">
        <f t="shared" si="11"/>
        <v>2.5064134697609258E-3</v>
      </c>
    </row>
    <row r="368" spans="1:5" x14ac:dyDescent="0.25">
      <c r="A368" t="s">
        <v>372</v>
      </c>
      <c r="B368">
        <v>45094</v>
      </c>
      <c r="C368" s="5">
        <f t="shared" si="10"/>
        <v>1.4396904665496918E-2</v>
      </c>
      <c r="D368">
        <v>1377.77</v>
      </c>
      <c r="E368" s="5">
        <f t="shared" si="11"/>
        <v>1.3125772104241358E-2</v>
      </c>
    </row>
    <row r="369" spans="1:5" x14ac:dyDescent="0.25">
      <c r="A369" t="s">
        <v>373</v>
      </c>
      <c r="B369">
        <v>46629</v>
      </c>
      <c r="C369" s="5">
        <f t="shared" si="10"/>
        <v>3.4040005322215815E-2</v>
      </c>
      <c r="D369">
        <v>1372.63</v>
      </c>
      <c r="E369" s="5">
        <f t="shared" si="11"/>
        <v>-3.7306662215027711E-3</v>
      </c>
    </row>
    <row r="370" spans="1:5" x14ac:dyDescent="0.25">
      <c r="A370" t="s">
        <v>374</v>
      </c>
      <c r="B370">
        <v>46693</v>
      </c>
      <c r="C370" s="5">
        <f t="shared" si="10"/>
        <v>1.3725364043835381E-3</v>
      </c>
      <c r="D370">
        <v>1379.97</v>
      </c>
      <c r="E370" s="5">
        <f t="shared" si="11"/>
        <v>5.3473987891856636E-3</v>
      </c>
    </row>
    <row r="371" spans="1:5" x14ac:dyDescent="0.25">
      <c r="A371" t="s">
        <v>375</v>
      </c>
      <c r="B371">
        <v>46053</v>
      </c>
      <c r="C371" s="5">
        <f t="shared" si="10"/>
        <v>-1.3706551303193199E-2</v>
      </c>
      <c r="D371">
        <v>1376.87</v>
      </c>
      <c r="E371" s="5">
        <f t="shared" si="11"/>
        <v>-2.2464256469344524E-3</v>
      </c>
    </row>
    <row r="372" spans="1:5" x14ac:dyDescent="0.25">
      <c r="A372" t="s">
        <v>376</v>
      </c>
      <c r="B372">
        <v>46053</v>
      </c>
      <c r="C372" s="5">
        <f t="shared" si="10"/>
        <v>0</v>
      </c>
      <c r="D372">
        <v>1379.72</v>
      </c>
      <c r="E372" s="5">
        <f t="shared" si="11"/>
        <v>2.0699121921460535E-3</v>
      </c>
    </row>
    <row r="373" spans="1:5" x14ac:dyDescent="0.25">
      <c r="A373" t="s">
        <v>377</v>
      </c>
      <c r="B373">
        <v>45957</v>
      </c>
      <c r="C373" s="5">
        <f t="shared" si="10"/>
        <v>-2.0845547521334113E-3</v>
      </c>
      <c r="D373">
        <v>1390.12</v>
      </c>
      <c r="E373" s="5">
        <f t="shared" si="11"/>
        <v>7.537761284898286E-3</v>
      </c>
    </row>
    <row r="374" spans="1:5" x14ac:dyDescent="0.25">
      <c r="A374" t="s">
        <v>378</v>
      </c>
      <c r="B374">
        <v>46533</v>
      </c>
      <c r="C374" s="5">
        <f t="shared" si="10"/>
        <v>1.2533455186369868E-2</v>
      </c>
      <c r="D374">
        <v>1405.81</v>
      </c>
      <c r="E374" s="5">
        <f t="shared" si="11"/>
        <v>1.1286795384571157E-2</v>
      </c>
    </row>
    <row r="375" spans="1:5" x14ac:dyDescent="0.25">
      <c r="A375" t="s">
        <v>379</v>
      </c>
      <c r="B375">
        <v>47013</v>
      </c>
      <c r="C375" s="5">
        <f t="shared" si="10"/>
        <v>1.0315260137966605E-2</v>
      </c>
      <c r="D375">
        <v>1410.04</v>
      </c>
      <c r="E375" s="5">
        <f t="shared" si="11"/>
        <v>3.0089414643515258E-3</v>
      </c>
    </row>
    <row r="376" spans="1:5" x14ac:dyDescent="0.25">
      <c r="A376" t="s">
        <v>380</v>
      </c>
      <c r="B376">
        <v>48612</v>
      </c>
      <c r="C376" s="5">
        <f t="shared" si="10"/>
        <v>3.4011869057494738E-2</v>
      </c>
      <c r="D376">
        <v>1408.55</v>
      </c>
      <c r="E376" s="5">
        <f t="shared" si="11"/>
        <v>-1.0567076111316057E-3</v>
      </c>
    </row>
    <row r="377" spans="1:5" x14ac:dyDescent="0.25">
      <c r="A377" t="s">
        <v>381</v>
      </c>
      <c r="B377">
        <v>48324</v>
      </c>
      <c r="C377" s="5">
        <f t="shared" si="10"/>
        <v>-5.9244630955319674E-3</v>
      </c>
      <c r="D377">
        <v>1417.08</v>
      </c>
      <c r="E377" s="5">
        <f t="shared" si="11"/>
        <v>6.0558730609491839E-3</v>
      </c>
    </row>
    <row r="378" spans="1:5" x14ac:dyDescent="0.25">
      <c r="A378" t="s">
        <v>382</v>
      </c>
      <c r="B378">
        <v>50147</v>
      </c>
      <c r="C378" s="5">
        <f t="shared" si="10"/>
        <v>3.7724526115387798E-2</v>
      </c>
      <c r="D378">
        <v>1420.27</v>
      </c>
      <c r="E378" s="5">
        <f t="shared" si="11"/>
        <v>2.2511079120445246E-3</v>
      </c>
    </row>
    <row r="379" spans="1:5" x14ac:dyDescent="0.25">
      <c r="A379" t="s">
        <v>383</v>
      </c>
      <c r="B379">
        <v>53249</v>
      </c>
      <c r="C379" s="5">
        <f t="shared" si="10"/>
        <v>6.1858137076993641E-2</v>
      </c>
      <c r="D379">
        <v>1411.13</v>
      </c>
      <c r="E379" s="5">
        <f t="shared" si="11"/>
        <v>-6.435396086659489E-3</v>
      </c>
    </row>
    <row r="380" spans="1:5" x14ac:dyDescent="0.25">
      <c r="A380" t="s">
        <v>384</v>
      </c>
      <c r="B380">
        <v>49571</v>
      </c>
      <c r="C380" s="5">
        <f t="shared" si="10"/>
        <v>-6.9071719656707165E-2</v>
      </c>
      <c r="D380">
        <v>1354.79</v>
      </c>
      <c r="E380" s="5">
        <f t="shared" si="11"/>
        <v>-3.9925449816813577E-2</v>
      </c>
    </row>
    <row r="381" spans="1:5" x14ac:dyDescent="0.25">
      <c r="A381" t="s">
        <v>385</v>
      </c>
      <c r="B381">
        <v>53025</v>
      </c>
      <c r="C381" s="5">
        <f t="shared" si="10"/>
        <v>6.9677835831433707E-2</v>
      </c>
      <c r="D381">
        <v>1388.55</v>
      </c>
      <c r="E381" s="5">
        <f t="shared" si="11"/>
        <v>2.4918991135157473E-2</v>
      </c>
    </row>
    <row r="382" spans="1:5" x14ac:dyDescent="0.25">
      <c r="A382" t="s">
        <v>386</v>
      </c>
      <c r="B382">
        <v>55168</v>
      </c>
      <c r="C382" s="5">
        <f t="shared" si="10"/>
        <v>4.0414898632720415E-2</v>
      </c>
      <c r="D382">
        <v>1374.68</v>
      </c>
      <c r="E382" s="5">
        <f t="shared" si="11"/>
        <v>-9.9888372762953377E-3</v>
      </c>
    </row>
    <row r="383" spans="1:5" x14ac:dyDescent="0.25">
      <c r="A383" t="s">
        <v>387</v>
      </c>
      <c r="B383">
        <v>56447</v>
      </c>
      <c r="C383" s="5">
        <f t="shared" si="10"/>
        <v>2.3183729698375871E-2</v>
      </c>
      <c r="D383">
        <v>1347.14</v>
      </c>
      <c r="E383" s="5">
        <f t="shared" si="11"/>
        <v>-2.0033753309861176E-2</v>
      </c>
    </row>
    <row r="384" spans="1:5" x14ac:dyDescent="0.25">
      <c r="A384" t="s">
        <v>388</v>
      </c>
      <c r="B384">
        <v>56479</v>
      </c>
      <c r="C384" s="5">
        <f t="shared" si="10"/>
        <v>5.6690346696901522E-4</v>
      </c>
      <c r="D384">
        <v>1296.3</v>
      </c>
      <c r="E384" s="5">
        <f t="shared" si="11"/>
        <v>-3.7739210475526037E-2</v>
      </c>
    </row>
    <row r="385" spans="1:5" x14ac:dyDescent="0.25">
      <c r="A385" t="s">
        <v>389</v>
      </c>
      <c r="B385">
        <v>55967</v>
      </c>
      <c r="C385" s="5">
        <f t="shared" si="10"/>
        <v>-9.0653163122576541E-3</v>
      </c>
      <c r="D385">
        <v>1297.54</v>
      </c>
      <c r="E385" s="5">
        <f t="shared" si="11"/>
        <v>9.5656869551801989E-4</v>
      </c>
    </row>
    <row r="386" spans="1:5" x14ac:dyDescent="0.25">
      <c r="A386" t="s">
        <v>390</v>
      </c>
      <c r="B386">
        <v>53249</v>
      </c>
      <c r="C386" s="5">
        <f t="shared" si="10"/>
        <v>-4.8564332553111655E-2</v>
      </c>
      <c r="D386">
        <v>1279.9100000000001</v>
      </c>
      <c r="E386" s="5">
        <f t="shared" si="11"/>
        <v>-1.3587249718698369E-2</v>
      </c>
    </row>
    <row r="387" spans="1:5" x14ac:dyDescent="0.25">
      <c r="A387" t="s">
        <v>391</v>
      </c>
      <c r="B387">
        <v>53441</v>
      </c>
      <c r="C387" s="5">
        <f t="shared" si="10"/>
        <v>3.6057015155214183E-3</v>
      </c>
      <c r="D387">
        <v>1293.92</v>
      </c>
      <c r="E387" s="5">
        <f t="shared" si="11"/>
        <v>1.0946082146400912E-2</v>
      </c>
    </row>
    <row r="388" spans="1:5" x14ac:dyDescent="0.25">
      <c r="A388" t="s">
        <v>392</v>
      </c>
      <c r="B388">
        <v>53761</v>
      </c>
      <c r="C388" s="5">
        <f t="shared" si="10"/>
        <v>5.9879119028461297E-3</v>
      </c>
      <c r="D388">
        <v>1299.31</v>
      </c>
      <c r="E388" s="5">
        <f t="shared" si="11"/>
        <v>4.1656362062568566E-3</v>
      </c>
    </row>
    <row r="389" spans="1:5" x14ac:dyDescent="0.25">
      <c r="A389" t="s">
        <v>393</v>
      </c>
      <c r="B389">
        <v>50051</v>
      </c>
      <c r="C389" s="5">
        <f t="shared" si="10"/>
        <v>-6.900913301463886E-2</v>
      </c>
      <c r="D389">
        <v>1243.51</v>
      </c>
      <c r="E389" s="5">
        <f t="shared" si="11"/>
        <v>-4.2945871270135653E-2</v>
      </c>
    </row>
    <row r="390" spans="1:5" x14ac:dyDescent="0.25">
      <c r="A390" t="s">
        <v>394</v>
      </c>
      <c r="B390">
        <v>52641</v>
      </c>
      <c r="C390" s="5">
        <f t="shared" ref="C390:C453" si="12">(B390-B389)/B389</f>
        <v>5.1747217837805441E-2</v>
      </c>
      <c r="D390">
        <v>1273.29</v>
      </c>
      <c r="E390" s="5">
        <f t="shared" ref="E390:E453" si="13">(D390-D389)/D389</f>
        <v>2.3948339780138456E-2</v>
      </c>
    </row>
    <row r="391" spans="1:5" x14ac:dyDescent="0.25">
      <c r="A391" t="s">
        <v>395</v>
      </c>
      <c r="B391">
        <v>52258</v>
      </c>
      <c r="C391" s="5">
        <f t="shared" si="12"/>
        <v>-7.2756976501206286E-3</v>
      </c>
      <c r="D391">
        <v>1270.79</v>
      </c>
      <c r="E391" s="5">
        <f t="shared" si="13"/>
        <v>-1.9634176032168635E-3</v>
      </c>
    </row>
    <row r="392" spans="1:5" x14ac:dyDescent="0.25">
      <c r="A392" t="s">
        <v>396</v>
      </c>
      <c r="B392">
        <v>52833</v>
      </c>
      <c r="C392" s="5">
        <f t="shared" si="12"/>
        <v>1.1003100003827166E-2</v>
      </c>
      <c r="D392">
        <v>1293.67</v>
      </c>
      <c r="E392" s="5">
        <f t="shared" si="13"/>
        <v>1.8004548351812737E-2</v>
      </c>
    </row>
    <row r="393" spans="1:5" x14ac:dyDescent="0.25">
      <c r="A393" t="s">
        <v>397</v>
      </c>
      <c r="B393">
        <v>51714</v>
      </c>
      <c r="C393" s="5">
        <f t="shared" si="12"/>
        <v>-2.1179944352961218E-2</v>
      </c>
      <c r="D393">
        <v>1268.83</v>
      </c>
      <c r="E393" s="5">
        <f t="shared" si="13"/>
        <v>-1.9201187319795733E-2</v>
      </c>
    </row>
    <row r="394" spans="1:5" x14ac:dyDescent="0.25">
      <c r="A394" t="s">
        <v>398</v>
      </c>
      <c r="B394">
        <v>51266</v>
      </c>
      <c r="C394" s="5">
        <f t="shared" si="12"/>
        <v>-8.6630312874656761E-3</v>
      </c>
      <c r="D394">
        <v>1272.71</v>
      </c>
      <c r="E394" s="5">
        <f t="shared" si="13"/>
        <v>3.0579352631953131E-3</v>
      </c>
    </row>
    <row r="395" spans="1:5" x14ac:dyDescent="0.25">
      <c r="A395" t="s">
        <v>399</v>
      </c>
      <c r="B395">
        <v>50531</v>
      </c>
      <c r="C395" s="5">
        <f t="shared" si="12"/>
        <v>-1.4336987477080326E-2</v>
      </c>
      <c r="D395">
        <v>1276.93</v>
      </c>
      <c r="E395" s="5">
        <f t="shared" si="13"/>
        <v>3.3157592853046078E-3</v>
      </c>
    </row>
    <row r="396" spans="1:5" x14ac:dyDescent="0.25">
      <c r="A396" t="s">
        <v>400</v>
      </c>
      <c r="B396">
        <v>50243</v>
      </c>
      <c r="C396" s="5">
        <f t="shared" si="12"/>
        <v>-5.6994716114860183E-3</v>
      </c>
      <c r="D396">
        <v>1277.07</v>
      </c>
      <c r="E396" s="5">
        <f t="shared" si="13"/>
        <v>1.0963795979409417E-4</v>
      </c>
    </row>
    <row r="397" spans="1:5" x14ac:dyDescent="0.25">
      <c r="A397" t="s">
        <v>401</v>
      </c>
      <c r="B397">
        <v>52066</v>
      </c>
      <c r="C397" s="5">
        <f t="shared" si="12"/>
        <v>3.6283661405568934E-2</v>
      </c>
      <c r="D397">
        <v>1293.5999999999999</v>
      </c>
      <c r="E397" s="5">
        <f t="shared" si="13"/>
        <v>1.2943691418637956E-2</v>
      </c>
    </row>
    <row r="398" spans="1:5" x14ac:dyDescent="0.25">
      <c r="A398" t="s">
        <v>402</v>
      </c>
      <c r="B398">
        <v>52481</v>
      </c>
      <c r="C398" s="5">
        <f t="shared" si="12"/>
        <v>7.9706526331963269E-3</v>
      </c>
      <c r="D398">
        <v>1310.05</v>
      </c>
      <c r="E398" s="5">
        <f t="shared" si="13"/>
        <v>1.2716450216450252E-2</v>
      </c>
    </row>
    <row r="399" spans="1:5" x14ac:dyDescent="0.25">
      <c r="A399" t="s">
        <v>403</v>
      </c>
      <c r="B399">
        <v>54336</v>
      </c>
      <c r="C399" s="5">
        <f t="shared" si="12"/>
        <v>3.5346125264381398E-2</v>
      </c>
      <c r="D399">
        <v>1314.22</v>
      </c>
      <c r="E399" s="5">
        <f t="shared" si="13"/>
        <v>3.1830846150910828E-3</v>
      </c>
    </row>
    <row r="400" spans="1:5" x14ac:dyDescent="0.25">
      <c r="A400" t="s">
        <v>404</v>
      </c>
      <c r="B400">
        <v>54336</v>
      </c>
      <c r="C400" s="5">
        <f t="shared" si="12"/>
        <v>0</v>
      </c>
      <c r="D400">
        <v>1332.44</v>
      </c>
      <c r="E400" s="5">
        <f t="shared" si="13"/>
        <v>1.3863736665094144E-2</v>
      </c>
    </row>
    <row r="401" spans="1:5" x14ac:dyDescent="0.25">
      <c r="A401" t="s">
        <v>405</v>
      </c>
      <c r="B401">
        <v>54368</v>
      </c>
      <c r="C401" s="5">
        <f t="shared" si="12"/>
        <v>5.8892815076560655E-4</v>
      </c>
      <c r="D401">
        <v>1334.74</v>
      </c>
      <c r="E401" s="5">
        <f t="shared" si="13"/>
        <v>1.7261565248716298E-3</v>
      </c>
    </row>
    <row r="402" spans="1:5" x14ac:dyDescent="0.25">
      <c r="A402" t="s">
        <v>406</v>
      </c>
      <c r="B402">
        <v>55328</v>
      </c>
      <c r="C402" s="5">
        <f t="shared" si="12"/>
        <v>1.7657445556209534E-2</v>
      </c>
      <c r="D402">
        <v>1345.55</v>
      </c>
      <c r="E402" s="5">
        <f t="shared" si="13"/>
        <v>8.0989556018400185E-3</v>
      </c>
    </row>
    <row r="403" spans="1:5" x14ac:dyDescent="0.25">
      <c r="A403" t="s">
        <v>407</v>
      </c>
      <c r="B403">
        <v>54848</v>
      </c>
      <c r="C403" s="5">
        <f t="shared" si="12"/>
        <v>-8.6755349913244656E-3</v>
      </c>
      <c r="D403">
        <v>1341.45</v>
      </c>
      <c r="E403" s="5">
        <f t="shared" si="13"/>
        <v>-3.0470811192448511E-3</v>
      </c>
    </row>
    <row r="404" spans="1:5" x14ac:dyDescent="0.25">
      <c r="A404" t="s">
        <v>408</v>
      </c>
      <c r="B404">
        <v>55584</v>
      </c>
      <c r="C404" s="5">
        <f t="shared" si="12"/>
        <v>1.3418903150525088E-2</v>
      </c>
      <c r="D404">
        <v>1359.86</v>
      </c>
      <c r="E404" s="5">
        <f t="shared" si="13"/>
        <v>1.3723955421372287E-2</v>
      </c>
    </row>
    <row r="405" spans="1:5" x14ac:dyDescent="0.25">
      <c r="A405" t="s">
        <v>409</v>
      </c>
      <c r="B405">
        <v>55616</v>
      </c>
      <c r="C405" s="5">
        <f t="shared" si="12"/>
        <v>5.757052389176742E-4</v>
      </c>
      <c r="D405">
        <v>1362.43</v>
      </c>
      <c r="E405" s="5">
        <f t="shared" si="13"/>
        <v>1.8899004309268336E-3</v>
      </c>
    </row>
    <row r="406" spans="1:5" x14ac:dyDescent="0.25">
      <c r="A406" t="s">
        <v>410</v>
      </c>
      <c r="B406">
        <v>55967</v>
      </c>
      <c r="C406" s="5">
        <f t="shared" si="12"/>
        <v>6.311133486766398E-3</v>
      </c>
      <c r="D406">
        <v>1357.79</v>
      </c>
      <c r="E406" s="5">
        <f t="shared" si="13"/>
        <v>-3.4056795578489168E-3</v>
      </c>
    </row>
    <row r="407" spans="1:5" x14ac:dyDescent="0.25">
      <c r="A407" t="s">
        <v>411</v>
      </c>
      <c r="B407">
        <v>54368</v>
      </c>
      <c r="C407" s="5">
        <f t="shared" si="12"/>
        <v>-2.8570407561598798E-2</v>
      </c>
      <c r="D407">
        <v>1353.05</v>
      </c>
      <c r="E407" s="5">
        <f t="shared" si="13"/>
        <v>-3.4909669389228152E-3</v>
      </c>
    </row>
    <row r="408" spans="1:5" x14ac:dyDescent="0.25">
      <c r="A408" t="s">
        <v>412</v>
      </c>
      <c r="B408">
        <v>54688</v>
      </c>
      <c r="C408" s="5">
        <f t="shared" si="12"/>
        <v>5.885815185403178E-3</v>
      </c>
      <c r="D408">
        <v>1357.05</v>
      </c>
      <c r="E408" s="5">
        <f t="shared" si="13"/>
        <v>2.9562839510735009E-3</v>
      </c>
    </row>
    <row r="409" spans="1:5" x14ac:dyDescent="0.25">
      <c r="A409" t="s">
        <v>413</v>
      </c>
      <c r="B409">
        <v>54400</v>
      </c>
      <c r="C409" s="5">
        <f t="shared" si="12"/>
        <v>-5.2662375658279695E-3</v>
      </c>
      <c r="D409">
        <v>1370.96</v>
      </c>
      <c r="E409" s="5">
        <f t="shared" si="13"/>
        <v>1.0250175011974564E-2</v>
      </c>
    </row>
    <row r="410" spans="1:5" x14ac:dyDescent="0.25">
      <c r="A410" t="s">
        <v>414</v>
      </c>
      <c r="B410">
        <v>54336</v>
      </c>
      <c r="C410" s="5">
        <f t="shared" si="12"/>
        <v>-1.176470588235294E-3</v>
      </c>
      <c r="D410">
        <v>1363.09</v>
      </c>
      <c r="E410" s="5">
        <f t="shared" si="13"/>
        <v>-5.7405030051935271E-3</v>
      </c>
    </row>
    <row r="411" spans="1:5" x14ac:dyDescent="0.25">
      <c r="A411" t="s">
        <v>415</v>
      </c>
      <c r="B411">
        <v>55168</v>
      </c>
      <c r="C411" s="5">
        <f t="shared" si="12"/>
        <v>1.5312131919905771E-2</v>
      </c>
      <c r="D411">
        <v>1360.94</v>
      </c>
      <c r="E411" s="5">
        <f t="shared" si="13"/>
        <v>-1.5772986376540535E-3</v>
      </c>
    </row>
    <row r="412" spans="1:5" x14ac:dyDescent="0.25">
      <c r="A412" t="s">
        <v>416</v>
      </c>
      <c r="B412">
        <v>55168</v>
      </c>
      <c r="C412" s="5">
        <f t="shared" si="12"/>
        <v>0</v>
      </c>
      <c r="D412">
        <v>1374.85</v>
      </c>
      <c r="E412" s="5">
        <f t="shared" si="13"/>
        <v>1.0220876746954204E-2</v>
      </c>
    </row>
    <row r="413" spans="1:5" x14ac:dyDescent="0.25">
      <c r="A413" t="s">
        <v>417</v>
      </c>
      <c r="B413">
        <v>52449</v>
      </c>
      <c r="C413" s="5">
        <f t="shared" si="12"/>
        <v>-4.9285817865429231E-2</v>
      </c>
      <c r="D413">
        <v>1329.43</v>
      </c>
      <c r="E413" s="5">
        <f t="shared" si="13"/>
        <v>-3.3036331236134739E-2</v>
      </c>
    </row>
    <row r="414" spans="1:5" x14ac:dyDescent="0.25">
      <c r="A414" t="s">
        <v>418</v>
      </c>
      <c r="B414">
        <v>50563</v>
      </c>
      <c r="C414" s="5">
        <f t="shared" si="12"/>
        <v>-3.5958740872085261E-2</v>
      </c>
      <c r="D414">
        <v>1298.8599999999999</v>
      </c>
      <c r="E414" s="5">
        <f t="shared" si="13"/>
        <v>-2.2994817327727044E-2</v>
      </c>
    </row>
    <row r="415" spans="1:5" x14ac:dyDescent="0.25">
      <c r="A415" t="s">
        <v>419</v>
      </c>
      <c r="B415">
        <v>51330</v>
      </c>
      <c r="C415" s="5">
        <f t="shared" si="12"/>
        <v>1.5169194865810968E-2</v>
      </c>
      <c r="D415">
        <v>1298.74</v>
      </c>
      <c r="E415" s="5">
        <f t="shared" si="13"/>
        <v>-9.23887100995418E-5</v>
      </c>
    </row>
    <row r="416" spans="1:5" x14ac:dyDescent="0.25">
      <c r="A416" t="s">
        <v>420</v>
      </c>
      <c r="B416">
        <v>51650</v>
      </c>
      <c r="C416" s="5">
        <f t="shared" si="12"/>
        <v>6.2341710500681859E-3</v>
      </c>
      <c r="D416">
        <v>1309.55</v>
      </c>
      <c r="E416" s="5">
        <f t="shared" si="13"/>
        <v>8.3234519611315155E-3</v>
      </c>
    </row>
    <row r="417" spans="1:5" x14ac:dyDescent="0.25">
      <c r="A417" t="s">
        <v>421</v>
      </c>
      <c r="B417">
        <v>51810</v>
      </c>
      <c r="C417" s="5">
        <f t="shared" si="12"/>
        <v>3.0977734753146178E-3</v>
      </c>
      <c r="D417">
        <v>1301.1199999999999</v>
      </c>
      <c r="E417" s="5">
        <f t="shared" si="13"/>
        <v>-6.4373257989386156E-3</v>
      </c>
    </row>
    <row r="418" spans="1:5" x14ac:dyDescent="0.25">
      <c r="A418" t="s">
        <v>422</v>
      </c>
      <c r="B418">
        <v>52609</v>
      </c>
      <c r="C418" s="5">
        <f t="shared" si="12"/>
        <v>1.542173325612816E-2</v>
      </c>
      <c r="D418">
        <v>1313.2</v>
      </c>
      <c r="E418" s="5">
        <f t="shared" si="13"/>
        <v>9.2843089030989878E-3</v>
      </c>
    </row>
    <row r="419" spans="1:5" x14ac:dyDescent="0.25">
      <c r="A419" t="s">
        <v>423</v>
      </c>
      <c r="B419">
        <v>53222</v>
      </c>
      <c r="C419" s="5">
        <f t="shared" si="12"/>
        <v>1.1651998707445495E-2</v>
      </c>
      <c r="D419">
        <v>1328.14</v>
      </c>
      <c r="E419" s="5">
        <f t="shared" si="13"/>
        <v>1.1376789521778901E-2</v>
      </c>
    </row>
    <row r="420" spans="1:5" x14ac:dyDescent="0.25">
      <c r="A420" t="s">
        <v>424</v>
      </c>
      <c r="B420">
        <v>53415</v>
      </c>
      <c r="C420" s="5">
        <f t="shared" si="12"/>
        <v>3.6263199428807637E-3</v>
      </c>
      <c r="D420">
        <v>1331.47</v>
      </c>
      <c r="E420" s="5">
        <f t="shared" si="13"/>
        <v>2.5072658002920829E-3</v>
      </c>
    </row>
    <row r="421" spans="1:5" x14ac:dyDescent="0.25">
      <c r="A421" t="s">
        <v>425</v>
      </c>
      <c r="B421">
        <v>53030</v>
      </c>
      <c r="C421" s="5">
        <f t="shared" si="12"/>
        <v>-7.2077131891790693E-3</v>
      </c>
      <c r="D421">
        <v>1334.65</v>
      </c>
      <c r="E421" s="5">
        <f t="shared" si="13"/>
        <v>2.3883377019385068E-3</v>
      </c>
    </row>
    <row r="422" spans="1:5" x14ac:dyDescent="0.25">
      <c r="A422" t="s">
        <v>426</v>
      </c>
      <c r="B422">
        <v>53415</v>
      </c>
      <c r="C422" s="5">
        <f t="shared" si="12"/>
        <v>7.2600414859513487E-3</v>
      </c>
      <c r="D422">
        <v>1346.39</v>
      </c>
      <c r="E422" s="5">
        <f t="shared" si="13"/>
        <v>8.7963136402802299E-3</v>
      </c>
    </row>
    <row r="423" spans="1:5" x14ac:dyDescent="0.25">
      <c r="A423" t="s">
        <v>427</v>
      </c>
      <c r="B423">
        <v>53078</v>
      </c>
      <c r="C423" s="5">
        <f t="shared" si="12"/>
        <v>-6.3090892071515489E-3</v>
      </c>
      <c r="D423">
        <v>1341.9</v>
      </c>
      <c r="E423" s="5">
        <f t="shared" si="13"/>
        <v>-3.3348435445896127E-3</v>
      </c>
    </row>
    <row r="424" spans="1:5" x14ac:dyDescent="0.25">
      <c r="A424" t="s">
        <v>428</v>
      </c>
      <c r="B424">
        <v>53607</v>
      </c>
      <c r="C424" s="5">
        <f t="shared" si="12"/>
        <v>9.966464448547421E-3</v>
      </c>
      <c r="D424">
        <v>1333.61</v>
      </c>
      <c r="E424" s="5">
        <f t="shared" si="13"/>
        <v>-6.177807586258432E-3</v>
      </c>
    </row>
    <row r="425" spans="1:5" x14ac:dyDescent="0.25">
      <c r="A425" t="s">
        <v>429</v>
      </c>
      <c r="B425">
        <v>57216</v>
      </c>
      <c r="C425" s="5">
        <f t="shared" si="12"/>
        <v>6.7323297330572504E-2</v>
      </c>
      <c r="D425">
        <v>1343.98</v>
      </c>
      <c r="E425" s="5">
        <f t="shared" si="13"/>
        <v>7.7758865035506023E-3</v>
      </c>
    </row>
    <row r="426" spans="1:5" x14ac:dyDescent="0.25">
      <c r="A426" t="s">
        <v>430</v>
      </c>
      <c r="B426">
        <v>57216</v>
      </c>
      <c r="C426" s="5">
        <f t="shared" si="12"/>
        <v>0</v>
      </c>
      <c r="D426">
        <v>1345.31</v>
      </c>
      <c r="E426" s="5">
        <f t="shared" si="13"/>
        <v>9.8959805949487881E-4</v>
      </c>
    </row>
    <row r="427" spans="1:5" x14ac:dyDescent="0.25">
      <c r="A427" t="s">
        <v>431</v>
      </c>
      <c r="B427">
        <v>60152</v>
      </c>
      <c r="C427" s="5">
        <f t="shared" si="12"/>
        <v>5.1314317673378074E-2</v>
      </c>
      <c r="D427">
        <v>1341.43</v>
      </c>
      <c r="E427" s="5">
        <f t="shared" si="13"/>
        <v>-2.8840936289776199E-3</v>
      </c>
    </row>
    <row r="428" spans="1:5" x14ac:dyDescent="0.25">
      <c r="A428" t="s">
        <v>432</v>
      </c>
      <c r="B428">
        <v>59911</v>
      </c>
      <c r="C428" s="5">
        <f t="shared" si="12"/>
        <v>-4.0065168240457508E-3</v>
      </c>
      <c r="D428">
        <v>1339.7</v>
      </c>
      <c r="E428" s="5">
        <f t="shared" si="13"/>
        <v>-1.28966848810599E-3</v>
      </c>
    </row>
    <row r="429" spans="1:5" x14ac:dyDescent="0.25">
      <c r="A429" t="s">
        <v>433</v>
      </c>
      <c r="B429">
        <v>59959</v>
      </c>
      <c r="C429" s="5">
        <f t="shared" si="12"/>
        <v>8.0118842950376392E-4</v>
      </c>
      <c r="D429">
        <v>1345.83</v>
      </c>
      <c r="E429" s="5">
        <f t="shared" si="13"/>
        <v>4.57565126520854E-3</v>
      </c>
    </row>
    <row r="430" spans="1:5" x14ac:dyDescent="0.25">
      <c r="A430" t="s">
        <v>434</v>
      </c>
      <c r="B430">
        <v>59478</v>
      </c>
      <c r="C430" s="5">
        <f t="shared" si="12"/>
        <v>-8.0221484681198812E-3</v>
      </c>
      <c r="D430">
        <v>1345.87</v>
      </c>
      <c r="E430" s="5">
        <f t="shared" si="13"/>
        <v>2.9721435842538525E-5</v>
      </c>
    </row>
    <row r="431" spans="1:5" x14ac:dyDescent="0.25">
      <c r="A431" t="s">
        <v>435</v>
      </c>
      <c r="B431">
        <v>59189</v>
      </c>
      <c r="C431" s="5">
        <f t="shared" si="12"/>
        <v>-4.8589394397928649E-3</v>
      </c>
      <c r="D431">
        <v>1352.64</v>
      </c>
      <c r="E431" s="5">
        <f t="shared" si="13"/>
        <v>5.0302035114834342E-3</v>
      </c>
    </row>
    <row r="432" spans="1:5" x14ac:dyDescent="0.25">
      <c r="A432" t="s">
        <v>436</v>
      </c>
      <c r="B432">
        <v>59189</v>
      </c>
      <c r="C432" s="5">
        <f t="shared" si="12"/>
        <v>0</v>
      </c>
      <c r="D432">
        <v>1350.48</v>
      </c>
      <c r="E432" s="5">
        <f t="shared" si="13"/>
        <v>-1.5968772178850852E-3</v>
      </c>
    </row>
    <row r="433" spans="1:5" x14ac:dyDescent="0.25">
      <c r="A433" t="s">
        <v>437</v>
      </c>
      <c r="B433">
        <v>59574</v>
      </c>
      <c r="C433" s="5">
        <f t="shared" si="12"/>
        <v>6.504587000963017E-3</v>
      </c>
      <c r="D433">
        <v>1339.84</v>
      </c>
      <c r="E433" s="5">
        <f t="shared" si="13"/>
        <v>-7.8786801729756085E-3</v>
      </c>
    </row>
    <row r="434" spans="1:5" x14ac:dyDescent="0.25">
      <c r="A434" t="s">
        <v>438</v>
      </c>
      <c r="B434">
        <v>60488</v>
      </c>
      <c r="C434" s="5">
        <f t="shared" si="12"/>
        <v>1.5342263403498171E-2</v>
      </c>
      <c r="D434">
        <v>1350.68</v>
      </c>
      <c r="E434" s="5">
        <f t="shared" si="13"/>
        <v>8.0905182708384173E-3</v>
      </c>
    </row>
    <row r="435" spans="1:5" x14ac:dyDescent="0.25">
      <c r="A435" t="s">
        <v>439</v>
      </c>
      <c r="B435">
        <v>63520</v>
      </c>
      <c r="C435" s="5">
        <f t="shared" si="12"/>
        <v>5.0125644755984661E-2</v>
      </c>
      <c r="D435">
        <v>1352.76</v>
      </c>
      <c r="E435" s="5">
        <f t="shared" si="13"/>
        <v>1.5399650546390907E-3</v>
      </c>
    </row>
    <row r="436" spans="1:5" x14ac:dyDescent="0.25">
      <c r="A436" t="s">
        <v>440</v>
      </c>
      <c r="B436">
        <v>62798</v>
      </c>
      <c r="C436" s="5">
        <f t="shared" si="12"/>
        <v>-1.1366498740554155E-2</v>
      </c>
      <c r="D436">
        <v>1351.17</v>
      </c>
      <c r="E436" s="5">
        <f t="shared" si="13"/>
        <v>-1.1753747893195527E-3</v>
      </c>
    </row>
    <row r="437" spans="1:5" x14ac:dyDescent="0.25">
      <c r="A437" t="s">
        <v>441</v>
      </c>
      <c r="B437">
        <v>60633</v>
      </c>
      <c r="C437" s="5">
        <f t="shared" si="12"/>
        <v>-3.4475620242682886E-2</v>
      </c>
      <c r="D437">
        <v>1324.99</v>
      </c>
      <c r="E437" s="5">
        <f t="shared" si="13"/>
        <v>-1.9375800232391233E-2</v>
      </c>
    </row>
    <row r="438" spans="1:5" x14ac:dyDescent="0.25">
      <c r="A438" t="s">
        <v>442</v>
      </c>
      <c r="B438">
        <v>60970</v>
      </c>
      <c r="C438" s="5">
        <f t="shared" si="12"/>
        <v>5.5580294559068495E-3</v>
      </c>
      <c r="D438">
        <v>1339.31</v>
      </c>
      <c r="E438" s="5">
        <f t="shared" si="13"/>
        <v>1.0807628736820608E-2</v>
      </c>
    </row>
    <row r="439" spans="1:5" x14ac:dyDescent="0.25">
      <c r="A439" t="s">
        <v>443</v>
      </c>
      <c r="B439">
        <v>61499</v>
      </c>
      <c r="C439" s="5">
        <f t="shared" si="12"/>
        <v>8.6763982286370347E-3</v>
      </c>
      <c r="D439">
        <v>1339.21</v>
      </c>
      <c r="E439" s="5">
        <f t="shared" si="13"/>
        <v>-7.4665312735594492E-5</v>
      </c>
    </row>
    <row r="440" spans="1:5" x14ac:dyDescent="0.25">
      <c r="A440" t="s">
        <v>444</v>
      </c>
      <c r="B440">
        <v>61499</v>
      </c>
      <c r="C440" s="5">
        <f t="shared" si="12"/>
        <v>0</v>
      </c>
      <c r="D440">
        <v>1342.06</v>
      </c>
      <c r="E440" s="5">
        <f t="shared" si="13"/>
        <v>2.1281203097347759E-3</v>
      </c>
    </row>
    <row r="441" spans="1:5" x14ac:dyDescent="0.25">
      <c r="A441" t="s">
        <v>445</v>
      </c>
      <c r="B441">
        <v>60729</v>
      </c>
      <c r="C441" s="5">
        <f t="shared" si="12"/>
        <v>-1.2520528789086001E-2</v>
      </c>
      <c r="D441">
        <v>1334.89</v>
      </c>
      <c r="E441" s="5">
        <f t="shared" si="13"/>
        <v>-5.342533120724741E-3</v>
      </c>
    </row>
    <row r="442" spans="1:5" x14ac:dyDescent="0.25">
      <c r="A442" t="s">
        <v>446</v>
      </c>
      <c r="B442">
        <v>60729</v>
      </c>
      <c r="C442" s="5">
        <f t="shared" si="12"/>
        <v>0</v>
      </c>
      <c r="D442">
        <v>1339.54</v>
      </c>
      <c r="E442" s="5">
        <f t="shared" si="13"/>
        <v>3.483433091865145E-3</v>
      </c>
    </row>
    <row r="443" spans="1:5" x14ac:dyDescent="0.25">
      <c r="A443" t="s">
        <v>447</v>
      </c>
      <c r="B443">
        <v>61018</v>
      </c>
      <c r="C443" s="5">
        <f t="shared" si="12"/>
        <v>4.7588466795106124E-3</v>
      </c>
      <c r="D443">
        <v>1354.63</v>
      </c>
      <c r="E443" s="5">
        <f t="shared" si="13"/>
        <v>1.1265061140391587E-2</v>
      </c>
    </row>
    <row r="444" spans="1:5" x14ac:dyDescent="0.25">
      <c r="A444" t="s">
        <v>448</v>
      </c>
      <c r="B444">
        <v>61740</v>
      </c>
      <c r="C444" s="5">
        <f t="shared" si="12"/>
        <v>1.1832573994558983E-2</v>
      </c>
      <c r="D444">
        <v>1362.82</v>
      </c>
      <c r="E444" s="5">
        <f t="shared" si="13"/>
        <v>6.0459313613310103E-3</v>
      </c>
    </row>
    <row r="445" spans="1:5" x14ac:dyDescent="0.25">
      <c r="A445" t="s">
        <v>449</v>
      </c>
      <c r="B445">
        <v>61595</v>
      </c>
      <c r="C445" s="5">
        <f t="shared" si="12"/>
        <v>-2.3485584710074506E-3</v>
      </c>
      <c r="D445">
        <v>1365.99</v>
      </c>
      <c r="E445" s="5">
        <f t="shared" si="13"/>
        <v>2.3260592007749172E-3</v>
      </c>
    </row>
    <row r="446" spans="1:5" x14ac:dyDescent="0.25">
      <c r="A446" t="s">
        <v>450</v>
      </c>
      <c r="B446">
        <v>61980</v>
      </c>
      <c r="C446" s="5">
        <f t="shared" si="12"/>
        <v>6.2505073463755174E-3</v>
      </c>
      <c r="D446">
        <v>1372.73</v>
      </c>
      <c r="E446" s="5">
        <f t="shared" si="13"/>
        <v>4.9341503232088147E-3</v>
      </c>
    </row>
    <row r="447" spans="1:5" x14ac:dyDescent="0.25">
      <c r="A447" t="s">
        <v>451</v>
      </c>
      <c r="B447">
        <v>62317</v>
      </c>
      <c r="C447" s="5">
        <f t="shared" si="12"/>
        <v>5.4372378186511774E-3</v>
      </c>
      <c r="D447">
        <v>1394.09</v>
      </c>
      <c r="E447" s="5">
        <f t="shared" si="13"/>
        <v>1.556023398629002E-2</v>
      </c>
    </row>
    <row r="448" spans="1:5" x14ac:dyDescent="0.25">
      <c r="A448" t="s">
        <v>452</v>
      </c>
      <c r="B448">
        <v>63568</v>
      </c>
      <c r="C448" s="5">
        <f t="shared" si="12"/>
        <v>2.0074778952773722E-2</v>
      </c>
      <c r="D448">
        <v>1394.8</v>
      </c>
      <c r="E448" s="5">
        <f t="shared" si="13"/>
        <v>5.0929280032138268E-4</v>
      </c>
    </row>
    <row r="449" spans="1:5" x14ac:dyDescent="0.25">
      <c r="A449" t="s">
        <v>453</v>
      </c>
      <c r="B449">
        <v>64434</v>
      </c>
      <c r="C449" s="5">
        <f t="shared" si="12"/>
        <v>1.3623206644852757E-2</v>
      </c>
      <c r="D449">
        <v>1391.91</v>
      </c>
      <c r="E449" s="5">
        <f t="shared" si="13"/>
        <v>-2.0719816461140469E-3</v>
      </c>
    </row>
    <row r="450" spans="1:5" x14ac:dyDescent="0.25">
      <c r="A450" t="s">
        <v>454</v>
      </c>
      <c r="B450">
        <v>64242.000000000007</v>
      </c>
      <c r="C450" s="5">
        <f t="shared" si="12"/>
        <v>-2.9797932768413061E-3</v>
      </c>
      <c r="D450">
        <v>1391.85</v>
      </c>
      <c r="E450" s="5">
        <f t="shared" si="13"/>
        <v>-4.3106235317062741E-5</v>
      </c>
    </row>
    <row r="451" spans="1:5" x14ac:dyDescent="0.25">
      <c r="A451" t="s">
        <v>455</v>
      </c>
      <c r="B451">
        <v>63712</v>
      </c>
      <c r="C451" s="5">
        <f t="shared" si="12"/>
        <v>-8.250054481491971E-3</v>
      </c>
      <c r="D451">
        <v>1392.7</v>
      </c>
      <c r="E451" s="5">
        <f t="shared" si="13"/>
        <v>6.1069799188140708E-4</v>
      </c>
    </row>
    <row r="452" spans="1:5" x14ac:dyDescent="0.25">
      <c r="A452" t="s">
        <v>456</v>
      </c>
      <c r="B452">
        <v>62894</v>
      </c>
      <c r="C452" s="5">
        <f t="shared" si="12"/>
        <v>-1.283902561526871E-2</v>
      </c>
      <c r="D452">
        <v>1395.53</v>
      </c>
      <c r="E452" s="5">
        <f t="shared" si="13"/>
        <v>2.0320241257987559E-3</v>
      </c>
    </row>
    <row r="453" spans="1:5" x14ac:dyDescent="0.25">
      <c r="A453" t="s">
        <v>457</v>
      </c>
      <c r="B453">
        <v>62413</v>
      </c>
      <c r="C453" s="5">
        <f t="shared" si="12"/>
        <v>-7.6477883422902022E-3</v>
      </c>
      <c r="D453">
        <v>1395.33</v>
      </c>
      <c r="E453" s="5">
        <f t="shared" si="13"/>
        <v>-1.4331472630473404E-4</v>
      </c>
    </row>
    <row r="454" spans="1:5" x14ac:dyDescent="0.25">
      <c r="A454" t="s">
        <v>458</v>
      </c>
      <c r="B454">
        <v>62173</v>
      </c>
      <c r="C454" s="5">
        <f t="shared" ref="C454:C517" si="14">(B454-B453)/B453</f>
        <v>-3.8453527310015542E-3</v>
      </c>
      <c r="D454">
        <v>1393.8</v>
      </c>
      <c r="E454" s="5">
        <f t="shared" ref="E454:E517" si="15">(D454-D453)/D453</f>
        <v>-1.0965148029498204E-3</v>
      </c>
    </row>
    <row r="455" spans="1:5" x14ac:dyDescent="0.25">
      <c r="A455" t="s">
        <v>459</v>
      </c>
      <c r="B455">
        <v>61114</v>
      </c>
      <c r="C455" s="5">
        <f t="shared" si="14"/>
        <v>-1.703311726955431E-2</v>
      </c>
      <c r="D455">
        <v>1384.77</v>
      </c>
      <c r="E455" s="5">
        <f t="shared" si="15"/>
        <v>-6.4786913473955897E-3</v>
      </c>
    </row>
    <row r="456" spans="1:5" x14ac:dyDescent="0.25">
      <c r="A456" t="s">
        <v>460</v>
      </c>
      <c r="B456">
        <v>61403</v>
      </c>
      <c r="C456" s="5">
        <f t="shared" si="14"/>
        <v>4.7288673626337662E-3</v>
      </c>
      <c r="D456">
        <v>1389.24</v>
      </c>
      <c r="E456" s="5">
        <f t="shared" si="15"/>
        <v>3.2279728763621594E-3</v>
      </c>
    </row>
    <row r="457" spans="1:5" x14ac:dyDescent="0.25">
      <c r="A457" t="s">
        <v>461</v>
      </c>
      <c r="B457">
        <v>61788</v>
      </c>
      <c r="C457" s="5">
        <f t="shared" si="14"/>
        <v>6.2700519518590295E-3</v>
      </c>
      <c r="D457">
        <v>1385.4</v>
      </c>
      <c r="E457" s="5">
        <f t="shared" si="15"/>
        <v>-2.7641012352076807E-3</v>
      </c>
    </row>
    <row r="458" spans="1:5" x14ac:dyDescent="0.25">
      <c r="A458" t="s">
        <v>462</v>
      </c>
      <c r="B458">
        <v>61595</v>
      </c>
      <c r="C458" s="5">
        <f t="shared" si="14"/>
        <v>-3.1235838674176218E-3</v>
      </c>
      <c r="D458">
        <v>1391.63</v>
      </c>
      <c r="E458" s="5">
        <f t="shared" si="15"/>
        <v>4.4968962032626084E-3</v>
      </c>
    </row>
    <row r="459" spans="1:5" x14ac:dyDescent="0.25">
      <c r="A459" t="s">
        <v>463</v>
      </c>
      <c r="B459">
        <v>63520</v>
      </c>
      <c r="C459" s="5">
        <f t="shared" si="14"/>
        <v>3.1252536731877591E-2</v>
      </c>
      <c r="D459">
        <v>1423.02</v>
      </c>
      <c r="E459" s="5">
        <f t="shared" si="15"/>
        <v>2.2556282920028939E-2</v>
      </c>
    </row>
    <row r="460" spans="1:5" x14ac:dyDescent="0.25">
      <c r="A460" t="s">
        <v>464</v>
      </c>
      <c r="B460">
        <v>63520</v>
      </c>
      <c r="C460" s="5">
        <f t="shared" si="14"/>
        <v>0</v>
      </c>
      <c r="D460">
        <v>1438.01</v>
      </c>
      <c r="E460" s="5">
        <f t="shared" si="15"/>
        <v>1.0533934870908356E-2</v>
      </c>
    </row>
    <row r="461" spans="1:5" x14ac:dyDescent="0.25">
      <c r="A461" t="s">
        <v>465</v>
      </c>
      <c r="B461">
        <v>63231</v>
      </c>
      <c r="C461" s="5">
        <f t="shared" si="14"/>
        <v>-4.5497481108312341E-3</v>
      </c>
      <c r="D461">
        <v>1444.27</v>
      </c>
      <c r="E461" s="5">
        <f t="shared" si="15"/>
        <v>4.3532381555065622E-3</v>
      </c>
    </row>
    <row r="462" spans="1:5" x14ac:dyDescent="0.25">
      <c r="A462" t="s">
        <v>466</v>
      </c>
      <c r="B462">
        <v>62558</v>
      </c>
      <c r="C462" s="5">
        <f t="shared" si="14"/>
        <v>-1.0643513466495865E-2</v>
      </c>
      <c r="D462">
        <v>1438.97</v>
      </c>
      <c r="E462" s="5">
        <f t="shared" si="15"/>
        <v>-3.6696739529312071E-3</v>
      </c>
    </row>
    <row r="463" spans="1:5" x14ac:dyDescent="0.25">
      <c r="A463" t="s">
        <v>467</v>
      </c>
      <c r="B463">
        <v>62028</v>
      </c>
      <c r="C463" s="5">
        <f t="shared" si="14"/>
        <v>-8.472137856069567E-3</v>
      </c>
      <c r="D463">
        <v>1452.46</v>
      </c>
      <c r="E463" s="5">
        <f t="shared" si="15"/>
        <v>9.3747611138522754E-3</v>
      </c>
    </row>
    <row r="464" spans="1:5" x14ac:dyDescent="0.25">
      <c r="A464" t="s">
        <v>468</v>
      </c>
      <c r="B464">
        <v>61980</v>
      </c>
      <c r="C464" s="5">
        <f t="shared" si="14"/>
        <v>-7.7384407041981038E-4</v>
      </c>
      <c r="D464">
        <v>1444.3</v>
      </c>
      <c r="E464" s="5">
        <f t="shared" si="15"/>
        <v>-5.6180548861931353E-3</v>
      </c>
    </row>
    <row r="465" spans="1:5" x14ac:dyDescent="0.25">
      <c r="A465" t="s">
        <v>469</v>
      </c>
      <c r="B465">
        <v>62509</v>
      </c>
      <c r="C465" s="5">
        <f t="shared" si="14"/>
        <v>8.5350112939657947E-3</v>
      </c>
      <c r="D465">
        <v>1448.34</v>
      </c>
      <c r="E465" s="5">
        <f t="shared" si="15"/>
        <v>2.797202797202772E-3</v>
      </c>
    </row>
    <row r="466" spans="1:5" x14ac:dyDescent="0.25">
      <c r="A466" t="s">
        <v>470</v>
      </c>
      <c r="B466">
        <v>63520</v>
      </c>
      <c r="C466" s="5">
        <f t="shared" si="14"/>
        <v>1.6173670991377242E-2</v>
      </c>
      <c r="D466">
        <v>1456.51</v>
      </c>
      <c r="E466" s="5">
        <f t="shared" si="15"/>
        <v>5.6409406631040175E-3</v>
      </c>
    </row>
    <row r="467" spans="1:5" x14ac:dyDescent="0.25">
      <c r="A467" t="s">
        <v>471</v>
      </c>
      <c r="B467">
        <v>63328</v>
      </c>
      <c r="C467" s="5">
        <f t="shared" si="14"/>
        <v>-3.0226700251889168E-3</v>
      </c>
      <c r="D467">
        <v>1467.57</v>
      </c>
      <c r="E467" s="5">
        <f t="shared" si="15"/>
        <v>7.5934940371160829E-3</v>
      </c>
    </row>
    <row r="468" spans="1:5" x14ac:dyDescent="0.25">
      <c r="A468" t="s">
        <v>472</v>
      </c>
      <c r="B468">
        <v>62558</v>
      </c>
      <c r="C468" s="5">
        <f t="shared" si="14"/>
        <v>-1.2158918645780697E-2</v>
      </c>
      <c r="D468">
        <v>1461.5</v>
      </c>
      <c r="E468" s="5">
        <f t="shared" si="15"/>
        <v>-4.1360889088765352E-3</v>
      </c>
    </row>
    <row r="469" spans="1:5" x14ac:dyDescent="0.25">
      <c r="A469" t="s">
        <v>473</v>
      </c>
      <c r="B469">
        <v>63279</v>
      </c>
      <c r="C469" s="5">
        <f t="shared" si="14"/>
        <v>1.1525304517407846E-2</v>
      </c>
      <c r="D469">
        <v>1465.02</v>
      </c>
      <c r="E469" s="5">
        <f t="shared" si="15"/>
        <v>2.408484433800877E-3</v>
      </c>
    </row>
    <row r="470" spans="1:5" x14ac:dyDescent="0.25">
      <c r="A470" t="s">
        <v>474</v>
      </c>
      <c r="B470">
        <v>64964</v>
      </c>
      <c r="C470" s="5">
        <f t="shared" si="14"/>
        <v>2.6628107270974574E-2</v>
      </c>
      <c r="D470">
        <v>1462.35</v>
      </c>
      <c r="E470" s="5">
        <f t="shared" si="15"/>
        <v>-1.8225007167138147E-3</v>
      </c>
    </row>
    <row r="471" spans="1:5" x14ac:dyDescent="0.25">
      <c r="A471" t="s">
        <v>475</v>
      </c>
      <c r="B471">
        <v>65444.999999999993</v>
      </c>
      <c r="C471" s="5">
        <f t="shared" si="14"/>
        <v>7.4041007327133911E-3</v>
      </c>
      <c r="D471">
        <v>1473.37</v>
      </c>
      <c r="E471" s="5">
        <f t="shared" si="15"/>
        <v>7.535815639210847E-3</v>
      </c>
    </row>
    <row r="472" spans="1:5" x14ac:dyDescent="0.25">
      <c r="A472" t="s">
        <v>476</v>
      </c>
      <c r="B472">
        <v>67081</v>
      </c>
      <c r="C472" s="5">
        <f t="shared" si="14"/>
        <v>2.4998089999236115E-2</v>
      </c>
      <c r="D472">
        <v>1476.57</v>
      </c>
      <c r="E472" s="5">
        <f t="shared" si="15"/>
        <v>2.1718916497553537E-3</v>
      </c>
    </row>
    <row r="473" spans="1:5" x14ac:dyDescent="0.25">
      <c r="A473" t="s">
        <v>477</v>
      </c>
      <c r="B473">
        <v>66359</v>
      </c>
      <c r="C473" s="5">
        <f t="shared" si="14"/>
        <v>-1.0763107288203812E-2</v>
      </c>
      <c r="D473">
        <v>1466.45</v>
      </c>
      <c r="E473" s="5">
        <f t="shared" si="15"/>
        <v>-6.8537218012013597E-3</v>
      </c>
    </row>
    <row r="474" spans="1:5" x14ac:dyDescent="0.25">
      <c r="A474" t="s">
        <v>478</v>
      </c>
      <c r="B474">
        <v>66359</v>
      </c>
      <c r="C474" s="5">
        <f t="shared" si="14"/>
        <v>0</v>
      </c>
      <c r="D474">
        <v>1475.85</v>
      </c>
      <c r="E474" s="5">
        <f t="shared" si="15"/>
        <v>6.4100378464999582E-3</v>
      </c>
    </row>
    <row r="475" spans="1:5" x14ac:dyDescent="0.25">
      <c r="A475" t="s">
        <v>479</v>
      </c>
      <c r="B475">
        <v>66888</v>
      </c>
      <c r="C475" s="5">
        <f t="shared" si="14"/>
        <v>7.9717898099730261E-3</v>
      </c>
      <c r="D475">
        <v>1469.83</v>
      </c>
      <c r="E475" s="5">
        <f t="shared" si="15"/>
        <v>-4.0790053189687179E-3</v>
      </c>
    </row>
    <row r="476" spans="1:5" x14ac:dyDescent="0.25">
      <c r="A476" t="s">
        <v>480</v>
      </c>
      <c r="B476">
        <v>66888</v>
      </c>
      <c r="C476" s="5">
        <f t="shared" si="14"/>
        <v>0</v>
      </c>
      <c r="D476">
        <v>1452.35</v>
      </c>
      <c r="E476" s="5">
        <f t="shared" si="15"/>
        <v>-1.1892531789390622E-2</v>
      </c>
    </row>
    <row r="477" spans="1:5" x14ac:dyDescent="0.25">
      <c r="A477" t="s">
        <v>481</v>
      </c>
      <c r="B477">
        <v>66696</v>
      </c>
      <c r="C477" s="5">
        <f t="shared" si="14"/>
        <v>-2.8704700394689632E-3</v>
      </c>
      <c r="D477">
        <v>1447.25</v>
      </c>
      <c r="E477" s="5">
        <f t="shared" si="15"/>
        <v>-3.5115502461527245E-3</v>
      </c>
    </row>
    <row r="478" spans="1:5" x14ac:dyDescent="0.25">
      <c r="A478" t="s">
        <v>482</v>
      </c>
      <c r="B478">
        <v>68813</v>
      </c>
      <c r="C478" s="5">
        <f t="shared" si="14"/>
        <v>3.1741033945064175E-2</v>
      </c>
      <c r="D478">
        <v>1463.63</v>
      </c>
      <c r="E478" s="5">
        <f t="shared" si="15"/>
        <v>1.1318016928657875E-2</v>
      </c>
    </row>
    <row r="479" spans="1:5" x14ac:dyDescent="0.25">
      <c r="A479" t="s">
        <v>483</v>
      </c>
      <c r="B479">
        <v>69295</v>
      </c>
      <c r="C479" s="5">
        <f t="shared" si="14"/>
        <v>7.0044904305872433E-3</v>
      </c>
      <c r="D479">
        <v>1488.87</v>
      </c>
      <c r="E479" s="5">
        <f t="shared" si="15"/>
        <v>1.7244795474265887E-2</v>
      </c>
    </row>
    <row r="480" spans="1:5" x14ac:dyDescent="0.25">
      <c r="A480" t="s">
        <v>484</v>
      </c>
      <c r="B480">
        <v>69776</v>
      </c>
      <c r="C480" s="5">
        <f t="shared" si="14"/>
        <v>6.9413377588570602E-3</v>
      </c>
      <c r="D480">
        <v>1500.81</v>
      </c>
      <c r="E480" s="5">
        <f t="shared" si="15"/>
        <v>8.0195047250599828E-3</v>
      </c>
    </row>
    <row r="481" spans="1:5" x14ac:dyDescent="0.25">
      <c r="A481" t="s">
        <v>485</v>
      </c>
      <c r="B481">
        <v>68092</v>
      </c>
      <c r="C481" s="5">
        <f t="shared" si="14"/>
        <v>-2.4134372850263701E-2</v>
      </c>
      <c r="D481">
        <v>1493.03</v>
      </c>
      <c r="E481" s="5">
        <f t="shared" si="15"/>
        <v>-5.1838673782823759E-3</v>
      </c>
    </row>
    <row r="482" spans="1:5" x14ac:dyDescent="0.25">
      <c r="A482" t="s">
        <v>486</v>
      </c>
      <c r="B482">
        <v>66167</v>
      </c>
      <c r="C482" s="5">
        <f t="shared" si="14"/>
        <v>-2.8270575104270692E-2</v>
      </c>
      <c r="D482">
        <v>1484.84</v>
      </c>
      <c r="E482" s="5">
        <f t="shared" si="15"/>
        <v>-5.4854892400019121E-3</v>
      </c>
    </row>
    <row r="483" spans="1:5" x14ac:dyDescent="0.25">
      <c r="A483" t="s">
        <v>487</v>
      </c>
      <c r="B483">
        <v>66840</v>
      </c>
      <c r="C483" s="5">
        <f t="shared" si="14"/>
        <v>1.0171233394290205E-2</v>
      </c>
      <c r="D483">
        <v>1478.44</v>
      </c>
      <c r="E483" s="5">
        <f t="shared" si="15"/>
        <v>-4.3102287115109128E-3</v>
      </c>
    </row>
    <row r="484" spans="1:5" x14ac:dyDescent="0.25">
      <c r="A484" t="s">
        <v>488</v>
      </c>
      <c r="B484">
        <v>66840</v>
      </c>
      <c r="C484" s="5">
        <f t="shared" si="14"/>
        <v>0</v>
      </c>
      <c r="D484">
        <v>1485.19</v>
      </c>
      <c r="E484" s="5">
        <f t="shared" si="15"/>
        <v>4.565623224479857E-3</v>
      </c>
    </row>
    <row r="485" spans="1:5" x14ac:dyDescent="0.25">
      <c r="A485" t="s">
        <v>489</v>
      </c>
      <c r="B485">
        <v>65926</v>
      </c>
      <c r="C485" s="5">
        <f t="shared" si="14"/>
        <v>-1.367444643925793E-2</v>
      </c>
      <c r="D485">
        <v>1482.05</v>
      </c>
      <c r="E485" s="5">
        <f t="shared" si="15"/>
        <v>-2.1142076098008334E-3</v>
      </c>
    </row>
    <row r="486" spans="1:5" x14ac:dyDescent="0.25">
      <c r="A486" t="s">
        <v>490</v>
      </c>
      <c r="B486">
        <v>64242.000000000007</v>
      </c>
      <c r="C486" s="5">
        <f t="shared" si="14"/>
        <v>-2.5543791523829639E-2</v>
      </c>
      <c r="D486">
        <v>1443.32</v>
      </c>
      <c r="E486" s="5">
        <f t="shared" si="15"/>
        <v>-2.6132721568098257E-2</v>
      </c>
    </row>
    <row r="487" spans="1:5" x14ac:dyDescent="0.25">
      <c r="A487" t="s">
        <v>491</v>
      </c>
      <c r="B487">
        <v>63231</v>
      </c>
      <c r="C487" s="5">
        <f t="shared" si="14"/>
        <v>-1.5737368076959111E-2</v>
      </c>
      <c r="D487">
        <v>1413.58</v>
      </c>
      <c r="E487" s="5">
        <f t="shared" si="15"/>
        <v>-2.0605271180334235E-2</v>
      </c>
    </row>
    <row r="488" spans="1:5" x14ac:dyDescent="0.25">
      <c r="A488" t="s">
        <v>492</v>
      </c>
      <c r="B488">
        <v>64242.000000000007</v>
      </c>
      <c r="C488" s="5">
        <f t="shared" si="14"/>
        <v>1.598899274090252E-2</v>
      </c>
      <c r="D488">
        <v>1446.77</v>
      </c>
      <c r="E488" s="5">
        <f t="shared" si="15"/>
        <v>2.3479392747492223E-2</v>
      </c>
    </row>
    <row r="489" spans="1:5" x14ac:dyDescent="0.25">
      <c r="A489" t="s">
        <v>493</v>
      </c>
      <c r="B489">
        <v>64434</v>
      </c>
      <c r="C489" s="5">
        <f t="shared" si="14"/>
        <v>2.9886989819742958E-3</v>
      </c>
      <c r="D489">
        <v>1452.87</v>
      </c>
      <c r="E489" s="5">
        <f t="shared" si="15"/>
        <v>4.2162886982726414E-3</v>
      </c>
    </row>
    <row r="490" spans="1:5" x14ac:dyDescent="0.25">
      <c r="A490" t="s">
        <v>494</v>
      </c>
      <c r="B490">
        <v>64482</v>
      </c>
      <c r="C490" s="5">
        <f t="shared" si="14"/>
        <v>7.4494831921035481E-4</v>
      </c>
      <c r="D490">
        <v>1467.98</v>
      </c>
      <c r="E490" s="5">
        <f t="shared" si="15"/>
        <v>1.0400104620509838E-2</v>
      </c>
    </row>
    <row r="491" spans="1:5" x14ac:dyDescent="0.25">
      <c r="A491" t="s">
        <v>495</v>
      </c>
      <c r="B491">
        <v>64531.000000000007</v>
      </c>
      <c r="C491" s="5">
        <f t="shared" si="14"/>
        <v>7.5990198815184507E-4</v>
      </c>
      <c r="D491">
        <v>1463.54</v>
      </c>
      <c r="E491" s="5">
        <f t="shared" si="15"/>
        <v>-3.0245643673619902E-3</v>
      </c>
    </row>
    <row r="492" spans="1:5" x14ac:dyDescent="0.25">
      <c r="A492" t="s">
        <v>496</v>
      </c>
      <c r="B492">
        <v>64916</v>
      </c>
      <c r="C492" s="5">
        <f t="shared" si="14"/>
        <v>5.966124808231589E-3</v>
      </c>
      <c r="D492">
        <v>1476.21</v>
      </c>
      <c r="E492" s="5">
        <f t="shared" si="15"/>
        <v>8.6570917091436331E-3</v>
      </c>
    </row>
    <row r="493" spans="1:5" x14ac:dyDescent="0.25">
      <c r="A493" t="s">
        <v>497</v>
      </c>
      <c r="B493">
        <v>65156.000000000007</v>
      </c>
      <c r="C493" s="5">
        <f t="shared" si="14"/>
        <v>3.6970854642924284E-3</v>
      </c>
      <c r="D493">
        <v>1476.02</v>
      </c>
      <c r="E493" s="5">
        <f t="shared" si="15"/>
        <v>-1.2870797515262365E-4</v>
      </c>
    </row>
    <row r="494" spans="1:5" x14ac:dyDescent="0.25">
      <c r="A494" t="s">
        <v>498</v>
      </c>
      <c r="B494">
        <v>65397.000000000007</v>
      </c>
      <c r="C494" s="5">
        <f t="shared" si="14"/>
        <v>3.6988151513291175E-3</v>
      </c>
      <c r="D494">
        <v>1475.5</v>
      </c>
      <c r="E494" s="5">
        <f t="shared" si="15"/>
        <v>-3.5229874933942755E-4</v>
      </c>
    </row>
    <row r="495" spans="1:5" x14ac:dyDescent="0.25">
      <c r="A495" t="s">
        <v>499</v>
      </c>
      <c r="B495">
        <v>64290.000000000007</v>
      </c>
      <c r="C495" s="5">
        <f t="shared" si="14"/>
        <v>-1.6927381989999539E-2</v>
      </c>
      <c r="D495">
        <v>1476.61</v>
      </c>
      <c r="E495" s="5">
        <f t="shared" si="15"/>
        <v>7.522873602168078E-4</v>
      </c>
    </row>
    <row r="496" spans="1:5" x14ac:dyDescent="0.25">
      <c r="A496" t="s">
        <v>500</v>
      </c>
      <c r="B496">
        <v>64723</v>
      </c>
      <c r="C496" s="5">
        <f t="shared" si="14"/>
        <v>6.7351065484522118E-3</v>
      </c>
      <c r="D496">
        <v>1479.79</v>
      </c>
      <c r="E496" s="5">
        <f t="shared" si="15"/>
        <v>2.1535815144148175E-3</v>
      </c>
    </row>
    <row r="497" spans="1:5" x14ac:dyDescent="0.25">
      <c r="A497" t="s">
        <v>501</v>
      </c>
      <c r="B497">
        <v>64001.000000000007</v>
      </c>
      <c r="C497" s="5">
        <f t="shared" si="14"/>
        <v>-1.1155230752591701E-2</v>
      </c>
      <c r="D497">
        <v>1477.33</v>
      </c>
      <c r="E497" s="5">
        <f t="shared" si="15"/>
        <v>-1.6623980429655806E-3</v>
      </c>
    </row>
    <row r="498" spans="1:5" x14ac:dyDescent="0.25">
      <c r="A498" t="s">
        <v>502</v>
      </c>
      <c r="B498">
        <v>64001.000000000007</v>
      </c>
      <c r="C498" s="5">
        <f t="shared" si="14"/>
        <v>0</v>
      </c>
      <c r="D498">
        <v>1478.74</v>
      </c>
      <c r="E498" s="5">
        <f t="shared" si="15"/>
        <v>9.5442453615649989E-4</v>
      </c>
    </row>
    <row r="499" spans="1:5" x14ac:dyDescent="0.25">
      <c r="A499" t="s">
        <v>503</v>
      </c>
      <c r="B499">
        <v>64867.000000000007</v>
      </c>
      <c r="C499" s="5">
        <f t="shared" si="14"/>
        <v>1.3531038577522225E-2</v>
      </c>
      <c r="D499">
        <v>1477.67</v>
      </c>
      <c r="E499" s="5">
        <f t="shared" si="15"/>
        <v>-7.2358900144713491E-4</v>
      </c>
    </row>
    <row r="500" spans="1:5" x14ac:dyDescent="0.25">
      <c r="A500" t="s">
        <v>504</v>
      </c>
      <c r="B500">
        <v>64290.000000000007</v>
      </c>
      <c r="C500" s="5">
        <f t="shared" si="14"/>
        <v>-8.895123868839316E-3</v>
      </c>
      <c r="D500">
        <v>1456.96</v>
      </c>
      <c r="E500" s="5">
        <f t="shared" si="15"/>
        <v>-1.401530788335693E-2</v>
      </c>
    </row>
    <row r="501" spans="1:5" x14ac:dyDescent="0.25">
      <c r="A501" t="s">
        <v>505</v>
      </c>
      <c r="B501">
        <v>64771</v>
      </c>
      <c r="C501" s="5">
        <f t="shared" si="14"/>
        <v>7.4817234406593979E-3</v>
      </c>
      <c r="D501">
        <v>1477.03</v>
      </c>
      <c r="E501" s="5">
        <f t="shared" si="15"/>
        <v>1.3775258071601099E-2</v>
      </c>
    </row>
    <row r="502" spans="1:5" x14ac:dyDescent="0.25">
      <c r="A502" t="s">
        <v>506</v>
      </c>
      <c r="B502">
        <v>64916</v>
      </c>
      <c r="C502" s="5">
        <f t="shared" si="14"/>
        <v>2.2386561887264363E-3</v>
      </c>
      <c r="D502">
        <v>1488.88</v>
      </c>
      <c r="E502" s="5">
        <f t="shared" si="15"/>
        <v>8.0228566786051305E-3</v>
      </c>
    </row>
    <row r="503" spans="1:5" x14ac:dyDescent="0.25">
      <c r="A503" t="s">
        <v>507</v>
      </c>
      <c r="B503">
        <v>65349.000000000007</v>
      </c>
      <c r="C503" s="5">
        <f t="shared" si="14"/>
        <v>6.6701583584941656E-3</v>
      </c>
      <c r="D503">
        <v>1494.39</v>
      </c>
      <c r="E503" s="5">
        <f t="shared" si="15"/>
        <v>3.7007683627961895E-3</v>
      </c>
    </row>
    <row r="504" spans="1:5" x14ac:dyDescent="0.25">
      <c r="A504" t="s">
        <v>508</v>
      </c>
      <c r="B504">
        <v>64675</v>
      </c>
      <c r="C504" s="5">
        <f t="shared" si="14"/>
        <v>-1.0313853310685813E-2</v>
      </c>
      <c r="D504">
        <v>1485.82</v>
      </c>
      <c r="E504" s="5">
        <f t="shared" si="15"/>
        <v>-5.734781415828641E-3</v>
      </c>
    </row>
    <row r="505" spans="1:5" x14ac:dyDescent="0.25">
      <c r="A505" t="s">
        <v>509</v>
      </c>
      <c r="B505">
        <v>64626.999999999993</v>
      </c>
      <c r="C505" s="5">
        <f t="shared" si="14"/>
        <v>-7.4217240046397029E-4</v>
      </c>
      <c r="D505">
        <v>1485.97</v>
      </c>
      <c r="E505" s="5">
        <f t="shared" si="15"/>
        <v>1.0095435517094328E-4</v>
      </c>
    </row>
    <row r="506" spans="1:5" x14ac:dyDescent="0.25">
      <c r="A506" t="s">
        <v>510</v>
      </c>
      <c r="B506">
        <v>65397.000000000007</v>
      </c>
      <c r="C506" s="5">
        <f t="shared" si="14"/>
        <v>1.1914524888978517E-2</v>
      </c>
      <c r="D506">
        <v>1498.28</v>
      </c>
      <c r="E506" s="5">
        <f t="shared" si="15"/>
        <v>8.2841510932252643E-3</v>
      </c>
    </row>
    <row r="507" spans="1:5" x14ac:dyDescent="0.25">
      <c r="A507" t="s">
        <v>511</v>
      </c>
      <c r="B507">
        <v>66311</v>
      </c>
      <c r="C507" s="5">
        <f t="shared" si="14"/>
        <v>1.3976176277199147E-2</v>
      </c>
      <c r="D507">
        <v>1525.58</v>
      </c>
      <c r="E507" s="5">
        <f t="shared" si="15"/>
        <v>1.8220893290973619E-2</v>
      </c>
    </row>
    <row r="508" spans="1:5" x14ac:dyDescent="0.25">
      <c r="A508" t="s">
        <v>512</v>
      </c>
      <c r="B508">
        <v>65974</v>
      </c>
      <c r="C508" s="5">
        <f t="shared" si="14"/>
        <v>-5.0821130732457663E-3</v>
      </c>
      <c r="D508">
        <v>1522.5</v>
      </c>
      <c r="E508" s="5">
        <f t="shared" si="15"/>
        <v>-2.0189042855831402E-3</v>
      </c>
    </row>
    <row r="509" spans="1:5" x14ac:dyDescent="0.25">
      <c r="A509" t="s">
        <v>513</v>
      </c>
      <c r="B509">
        <v>66167</v>
      </c>
      <c r="C509" s="5">
        <f t="shared" si="14"/>
        <v>2.9253948525176585E-3</v>
      </c>
      <c r="D509">
        <v>1528.57</v>
      </c>
      <c r="E509" s="5">
        <f t="shared" si="15"/>
        <v>3.9868637110015998E-3</v>
      </c>
    </row>
    <row r="510" spans="1:5" x14ac:dyDescent="0.25">
      <c r="A510" t="s">
        <v>514</v>
      </c>
      <c r="B510">
        <v>65203.999999999993</v>
      </c>
      <c r="C510" s="5">
        <f t="shared" si="14"/>
        <v>-1.4554082850968115E-2</v>
      </c>
      <c r="D510">
        <v>1528.48</v>
      </c>
      <c r="E510" s="5">
        <f t="shared" si="15"/>
        <v>-5.8878559699534957E-5</v>
      </c>
    </row>
    <row r="511" spans="1:5" x14ac:dyDescent="0.25">
      <c r="A511" t="s">
        <v>515</v>
      </c>
      <c r="B511">
        <v>64001.000000000007</v>
      </c>
      <c r="C511" s="5">
        <f t="shared" si="14"/>
        <v>-1.8449788356542322E-2</v>
      </c>
      <c r="D511">
        <v>1503.71</v>
      </c>
      <c r="E511" s="5">
        <f t="shared" si="15"/>
        <v>-1.6205642206636648E-2</v>
      </c>
    </row>
    <row r="512" spans="1:5" x14ac:dyDescent="0.25">
      <c r="A512" t="s">
        <v>516</v>
      </c>
      <c r="B512">
        <v>63424</v>
      </c>
      <c r="C512" s="5">
        <f t="shared" si="14"/>
        <v>-9.0154841330605338E-3</v>
      </c>
      <c r="D512">
        <v>1492.31</v>
      </c>
      <c r="E512" s="5">
        <f t="shared" si="15"/>
        <v>-7.5812490440311563E-3</v>
      </c>
    </row>
    <row r="513" spans="1:5" x14ac:dyDescent="0.25">
      <c r="A513" t="s">
        <v>517</v>
      </c>
      <c r="B513">
        <v>65444.999999999993</v>
      </c>
      <c r="C513" s="5">
        <f t="shared" si="14"/>
        <v>3.1864909182643682E-2</v>
      </c>
      <c r="D513">
        <v>1510.51</v>
      </c>
      <c r="E513" s="5">
        <f t="shared" si="15"/>
        <v>1.2195857429086481E-2</v>
      </c>
    </row>
    <row r="514" spans="1:5" x14ac:dyDescent="0.25">
      <c r="A514" t="s">
        <v>518</v>
      </c>
      <c r="B514">
        <v>65203.999999999993</v>
      </c>
      <c r="C514" s="5">
        <f t="shared" si="14"/>
        <v>-3.6824814729925896E-3</v>
      </c>
      <c r="D514">
        <v>1496.05</v>
      </c>
      <c r="E514" s="5">
        <f t="shared" si="15"/>
        <v>-9.5729257005912147E-3</v>
      </c>
    </row>
    <row r="515" spans="1:5" x14ac:dyDescent="0.25">
      <c r="A515" t="s">
        <v>519</v>
      </c>
      <c r="B515">
        <v>64482</v>
      </c>
      <c r="C515" s="5">
        <f t="shared" si="14"/>
        <v>-1.1072940310410295E-2</v>
      </c>
      <c r="D515">
        <v>1496.02</v>
      </c>
      <c r="E515" s="5">
        <f t="shared" si="15"/>
        <v>-2.0052805721715662E-5</v>
      </c>
    </row>
    <row r="516" spans="1:5" x14ac:dyDescent="0.25">
      <c r="A516" t="s">
        <v>520</v>
      </c>
      <c r="B516">
        <v>62558</v>
      </c>
      <c r="C516" s="5">
        <f t="shared" si="14"/>
        <v>-2.9837784187835364E-2</v>
      </c>
      <c r="D516">
        <v>1452.84</v>
      </c>
      <c r="E516" s="5">
        <f t="shared" si="15"/>
        <v>-2.8863250491303637E-2</v>
      </c>
    </row>
    <row r="517" spans="1:5" x14ac:dyDescent="0.25">
      <c r="A517" t="s">
        <v>521</v>
      </c>
      <c r="B517">
        <v>62606</v>
      </c>
      <c r="C517" s="5">
        <f t="shared" si="14"/>
        <v>7.6728795677611175E-4</v>
      </c>
      <c r="D517">
        <v>1438.94</v>
      </c>
      <c r="E517" s="5">
        <f t="shared" si="15"/>
        <v>-9.5674678560611383E-3</v>
      </c>
    </row>
    <row r="518" spans="1:5" x14ac:dyDescent="0.25">
      <c r="A518" t="s">
        <v>522</v>
      </c>
      <c r="B518">
        <v>64242.000000000007</v>
      </c>
      <c r="C518" s="5">
        <f t="shared" ref="C518:C581" si="16">(B518-B517)/B517</f>
        <v>2.61316806695845E-2</v>
      </c>
      <c r="D518">
        <v>1442.79</v>
      </c>
      <c r="E518" s="5">
        <f t="shared" ref="E518:E581" si="17">(D518-D517)/D517</f>
        <v>2.6755806357456938E-3</v>
      </c>
    </row>
    <row r="519" spans="1:5" x14ac:dyDescent="0.25">
      <c r="A519" t="s">
        <v>523</v>
      </c>
      <c r="B519">
        <v>64482</v>
      </c>
      <c r="C519" s="5">
        <f t="shared" si="16"/>
        <v>3.7358737274678978E-3</v>
      </c>
      <c r="D519">
        <v>1465.3</v>
      </c>
      <c r="E519" s="5">
        <f t="shared" si="17"/>
        <v>1.5601716119462979E-2</v>
      </c>
    </row>
    <row r="520" spans="1:5" x14ac:dyDescent="0.25">
      <c r="A520" t="s">
        <v>524</v>
      </c>
      <c r="B520">
        <v>64096.999999999993</v>
      </c>
      <c r="C520" s="5">
        <f t="shared" si="16"/>
        <v>-5.9706584783351521E-3</v>
      </c>
      <c r="D520">
        <v>1472.89</v>
      </c>
      <c r="E520" s="5">
        <f t="shared" si="17"/>
        <v>5.1798266566574396E-3</v>
      </c>
    </row>
    <row r="521" spans="1:5" x14ac:dyDescent="0.25">
      <c r="A521" t="s">
        <v>525</v>
      </c>
      <c r="B521">
        <v>62509</v>
      </c>
      <c r="C521" s="5">
        <f t="shared" si="16"/>
        <v>-2.4774950465700312E-2</v>
      </c>
      <c r="D521">
        <v>1439.71</v>
      </c>
      <c r="E521" s="5">
        <f t="shared" si="17"/>
        <v>-2.2527140519658671E-2</v>
      </c>
    </row>
    <row r="522" spans="1:5" x14ac:dyDescent="0.25">
      <c r="A522" t="s">
        <v>526</v>
      </c>
      <c r="B522">
        <v>63039</v>
      </c>
      <c r="C522" s="5">
        <f t="shared" si="16"/>
        <v>8.4787790558159618E-3</v>
      </c>
      <c r="D522">
        <v>1479.58</v>
      </c>
      <c r="E522" s="5">
        <f t="shared" si="17"/>
        <v>2.7693077078022581E-2</v>
      </c>
    </row>
    <row r="523" spans="1:5" x14ac:dyDescent="0.25">
      <c r="A523" t="s">
        <v>527</v>
      </c>
      <c r="B523">
        <v>63472</v>
      </c>
      <c r="C523" s="5">
        <f t="shared" si="16"/>
        <v>6.868763781151351E-3</v>
      </c>
      <c r="D523">
        <v>1481.58</v>
      </c>
      <c r="E523" s="5">
        <f t="shared" si="17"/>
        <v>1.351734951810649E-3</v>
      </c>
    </row>
    <row r="524" spans="1:5" x14ac:dyDescent="0.25">
      <c r="A524" t="s">
        <v>528</v>
      </c>
      <c r="B524">
        <v>63279</v>
      </c>
      <c r="C524" s="5">
        <f t="shared" si="16"/>
        <v>-3.0407108646332242E-3</v>
      </c>
      <c r="D524">
        <v>1470.76</v>
      </c>
      <c r="E524" s="5">
        <f t="shared" si="17"/>
        <v>-7.3030143495457127E-3</v>
      </c>
    </row>
    <row r="525" spans="1:5" x14ac:dyDescent="0.25">
      <c r="A525" t="s">
        <v>529</v>
      </c>
      <c r="B525">
        <v>63761</v>
      </c>
      <c r="C525" s="5">
        <f t="shared" si="16"/>
        <v>7.6170609522906493E-3</v>
      </c>
      <c r="D525">
        <v>1478.96</v>
      </c>
      <c r="E525" s="5">
        <f t="shared" si="17"/>
        <v>5.5753487992602777E-3</v>
      </c>
    </row>
    <row r="526" spans="1:5" x14ac:dyDescent="0.25">
      <c r="A526" t="s">
        <v>530</v>
      </c>
      <c r="B526">
        <v>64434</v>
      </c>
      <c r="C526" s="5">
        <f t="shared" si="16"/>
        <v>1.0555041483038222E-2</v>
      </c>
      <c r="D526">
        <v>1497.66</v>
      </c>
      <c r="E526" s="5">
        <f t="shared" si="17"/>
        <v>1.2644020122248096E-2</v>
      </c>
    </row>
    <row r="527" spans="1:5" x14ac:dyDescent="0.25">
      <c r="A527" t="s">
        <v>531</v>
      </c>
      <c r="B527">
        <v>65589</v>
      </c>
      <c r="C527" s="5">
        <f t="shared" si="16"/>
        <v>1.7925318930999162E-2</v>
      </c>
      <c r="D527">
        <v>1500.99</v>
      </c>
      <c r="E527" s="5">
        <f t="shared" si="17"/>
        <v>2.223468611033163E-3</v>
      </c>
    </row>
    <row r="528" spans="1:5" x14ac:dyDescent="0.25">
      <c r="A528" t="s">
        <v>532</v>
      </c>
      <c r="B528">
        <v>65926</v>
      </c>
      <c r="C528" s="5">
        <f t="shared" si="16"/>
        <v>5.1380566863345987E-3</v>
      </c>
      <c r="D528">
        <v>1505.38</v>
      </c>
      <c r="E528" s="5">
        <f t="shared" si="17"/>
        <v>2.9247363406818831E-3</v>
      </c>
    </row>
    <row r="529" spans="1:5" x14ac:dyDescent="0.25">
      <c r="A529" t="s">
        <v>533</v>
      </c>
      <c r="B529">
        <v>65589</v>
      </c>
      <c r="C529" s="5">
        <f t="shared" si="16"/>
        <v>-5.1117920092224618E-3</v>
      </c>
      <c r="D529">
        <v>1506.79</v>
      </c>
      <c r="E529" s="5">
        <f t="shared" si="17"/>
        <v>9.3664058244420309E-4</v>
      </c>
    </row>
    <row r="530" spans="1:5" x14ac:dyDescent="0.25">
      <c r="A530" t="s">
        <v>534</v>
      </c>
      <c r="B530">
        <v>65108.000000000007</v>
      </c>
      <c r="C530" s="5">
        <f t="shared" si="16"/>
        <v>-7.333546783759361E-3</v>
      </c>
      <c r="D530">
        <v>1501.71</v>
      </c>
      <c r="E530" s="5">
        <f t="shared" si="17"/>
        <v>-3.3714054380503768E-3</v>
      </c>
    </row>
    <row r="531" spans="1:5" x14ac:dyDescent="0.25">
      <c r="A531" t="s">
        <v>535</v>
      </c>
      <c r="B531">
        <v>63520</v>
      </c>
      <c r="C531" s="5">
        <f t="shared" si="16"/>
        <v>-2.4390243902439133E-2</v>
      </c>
      <c r="D531">
        <v>1471.96</v>
      </c>
      <c r="E531" s="5">
        <f t="shared" si="17"/>
        <v>-1.9810749079382836E-2</v>
      </c>
    </row>
    <row r="532" spans="1:5" x14ac:dyDescent="0.25">
      <c r="A532" t="s">
        <v>536</v>
      </c>
      <c r="B532">
        <v>64146</v>
      </c>
      <c r="C532" s="5">
        <f t="shared" si="16"/>
        <v>9.8551637279596978E-3</v>
      </c>
      <c r="D532">
        <v>1492.75</v>
      </c>
      <c r="E532" s="5">
        <f t="shared" si="17"/>
        <v>1.4124025109377948E-2</v>
      </c>
    </row>
    <row r="533" spans="1:5" x14ac:dyDescent="0.25">
      <c r="A533" t="s">
        <v>537</v>
      </c>
      <c r="B533">
        <v>63953</v>
      </c>
      <c r="C533" s="5">
        <f t="shared" si="16"/>
        <v>-3.008761263367942E-3</v>
      </c>
      <c r="D533">
        <v>1492.1</v>
      </c>
      <c r="E533" s="5">
        <f t="shared" si="17"/>
        <v>-4.3543795009217279E-4</v>
      </c>
    </row>
    <row r="534" spans="1:5" x14ac:dyDescent="0.25">
      <c r="A534" t="s">
        <v>538</v>
      </c>
      <c r="B534">
        <v>64723</v>
      </c>
      <c r="C534" s="5">
        <f t="shared" si="16"/>
        <v>1.2040091942520289E-2</v>
      </c>
      <c r="D534">
        <v>1507.99</v>
      </c>
      <c r="E534" s="5">
        <f t="shared" si="17"/>
        <v>1.0649420280142149E-2</v>
      </c>
    </row>
    <row r="535" spans="1:5" x14ac:dyDescent="0.25">
      <c r="A535" t="s">
        <v>539</v>
      </c>
      <c r="B535">
        <v>64482</v>
      </c>
      <c r="C535" s="5">
        <f t="shared" si="16"/>
        <v>-3.7235604035659657E-3</v>
      </c>
      <c r="D535">
        <v>1504.84</v>
      </c>
      <c r="E535" s="5">
        <f t="shared" si="17"/>
        <v>-2.0888732683904342E-3</v>
      </c>
    </row>
    <row r="536" spans="1:5" x14ac:dyDescent="0.25">
      <c r="A536" t="s">
        <v>540</v>
      </c>
      <c r="B536">
        <v>64434</v>
      </c>
      <c r="C536" s="5">
        <f t="shared" si="16"/>
        <v>-7.44393784311901E-4</v>
      </c>
      <c r="D536">
        <v>1510.84</v>
      </c>
      <c r="E536" s="5">
        <f t="shared" si="17"/>
        <v>3.987134844900455E-3</v>
      </c>
    </row>
    <row r="537" spans="1:5" x14ac:dyDescent="0.25">
      <c r="A537" t="s">
        <v>541</v>
      </c>
      <c r="B537">
        <v>66263</v>
      </c>
      <c r="C537" s="5">
        <f t="shared" si="16"/>
        <v>2.838563491324456E-2</v>
      </c>
      <c r="D537">
        <v>1503.47</v>
      </c>
      <c r="E537" s="5">
        <f t="shared" si="17"/>
        <v>-4.8780810674855651E-3</v>
      </c>
    </row>
    <row r="538" spans="1:5" x14ac:dyDescent="0.25">
      <c r="A538" t="s">
        <v>542</v>
      </c>
      <c r="B538">
        <v>66311</v>
      </c>
      <c r="C538" s="5">
        <f t="shared" si="16"/>
        <v>7.2438615818782724E-4</v>
      </c>
      <c r="D538">
        <v>1512.3</v>
      </c>
      <c r="E538" s="5">
        <f t="shared" si="17"/>
        <v>5.8730802742987401E-3</v>
      </c>
    </row>
    <row r="539" spans="1:5" x14ac:dyDescent="0.25">
      <c r="A539" t="s">
        <v>543</v>
      </c>
      <c r="B539">
        <v>65830</v>
      </c>
      <c r="C539" s="5">
        <f t="shared" si="16"/>
        <v>-7.2536984813982601E-3</v>
      </c>
      <c r="D539">
        <v>1494.85</v>
      </c>
      <c r="E539" s="5">
        <f t="shared" si="17"/>
        <v>-1.1538715863254676E-2</v>
      </c>
    </row>
    <row r="540" spans="1:5" x14ac:dyDescent="0.25">
      <c r="A540" t="s">
        <v>544</v>
      </c>
      <c r="B540">
        <v>66215</v>
      </c>
      <c r="C540" s="5">
        <f t="shared" si="16"/>
        <v>5.8483973872094789E-3</v>
      </c>
      <c r="D540">
        <v>1498.89</v>
      </c>
      <c r="E540" s="5">
        <f t="shared" si="17"/>
        <v>2.7026123022378108E-3</v>
      </c>
    </row>
    <row r="541" spans="1:5" x14ac:dyDescent="0.25">
      <c r="A541" t="s">
        <v>545</v>
      </c>
      <c r="B541">
        <v>65444.999999999993</v>
      </c>
      <c r="C541" s="5">
        <f t="shared" si="16"/>
        <v>-1.162878501850045E-2</v>
      </c>
      <c r="D541">
        <v>1490.13</v>
      </c>
      <c r="E541" s="5">
        <f t="shared" si="17"/>
        <v>-5.8443248003522538E-3</v>
      </c>
    </row>
    <row r="542" spans="1:5" x14ac:dyDescent="0.25">
      <c r="A542" t="s">
        <v>546</v>
      </c>
      <c r="B542">
        <v>65444.999999999993</v>
      </c>
      <c r="C542" s="5">
        <f t="shared" si="16"/>
        <v>0</v>
      </c>
      <c r="D542">
        <v>1498.78</v>
      </c>
      <c r="E542" s="5">
        <f t="shared" si="17"/>
        <v>5.804862662989043E-3</v>
      </c>
    </row>
    <row r="543" spans="1:5" x14ac:dyDescent="0.25">
      <c r="A543" t="s">
        <v>547</v>
      </c>
      <c r="B543">
        <v>64723</v>
      </c>
      <c r="C543" s="5">
        <f t="shared" si="16"/>
        <v>-1.1032164412865655E-2</v>
      </c>
      <c r="D543">
        <v>1485.52</v>
      </c>
      <c r="E543" s="5">
        <f t="shared" si="17"/>
        <v>-8.8471957191849308E-3</v>
      </c>
    </row>
    <row r="544" spans="1:5" x14ac:dyDescent="0.25">
      <c r="A544" t="s">
        <v>548</v>
      </c>
      <c r="B544">
        <v>65685</v>
      </c>
      <c r="C544" s="5">
        <f t="shared" si="16"/>
        <v>1.4863340698051697E-2</v>
      </c>
      <c r="D544">
        <v>1505</v>
      </c>
      <c r="E544" s="5">
        <f t="shared" si="17"/>
        <v>1.3113253271581681E-2</v>
      </c>
    </row>
    <row r="545" spans="1:5" x14ac:dyDescent="0.25">
      <c r="A545" t="s">
        <v>549</v>
      </c>
      <c r="B545">
        <v>65349.000000000007</v>
      </c>
      <c r="C545" s="5">
        <f t="shared" si="16"/>
        <v>-5.1153231331353081E-3</v>
      </c>
      <c r="D545">
        <v>1505.33</v>
      </c>
      <c r="E545" s="5">
        <f t="shared" si="17"/>
        <v>2.1926910298998488E-4</v>
      </c>
    </row>
    <row r="546" spans="1:5" x14ac:dyDescent="0.25">
      <c r="A546" t="s">
        <v>550</v>
      </c>
      <c r="B546">
        <v>64578.999999999993</v>
      </c>
      <c r="C546" s="5">
        <f t="shared" si="16"/>
        <v>-1.1782888797074393E-2</v>
      </c>
      <c r="D546">
        <v>1499.05</v>
      </c>
      <c r="E546" s="5">
        <f t="shared" si="17"/>
        <v>-4.1718427188722563E-3</v>
      </c>
    </row>
    <row r="547" spans="1:5" x14ac:dyDescent="0.25">
      <c r="A547" t="s">
        <v>551</v>
      </c>
      <c r="B547">
        <v>64578.999999999993</v>
      </c>
      <c r="C547" s="5">
        <f t="shared" si="16"/>
        <v>0</v>
      </c>
      <c r="D547">
        <v>1473.71</v>
      </c>
      <c r="E547" s="5">
        <f t="shared" si="17"/>
        <v>-1.6904039224842345E-2</v>
      </c>
    </row>
    <row r="548" spans="1:5" x14ac:dyDescent="0.25">
      <c r="A548" t="s">
        <v>552</v>
      </c>
      <c r="B548">
        <v>64385.999999999993</v>
      </c>
      <c r="C548" s="5">
        <f t="shared" si="16"/>
        <v>-2.9885876213629819E-3</v>
      </c>
      <c r="D548">
        <v>1473.74</v>
      </c>
      <c r="E548" s="5">
        <f t="shared" si="17"/>
        <v>2.0356786613358607E-5</v>
      </c>
    </row>
    <row r="549" spans="1:5" x14ac:dyDescent="0.25">
      <c r="A549" t="s">
        <v>553</v>
      </c>
      <c r="B549">
        <v>64242.000000000007</v>
      </c>
      <c r="C549" s="5">
        <f t="shared" si="16"/>
        <v>-2.2365110427730477E-3</v>
      </c>
      <c r="D549">
        <v>1479.08</v>
      </c>
      <c r="E549" s="5">
        <f t="shared" si="17"/>
        <v>3.6234342557031215E-3</v>
      </c>
    </row>
    <row r="550" spans="1:5" x14ac:dyDescent="0.25">
      <c r="A550" t="s">
        <v>554</v>
      </c>
      <c r="B550">
        <v>64001.000000000007</v>
      </c>
      <c r="C550" s="5">
        <f t="shared" si="16"/>
        <v>-3.7514398679991279E-3</v>
      </c>
      <c r="D550">
        <v>1466.54</v>
      </c>
      <c r="E550" s="5">
        <f t="shared" si="17"/>
        <v>-8.4782432322795011E-3</v>
      </c>
    </row>
    <row r="551" spans="1:5" x14ac:dyDescent="0.25">
      <c r="A551" t="s">
        <v>555</v>
      </c>
      <c r="B551">
        <v>63376</v>
      </c>
      <c r="C551" s="5">
        <f t="shared" si="16"/>
        <v>-9.7654724144936363E-3</v>
      </c>
      <c r="D551">
        <v>1446.25</v>
      </c>
      <c r="E551" s="5">
        <f t="shared" si="17"/>
        <v>-1.3835285774680517E-2</v>
      </c>
    </row>
    <row r="552" spans="1:5" x14ac:dyDescent="0.25">
      <c r="A552" t="s">
        <v>556</v>
      </c>
      <c r="B552">
        <v>63231</v>
      </c>
      <c r="C552" s="5">
        <f t="shared" si="16"/>
        <v>-2.2879323403181013E-3</v>
      </c>
      <c r="D552">
        <v>1452.74</v>
      </c>
      <c r="E552" s="5">
        <f t="shared" si="17"/>
        <v>4.4874675885911907E-3</v>
      </c>
    </row>
    <row r="553" spans="1:5" x14ac:dyDescent="0.25">
      <c r="A553" t="s">
        <v>557</v>
      </c>
      <c r="B553">
        <v>63231</v>
      </c>
      <c r="C553" s="5">
        <f t="shared" si="16"/>
        <v>0</v>
      </c>
      <c r="D553">
        <v>1459.33</v>
      </c>
      <c r="E553" s="5">
        <f t="shared" si="17"/>
        <v>4.5362556272973264E-3</v>
      </c>
    </row>
    <row r="554" spans="1:5" x14ac:dyDescent="0.25">
      <c r="A554" t="s">
        <v>558</v>
      </c>
      <c r="B554">
        <v>62943</v>
      </c>
      <c r="C554" s="5">
        <f t="shared" si="16"/>
        <v>-4.5547279024529107E-3</v>
      </c>
      <c r="D554">
        <v>1461.34</v>
      </c>
      <c r="E554" s="5">
        <f t="shared" si="17"/>
        <v>1.3773443977715739E-3</v>
      </c>
    </row>
    <row r="555" spans="1:5" x14ac:dyDescent="0.25">
      <c r="A555" t="s">
        <v>559</v>
      </c>
      <c r="B555">
        <v>63328</v>
      </c>
      <c r="C555" s="5">
        <f t="shared" si="16"/>
        <v>6.116645218689926E-3</v>
      </c>
      <c r="D555">
        <v>1469.1</v>
      </c>
      <c r="E555" s="5">
        <f t="shared" si="17"/>
        <v>5.3101947527611588E-3</v>
      </c>
    </row>
    <row r="556" spans="1:5" x14ac:dyDescent="0.25">
      <c r="A556" t="s">
        <v>560</v>
      </c>
      <c r="B556">
        <v>64916</v>
      </c>
      <c r="C556" s="5">
        <f t="shared" si="16"/>
        <v>2.507579585649318E-2</v>
      </c>
      <c r="D556">
        <v>1494.95</v>
      </c>
      <c r="E556" s="5">
        <f t="shared" si="17"/>
        <v>1.7595806956640214E-2</v>
      </c>
    </row>
    <row r="557" spans="1:5" x14ac:dyDescent="0.25">
      <c r="A557" t="s">
        <v>561</v>
      </c>
      <c r="B557">
        <v>65060</v>
      </c>
      <c r="C557" s="5">
        <f t="shared" si="16"/>
        <v>2.2182512785753898E-3</v>
      </c>
      <c r="D557">
        <v>1503.78</v>
      </c>
      <c r="E557" s="5">
        <f t="shared" si="17"/>
        <v>5.9065520585972284E-3</v>
      </c>
    </row>
    <row r="558" spans="1:5" x14ac:dyDescent="0.25">
      <c r="A558" t="s">
        <v>562</v>
      </c>
      <c r="B558">
        <v>64964</v>
      </c>
      <c r="C558" s="5">
        <f t="shared" si="16"/>
        <v>-1.4755610205963725E-3</v>
      </c>
      <c r="D558">
        <v>1502.34</v>
      </c>
      <c r="E558" s="5">
        <f t="shared" si="17"/>
        <v>-9.575868810597658E-4</v>
      </c>
    </row>
    <row r="559" spans="1:5" x14ac:dyDescent="0.25">
      <c r="A559" t="s">
        <v>563</v>
      </c>
      <c r="B559">
        <v>64482</v>
      </c>
      <c r="C559" s="5">
        <f t="shared" si="16"/>
        <v>-7.4194938735299551E-3</v>
      </c>
      <c r="D559">
        <v>1498.26</v>
      </c>
      <c r="E559" s="5">
        <f t="shared" si="17"/>
        <v>-2.715763409081784E-3</v>
      </c>
    </row>
    <row r="560" spans="1:5" x14ac:dyDescent="0.25">
      <c r="A560" t="s">
        <v>564</v>
      </c>
      <c r="B560">
        <v>66840</v>
      </c>
      <c r="C560" s="5">
        <f t="shared" si="16"/>
        <v>3.6568344654322134E-2</v>
      </c>
      <c r="D560">
        <v>1498.5</v>
      </c>
      <c r="E560" s="5">
        <f t="shared" si="17"/>
        <v>1.6018581554603947E-4</v>
      </c>
    </row>
    <row r="561" spans="1:5" x14ac:dyDescent="0.25">
      <c r="A561" t="s">
        <v>565</v>
      </c>
      <c r="B561">
        <v>69295</v>
      </c>
      <c r="C561" s="5">
        <f t="shared" si="16"/>
        <v>3.6729503291442249E-2</v>
      </c>
      <c r="D561">
        <v>1483.18</v>
      </c>
      <c r="E561" s="5">
        <f t="shared" si="17"/>
        <v>-1.0223556890223515E-2</v>
      </c>
    </row>
    <row r="562" spans="1:5" x14ac:dyDescent="0.25">
      <c r="A562" t="s">
        <v>566</v>
      </c>
      <c r="B562">
        <v>70498</v>
      </c>
      <c r="C562" s="5">
        <f t="shared" si="16"/>
        <v>1.736055992495851E-2</v>
      </c>
      <c r="D562">
        <v>1497.76</v>
      </c>
      <c r="E562" s="5">
        <f t="shared" si="17"/>
        <v>9.8302296417157233E-3</v>
      </c>
    </row>
    <row r="563" spans="1:5" x14ac:dyDescent="0.25">
      <c r="A563" t="s">
        <v>567</v>
      </c>
      <c r="B563">
        <v>69487</v>
      </c>
      <c r="C563" s="5">
        <f t="shared" si="16"/>
        <v>-1.4340832364038696E-2</v>
      </c>
      <c r="D563">
        <v>1490.51</v>
      </c>
      <c r="E563" s="5">
        <f t="shared" si="17"/>
        <v>-4.8405619057792972E-3</v>
      </c>
    </row>
    <row r="564" spans="1:5" x14ac:dyDescent="0.25">
      <c r="A564" t="s">
        <v>568</v>
      </c>
      <c r="B564">
        <v>70161</v>
      </c>
      <c r="C564" s="5">
        <f t="shared" si="16"/>
        <v>9.6996560507720871E-3</v>
      </c>
      <c r="D564">
        <v>1492.15</v>
      </c>
      <c r="E564" s="5">
        <f t="shared" si="17"/>
        <v>1.1002945300602478E-3</v>
      </c>
    </row>
    <row r="565" spans="1:5" x14ac:dyDescent="0.25">
      <c r="A565" t="s">
        <v>569</v>
      </c>
      <c r="B565">
        <v>75069</v>
      </c>
      <c r="C565" s="5">
        <f t="shared" si="16"/>
        <v>6.9953392910591355E-2</v>
      </c>
      <c r="D565">
        <v>1516.44</v>
      </c>
      <c r="E565" s="5">
        <f t="shared" si="17"/>
        <v>1.6278524277049868E-2</v>
      </c>
    </row>
    <row r="566" spans="1:5" x14ac:dyDescent="0.25">
      <c r="A566" t="s">
        <v>570</v>
      </c>
      <c r="B566">
        <v>74588</v>
      </c>
      <c r="C566" s="5">
        <f t="shared" si="16"/>
        <v>-6.4074384899226048E-3</v>
      </c>
      <c r="D566">
        <v>1524.7</v>
      </c>
      <c r="E566" s="5">
        <f t="shared" si="17"/>
        <v>5.4469678984991098E-3</v>
      </c>
    </row>
    <row r="567" spans="1:5" x14ac:dyDescent="0.25">
      <c r="A567" t="s">
        <v>571</v>
      </c>
      <c r="B567">
        <v>74684</v>
      </c>
      <c r="C567" s="5">
        <f t="shared" si="16"/>
        <v>1.287070306215477E-3</v>
      </c>
      <c r="D567">
        <v>1520.03</v>
      </c>
      <c r="E567" s="5">
        <f t="shared" si="17"/>
        <v>-3.0628976192038256E-3</v>
      </c>
    </row>
    <row r="568" spans="1:5" x14ac:dyDescent="0.25">
      <c r="A568" t="s">
        <v>572</v>
      </c>
      <c r="B568">
        <v>76416</v>
      </c>
      <c r="C568" s="5">
        <f t="shared" si="16"/>
        <v>2.3191044935997E-2</v>
      </c>
      <c r="D568">
        <v>1522.9</v>
      </c>
      <c r="E568" s="5">
        <f t="shared" si="17"/>
        <v>1.8881206291981858E-3</v>
      </c>
    </row>
    <row r="569" spans="1:5" x14ac:dyDescent="0.25">
      <c r="A569" t="s">
        <v>573</v>
      </c>
      <c r="B569">
        <v>74588</v>
      </c>
      <c r="C569" s="5">
        <f t="shared" si="16"/>
        <v>-2.3921691792294808E-2</v>
      </c>
      <c r="D569">
        <v>1502.35</v>
      </c>
      <c r="E569" s="5">
        <f t="shared" si="17"/>
        <v>-1.3493991726311761E-2</v>
      </c>
    </row>
    <row r="570" spans="1:5" x14ac:dyDescent="0.25">
      <c r="A570" t="s">
        <v>574</v>
      </c>
      <c r="B570">
        <v>72182</v>
      </c>
      <c r="C570" s="5">
        <f t="shared" si="16"/>
        <v>-3.2257199549525391E-2</v>
      </c>
      <c r="D570">
        <v>1482</v>
      </c>
      <c r="E570" s="5">
        <f t="shared" si="17"/>
        <v>-1.354544546876554E-2</v>
      </c>
    </row>
    <row r="571" spans="1:5" x14ac:dyDescent="0.25">
      <c r="A571" t="s">
        <v>575</v>
      </c>
      <c r="B571">
        <v>73481</v>
      </c>
      <c r="C571" s="5">
        <f t="shared" si="16"/>
        <v>1.799617633204954E-2</v>
      </c>
      <c r="D571">
        <v>1455.25</v>
      </c>
      <c r="E571" s="5">
        <f t="shared" si="17"/>
        <v>-1.8049932523616734E-2</v>
      </c>
    </row>
    <row r="572" spans="1:5" x14ac:dyDescent="0.25">
      <c r="A572" t="s">
        <v>576</v>
      </c>
      <c r="B572">
        <v>75165</v>
      </c>
      <c r="C572" s="5">
        <f t="shared" si="16"/>
        <v>2.2917488874675086E-2</v>
      </c>
      <c r="D572">
        <v>1477.2</v>
      </c>
      <c r="E572" s="5">
        <f t="shared" si="17"/>
        <v>1.5083319017351002E-2</v>
      </c>
    </row>
    <row r="573" spans="1:5" x14ac:dyDescent="0.25">
      <c r="A573" t="s">
        <v>577</v>
      </c>
      <c r="B573">
        <v>76753</v>
      </c>
      <c r="C573" s="5">
        <f t="shared" si="16"/>
        <v>2.1126854253974588E-2</v>
      </c>
      <c r="D573">
        <v>1472.12</v>
      </c>
      <c r="E573" s="5">
        <f t="shared" si="17"/>
        <v>-3.4389385323586206E-3</v>
      </c>
    </row>
    <row r="574" spans="1:5" x14ac:dyDescent="0.25">
      <c r="A574" t="s">
        <v>578</v>
      </c>
      <c r="B574">
        <v>77090</v>
      </c>
      <c r="C574" s="5">
        <f t="shared" si="16"/>
        <v>4.3907078550675547E-3</v>
      </c>
      <c r="D574">
        <v>1458.56</v>
      </c>
      <c r="E574" s="5">
        <f t="shared" si="17"/>
        <v>-9.2112056082384233E-3</v>
      </c>
    </row>
    <row r="575" spans="1:5" x14ac:dyDescent="0.25">
      <c r="A575" t="s">
        <v>579</v>
      </c>
      <c r="B575">
        <v>77090</v>
      </c>
      <c r="C575" s="5">
        <f t="shared" si="16"/>
        <v>0</v>
      </c>
      <c r="D575">
        <v>1432.6</v>
      </c>
      <c r="E575" s="5">
        <f t="shared" si="17"/>
        <v>-1.7798376480912707E-2</v>
      </c>
    </row>
    <row r="576" spans="1:5" x14ac:dyDescent="0.25">
      <c r="A576" t="s">
        <v>580</v>
      </c>
      <c r="B576">
        <v>75069</v>
      </c>
      <c r="C576" s="5">
        <f t="shared" si="16"/>
        <v>-2.6216111039045271E-2</v>
      </c>
      <c r="D576">
        <v>1406.45</v>
      </c>
      <c r="E576" s="5">
        <f t="shared" si="17"/>
        <v>-1.8253525059332587E-2</v>
      </c>
    </row>
    <row r="577" spans="1:5" x14ac:dyDescent="0.25">
      <c r="A577" t="s">
        <v>581</v>
      </c>
      <c r="B577">
        <v>75069</v>
      </c>
      <c r="C577" s="5">
        <f t="shared" si="16"/>
        <v>0</v>
      </c>
      <c r="D577">
        <v>1384.72</v>
      </c>
      <c r="E577" s="5">
        <f t="shared" si="17"/>
        <v>-1.5450247075971429E-2</v>
      </c>
    </row>
    <row r="578" spans="1:5" x14ac:dyDescent="0.25">
      <c r="A578" t="s">
        <v>582</v>
      </c>
      <c r="B578">
        <v>74828</v>
      </c>
      <c r="C578" s="5">
        <f t="shared" si="16"/>
        <v>-3.2103797839321156E-3</v>
      </c>
      <c r="D578">
        <v>1370.21</v>
      </c>
      <c r="E578" s="5">
        <f t="shared" si="17"/>
        <v>-1.04786527240164E-2</v>
      </c>
    </row>
    <row r="579" spans="1:5" x14ac:dyDescent="0.25">
      <c r="A579" t="s">
        <v>583</v>
      </c>
      <c r="B579">
        <v>74973</v>
      </c>
      <c r="C579" s="5">
        <f t="shared" si="16"/>
        <v>1.9377773026139947E-3</v>
      </c>
      <c r="D579">
        <v>1379.23</v>
      </c>
      <c r="E579" s="5">
        <f t="shared" si="17"/>
        <v>6.5829325431867973E-3</v>
      </c>
    </row>
    <row r="580" spans="1:5" x14ac:dyDescent="0.25">
      <c r="A580" t="s">
        <v>584</v>
      </c>
      <c r="B580">
        <v>69728</v>
      </c>
      <c r="C580" s="5">
        <f t="shared" si="16"/>
        <v>-6.9958518399957315E-2</v>
      </c>
      <c r="D580">
        <v>1310.92</v>
      </c>
      <c r="E580" s="5">
        <f t="shared" si="17"/>
        <v>-4.952763498473782E-2</v>
      </c>
    </row>
    <row r="581" spans="1:5" x14ac:dyDescent="0.25">
      <c r="A581" t="s">
        <v>585</v>
      </c>
      <c r="B581">
        <v>71604</v>
      </c>
      <c r="C581" s="5">
        <f t="shared" si="16"/>
        <v>2.6904543368517667E-2</v>
      </c>
      <c r="D581">
        <v>1341.34</v>
      </c>
      <c r="E581" s="5">
        <f t="shared" si="17"/>
        <v>2.3205077350257716E-2</v>
      </c>
    </row>
    <row r="582" spans="1:5" x14ac:dyDescent="0.25">
      <c r="A582" t="s">
        <v>586</v>
      </c>
      <c r="B582">
        <v>70834</v>
      </c>
      <c r="C582" s="5">
        <f t="shared" ref="C582:C645" si="18">(B582-B581)/B581</f>
        <v>-1.0753589184961734E-2</v>
      </c>
      <c r="D582">
        <v>1353.77</v>
      </c>
      <c r="E582" s="5">
        <f t="shared" ref="E582:E645" si="19">(D582-D581)/D581</f>
        <v>9.2668525504346882E-3</v>
      </c>
    </row>
    <row r="583" spans="1:5" x14ac:dyDescent="0.25">
      <c r="A583" t="s">
        <v>587</v>
      </c>
      <c r="B583">
        <v>69776</v>
      </c>
      <c r="C583" s="5">
        <f t="shared" si="18"/>
        <v>-1.4936330011011661E-2</v>
      </c>
      <c r="D583">
        <v>1350.99</v>
      </c>
      <c r="E583" s="5">
        <f t="shared" si="19"/>
        <v>-2.0535246016679144E-3</v>
      </c>
    </row>
    <row r="584" spans="1:5" x14ac:dyDescent="0.25">
      <c r="A584" t="s">
        <v>588</v>
      </c>
      <c r="B584">
        <v>71797</v>
      </c>
      <c r="C584" s="5">
        <f t="shared" si="18"/>
        <v>2.8964113735381793E-2</v>
      </c>
      <c r="D584">
        <v>1366.8</v>
      </c>
      <c r="E584" s="5">
        <f t="shared" si="19"/>
        <v>1.17025292563231E-2</v>
      </c>
    </row>
    <row r="585" spans="1:5" x14ac:dyDescent="0.25">
      <c r="A585" t="s">
        <v>589</v>
      </c>
      <c r="B585">
        <v>71941</v>
      </c>
      <c r="C585" s="5">
        <f t="shared" si="18"/>
        <v>2.0056548323746119E-3</v>
      </c>
      <c r="D585">
        <v>1348.68</v>
      </c>
      <c r="E585" s="5">
        <f t="shared" si="19"/>
        <v>-1.3257243195785697E-2</v>
      </c>
    </row>
    <row r="586" spans="1:5" x14ac:dyDescent="0.25">
      <c r="A586" t="s">
        <v>590</v>
      </c>
      <c r="B586">
        <v>71893</v>
      </c>
      <c r="C586" s="5">
        <f t="shared" si="18"/>
        <v>-6.672134109895609E-4</v>
      </c>
      <c r="D586">
        <v>1360.68</v>
      </c>
      <c r="E586" s="5">
        <f t="shared" si="19"/>
        <v>8.897588753447816E-3</v>
      </c>
    </row>
    <row r="587" spans="1:5" x14ac:dyDescent="0.25">
      <c r="A587" t="s">
        <v>591</v>
      </c>
      <c r="B587">
        <v>70546</v>
      </c>
      <c r="C587" s="5">
        <f t="shared" si="18"/>
        <v>-1.8736177374709638E-2</v>
      </c>
      <c r="D587">
        <v>1329.26</v>
      </c>
      <c r="E587" s="5">
        <f t="shared" si="19"/>
        <v>-2.3091395478731274E-2</v>
      </c>
    </row>
    <row r="588" spans="1:5" x14ac:dyDescent="0.25">
      <c r="A588" t="s">
        <v>592</v>
      </c>
      <c r="B588">
        <v>65637</v>
      </c>
      <c r="C588" s="5">
        <f t="shared" si="18"/>
        <v>-6.9585802171632696E-2</v>
      </c>
      <c r="D588">
        <v>1269.6199999999999</v>
      </c>
      <c r="E588" s="5">
        <f t="shared" si="19"/>
        <v>-4.4867068895475752E-2</v>
      </c>
    </row>
    <row r="589" spans="1:5" x14ac:dyDescent="0.25">
      <c r="A589" t="s">
        <v>593</v>
      </c>
      <c r="B589">
        <v>67418</v>
      </c>
      <c r="C589" s="5">
        <f t="shared" si="18"/>
        <v>2.7134085957615368E-2</v>
      </c>
      <c r="D589">
        <v>1293.56</v>
      </c>
      <c r="E589" s="5">
        <f t="shared" si="19"/>
        <v>1.8856035664214534E-2</v>
      </c>
    </row>
    <row r="590" spans="1:5" x14ac:dyDescent="0.25">
      <c r="A590" t="s">
        <v>594</v>
      </c>
      <c r="B590">
        <v>67851</v>
      </c>
      <c r="C590" s="5">
        <f t="shared" si="18"/>
        <v>6.4226171052241239E-3</v>
      </c>
      <c r="D590">
        <v>1301.53</v>
      </c>
      <c r="E590" s="5">
        <f t="shared" si="19"/>
        <v>6.1612913200779461E-3</v>
      </c>
    </row>
    <row r="591" spans="1:5" x14ac:dyDescent="0.25">
      <c r="A591" t="s">
        <v>595</v>
      </c>
      <c r="B591">
        <v>64675</v>
      </c>
      <c r="C591" s="5">
        <f t="shared" si="18"/>
        <v>-4.6808447922654053E-2</v>
      </c>
      <c r="D591">
        <v>1238.8399999999999</v>
      </c>
      <c r="E591" s="5">
        <f t="shared" si="19"/>
        <v>-4.8166388788579637E-2</v>
      </c>
    </row>
    <row r="592" spans="1:5" x14ac:dyDescent="0.25">
      <c r="A592" t="s">
        <v>596</v>
      </c>
      <c r="B592">
        <v>60200</v>
      </c>
      <c r="C592" s="5">
        <f t="shared" si="18"/>
        <v>-6.9192114418245076E-2</v>
      </c>
      <c r="D592">
        <v>1182.77</v>
      </c>
      <c r="E592" s="5">
        <f t="shared" si="19"/>
        <v>-4.5260082012204918E-2</v>
      </c>
    </row>
    <row r="593" spans="1:5" x14ac:dyDescent="0.25">
      <c r="A593" t="s">
        <v>597</v>
      </c>
      <c r="B593">
        <v>59189</v>
      </c>
      <c r="C593" s="5">
        <f t="shared" si="18"/>
        <v>-1.6794019933554817E-2</v>
      </c>
      <c r="D593">
        <v>1171.95</v>
      </c>
      <c r="E593" s="5">
        <f t="shared" si="19"/>
        <v>-9.1480169432771683E-3</v>
      </c>
    </row>
    <row r="594" spans="1:5" x14ac:dyDescent="0.25">
      <c r="A594" t="s">
        <v>598</v>
      </c>
      <c r="B594">
        <v>63328</v>
      </c>
      <c r="C594" s="5">
        <f t="shared" si="18"/>
        <v>6.9928534018145264E-2</v>
      </c>
      <c r="D594">
        <v>1228.3699999999999</v>
      </c>
      <c r="E594" s="5">
        <f t="shared" si="19"/>
        <v>4.8141985579589437E-2</v>
      </c>
    </row>
    <row r="595" spans="1:5" x14ac:dyDescent="0.25">
      <c r="A595" t="s">
        <v>599</v>
      </c>
      <c r="B595">
        <v>64242.000000000007</v>
      </c>
      <c r="C595" s="5">
        <f t="shared" si="18"/>
        <v>1.4432794340576163E-2</v>
      </c>
      <c r="D595">
        <v>1240.76</v>
      </c>
      <c r="E595" s="5">
        <f t="shared" si="19"/>
        <v>1.0086537443929842E-2</v>
      </c>
    </row>
    <row r="596" spans="1:5" x14ac:dyDescent="0.25">
      <c r="A596" t="s">
        <v>600</v>
      </c>
      <c r="B596">
        <v>64001.000000000007</v>
      </c>
      <c r="C596" s="5">
        <f t="shared" si="18"/>
        <v>-3.7514398679991279E-3</v>
      </c>
      <c r="D596">
        <v>1241.6400000000001</v>
      </c>
      <c r="E596" s="5">
        <f t="shared" si="19"/>
        <v>7.0924272220260903E-4</v>
      </c>
    </row>
    <row r="597" spans="1:5" x14ac:dyDescent="0.25">
      <c r="A597" t="s">
        <v>601</v>
      </c>
      <c r="B597">
        <v>64482</v>
      </c>
      <c r="C597" s="5">
        <f t="shared" si="18"/>
        <v>7.5155075701941014E-3</v>
      </c>
      <c r="D597">
        <v>1240.71</v>
      </c>
      <c r="E597" s="5">
        <f t="shared" si="19"/>
        <v>-7.4900937469803131E-4</v>
      </c>
    </row>
    <row r="598" spans="1:5" x14ac:dyDescent="0.25">
      <c r="A598" t="s">
        <v>602</v>
      </c>
      <c r="B598">
        <v>62943</v>
      </c>
      <c r="C598" s="5">
        <f t="shared" si="18"/>
        <v>-2.3867125709500326E-2</v>
      </c>
      <c r="D598">
        <v>1218.81</v>
      </c>
      <c r="E598" s="5">
        <f t="shared" si="19"/>
        <v>-1.7651183596489178E-2</v>
      </c>
    </row>
    <row r="599" spans="1:5" x14ac:dyDescent="0.25">
      <c r="A599" t="s">
        <v>603</v>
      </c>
      <c r="B599">
        <v>64001.000000000007</v>
      </c>
      <c r="C599" s="5">
        <f t="shared" si="18"/>
        <v>1.6808858808763601E-2</v>
      </c>
      <c r="D599">
        <v>1233.3800000000001</v>
      </c>
      <c r="E599" s="5">
        <f t="shared" si="19"/>
        <v>1.1954283276310634E-2</v>
      </c>
    </row>
    <row r="600" spans="1:5" x14ac:dyDescent="0.25">
      <c r="A600" t="s">
        <v>604</v>
      </c>
      <c r="B600">
        <v>66888</v>
      </c>
      <c r="C600" s="5">
        <f t="shared" si="18"/>
        <v>4.5108670177028368E-2</v>
      </c>
      <c r="D600">
        <v>1268.43</v>
      </c>
      <c r="E600" s="5">
        <f t="shared" si="19"/>
        <v>2.8417843649159183E-2</v>
      </c>
    </row>
    <row r="601" spans="1:5" x14ac:dyDescent="0.25">
      <c r="A601" t="s">
        <v>605</v>
      </c>
      <c r="B601">
        <v>66888</v>
      </c>
      <c r="C601" s="5">
        <f t="shared" si="18"/>
        <v>0</v>
      </c>
      <c r="D601">
        <v>1268.57</v>
      </c>
      <c r="E601" s="5">
        <f t="shared" si="19"/>
        <v>1.1037266542093192E-4</v>
      </c>
    </row>
    <row r="602" spans="1:5" x14ac:dyDescent="0.25">
      <c r="A602" t="s">
        <v>606</v>
      </c>
      <c r="B602">
        <v>70594</v>
      </c>
      <c r="C602" s="5">
        <f t="shared" si="18"/>
        <v>5.5406051907666544E-2</v>
      </c>
      <c r="D602">
        <v>1285.45</v>
      </c>
      <c r="E602" s="5">
        <f t="shared" si="19"/>
        <v>1.3306321290902442E-2</v>
      </c>
    </row>
    <row r="603" spans="1:5" x14ac:dyDescent="0.25">
      <c r="A603" t="s">
        <v>607</v>
      </c>
      <c r="B603">
        <v>69872</v>
      </c>
      <c r="C603" s="5">
        <f t="shared" si="18"/>
        <v>-1.0227498087656176E-2</v>
      </c>
      <c r="D603">
        <v>1293.92</v>
      </c>
      <c r="E603" s="5">
        <f t="shared" si="19"/>
        <v>6.5891322105099594E-3</v>
      </c>
    </row>
    <row r="604" spans="1:5" x14ac:dyDescent="0.25">
      <c r="A604" t="s">
        <v>608</v>
      </c>
      <c r="B604">
        <v>69728</v>
      </c>
      <c r="C604" s="5">
        <f t="shared" si="18"/>
        <v>-2.0609113808106251E-3</v>
      </c>
      <c r="D604">
        <v>1292.68</v>
      </c>
      <c r="E604" s="5">
        <f t="shared" si="19"/>
        <v>-9.5832818103129178E-4</v>
      </c>
    </row>
    <row r="605" spans="1:5" x14ac:dyDescent="0.25">
      <c r="A605" t="s">
        <v>609</v>
      </c>
      <c r="B605">
        <v>70016</v>
      </c>
      <c r="C605" s="5">
        <f t="shared" si="18"/>
        <v>4.1303350160624142E-3</v>
      </c>
      <c r="D605">
        <v>1299.52</v>
      </c>
      <c r="E605" s="5">
        <f t="shared" si="19"/>
        <v>5.2913327350929216E-3</v>
      </c>
    </row>
    <row r="606" spans="1:5" x14ac:dyDescent="0.25">
      <c r="A606" t="s">
        <v>610</v>
      </c>
      <c r="B606">
        <v>71075</v>
      </c>
      <c r="C606" s="5">
        <f t="shared" si="18"/>
        <v>1.5125114259597807E-2</v>
      </c>
      <c r="D606">
        <v>1288.6199999999999</v>
      </c>
      <c r="E606" s="5">
        <f t="shared" si="19"/>
        <v>-8.387712386111865E-3</v>
      </c>
    </row>
    <row r="607" spans="1:5" x14ac:dyDescent="0.25">
      <c r="A607" t="s">
        <v>611</v>
      </c>
      <c r="B607">
        <v>73722</v>
      </c>
      <c r="C607" s="5">
        <f t="shared" si="18"/>
        <v>3.7242349630671828E-2</v>
      </c>
      <c r="D607">
        <v>1287.98</v>
      </c>
      <c r="E607" s="5">
        <f t="shared" si="19"/>
        <v>-4.9665533671669905E-4</v>
      </c>
    </row>
    <row r="608" spans="1:5" x14ac:dyDescent="0.25">
      <c r="A608" t="s">
        <v>612</v>
      </c>
      <c r="B608">
        <v>74444</v>
      </c>
      <c r="C608" s="5">
        <f t="shared" si="18"/>
        <v>9.7935487371476632E-3</v>
      </c>
      <c r="D608">
        <v>1290.01</v>
      </c>
      <c r="E608" s="5">
        <f t="shared" si="19"/>
        <v>1.5761114303016915E-3</v>
      </c>
    </row>
    <row r="609" spans="1:5" x14ac:dyDescent="0.25">
      <c r="A609" t="s">
        <v>613</v>
      </c>
      <c r="B609">
        <v>74107</v>
      </c>
      <c r="C609" s="5">
        <f t="shared" si="18"/>
        <v>-4.5268926978668531E-3</v>
      </c>
      <c r="D609">
        <v>1291.3499999999999</v>
      </c>
      <c r="E609" s="5">
        <f t="shared" si="19"/>
        <v>1.0387516375841414E-3</v>
      </c>
    </row>
    <row r="610" spans="1:5" x14ac:dyDescent="0.25">
      <c r="A610" t="s">
        <v>614</v>
      </c>
      <c r="B610">
        <v>74301</v>
      </c>
      <c r="C610" s="5">
        <f t="shared" si="18"/>
        <v>2.6178363717327649E-3</v>
      </c>
      <c r="D610">
        <v>1307.9100000000001</v>
      </c>
      <c r="E610" s="5">
        <f t="shared" si="19"/>
        <v>1.2823789057962732E-2</v>
      </c>
    </row>
    <row r="611" spans="1:5" x14ac:dyDescent="0.25">
      <c r="A611" t="s">
        <v>615</v>
      </c>
      <c r="B611">
        <v>74010</v>
      </c>
      <c r="C611" s="5">
        <f t="shared" si="18"/>
        <v>-3.9165017967456696E-3</v>
      </c>
      <c r="D611">
        <v>1307.8</v>
      </c>
      <c r="E611" s="5">
        <f t="shared" si="19"/>
        <v>-8.4103646275452687E-5</v>
      </c>
    </row>
    <row r="612" spans="1:5" x14ac:dyDescent="0.25">
      <c r="A612" t="s">
        <v>616</v>
      </c>
      <c r="B612">
        <v>72654</v>
      </c>
      <c r="C612" s="5">
        <f t="shared" si="18"/>
        <v>-1.8321848398865019E-2</v>
      </c>
      <c r="D612">
        <v>1284.08</v>
      </c>
      <c r="E612" s="5">
        <f t="shared" si="19"/>
        <v>-1.8137329866952157E-2</v>
      </c>
    </row>
    <row r="613" spans="1:5" x14ac:dyDescent="0.25">
      <c r="A613" t="s">
        <v>617</v>
      </c>
      <c r="B613">
        <v>67810</v>
      </c>
      <c r="C613" s="5">
        <f t="shared" si="18"/>
        <v>-6.6672172213505104E-2</v>
      </c>
      <c r="D613">
        <v>1227.04</v>
      </c>
      <c r="E613" s="5">
        <f t="shared" si="19"/>
        <v>-4.4420908354619627E-2</v>
      </c>
    </row>
    <row r="614" spans="1:5" x14ac:dyDescent="0.25">
      <c r="A614" t="s">
        <v>618</v>
      </c>
      <c r="B614">
        <v>69506</v>
      </c>
      <c r="C614" s="5">
        <f t="shared" si="18"/>
        <v>2.5011060315587672E-2</v>
      </c>
      <c r="D614">
        <v>1230.31</v>
      </c>
      <c r="E614" s="5">
        <f t="shared" si="19"/>
        <v>2.6649497978875848E-3</v>
      </c>
    </row>
    <row r="615" spans="1:5" x14ac:dyDescent="0.25">
      <c r="A615" t="s">
        <v>619</v>
      </c>
      <c r="B615">
        <v>71540</v>
      </c>
      <c r="C615" s="5">
        <f t="shared" si="18"/>
        <v>2.9263660691163353E-2</v>
      </c>
      <c r="D615">
        <v>1213.93</v>
      </c>
      <c r="E615" s="5">
        <f t="shared" si="19"/>
        <v>-1.3313717680909594E-2</v>
      </c>
    </row>
    <row r="616" spans="1:5" x14ac:dyDescent="0.25">
      <c r="A616" t="s">
        <v>620</v>
      </c>
      <c r="B616">
        <v>76529</v>
      </c>
      <c r="C616" s="5">
        <f t="shared" si="18"/>
        <v>6.9737209952474136E-2</v>
      </c>
      <c r="D616">
        <v>1236.6300000000001</v>
      </c>
      <c r="E616" s="5">
        <f t="shared" si="19"/>
        <v>1.8699595528572525E-2</v>
      </c>
    </row>
    <row r="617" spans="1:5" x14ac:dyDescent="0.25">
      <c r="A617" t="s">
        <v>621</v>
      </c>
      <c r="B617">
        <v>75270</v>
      </c>
      <c r="C617" s="5">
        <f t="shared" si="18"/>
        <v>-1.6451279906963372E-2</v>
      </c>
      <c r="D617">
        <v>1217.3</v>
      </c>
      <c r="E617" s="5">
        <f t="shared" si="19"/>
        <v>-1.563119122130318E-2</v>
      </c>
    </row>
    <row r="618" spans="1:5" x14ac:dyDescent="0.25">
      <c r="A618" t="s">
        <v>622</v>
      </c>
      <c r="B618">
        <v>71588</v>
      </c>
      <c r="C618" s="5">
        <f t="shared" si="18"/>
        <v>-4.8917231300650989E-2</v>
      </c>
      <c r="D618">
        <v>1180.4000000000001</v>
      </c>
      <c r="E618" s="5">
        <f t="shared" si="19"/>
        <v>-3.031298775979616E-2</v>
      </c>
    </row>
    <row r="619" spans="1:5" x14ac:dyDescent="0.25">
      <c r="A619" t="s">
        <v>623</v>
      </c>
      <c r="B619">
        <v>71201</v>
      </c>
      <c r="C619" s="5">
        <f t="shared" si="18"/>
        <v>-5.4059339554115215E-3</v>
      </c>
      <c r="D619">
        <v>1172.47</v>
      </c>
      <c r="E619" s="5">
        <f t="shared" si="19"/>
        <v>-6.7180616740088643E-3</v>
      </c>
    </row>
    <row r="620" spans="1:5" x14ac:dyDescent="0.25">
      <c r="A620" t="s">
        <v>624</v>
      </c>
      <c r="B620">
        <v>67617</v>
      </c>
      <c r="C620" s="5">
        <f t="shared" si="18"/>
        <v>-5.0336371680173034E-2</v>
      </c>
      <c r="D620">
        <v>1169.27</v>
      </c>
      <c r="E620" s="5">
        <f t="shared" si="19"/>
        <v>-2.7292809197677088E-3</v>
      </c>
    </row>
    <row r="621" spans="1:5" x14ac:dyDescent="0.25">
      <c r="A621" t="s">
        <v>625</v>
      </c>
      <c r="B621">
        <v>70232</v>
      </c>
      <c r="C621" s="5">
        <f t="shared" si="18"/>
        <v>3.8673706316458882E-2</v>
      </c>
      <c r="D621">
        <v>1188.8800000000001</v>
      </c>
      <c r="E621" s="5">
        <f t="shared" si="19"/>
        <v>1.6771147810172266E-2</v>
      </c>
    </row>
    <row r="622" spans="1:5" x14ac:dyDescent="0.25">
      <c r="A622" t="s">
        <v>626</v>
      </c>
      <c r="B622">
        <v>69651</v>
      </c>
      <c r="C622" s="5">
        <f t="shared" si="18"/>
        <v>-8.2725822986672738E-3</v>
      </c>
      <c r="D622">
        <v>1185.48</v>
      </c>
      <c r="E622" s="5">
        <f t="shared" si="19"/>
        <v>-2.859834466052159E-3</v>
      </c>
    </row>
    <row r="623" spans="1:5" x14ac:dyDescent="0.25">
      <c r="A623" t="s">
        <v>627</v>
      </c>
      <c r="B623">
        <v>69264</v>
      </c>
      <c r="C623" s="5">
        <f t="shared" si="18"/>
        <v>-5.5562734203385448E-3</v>
      </c>
      <c r="D623">
        <v>1202.82</v>
      </c>
      <c r="E623" s="5">
        <f t="shared" si="19"/>
        <v>1.4626986537098827E-2</v>
      </c>
    </row>
    <row r="624" spans="1:5" x14ac:dyDescent="0.25">
      <c r="A624" t="s">
        <v>628</v>
      </c>
      <c r="B624">
        <v>70523</v>
      </c>
      <c r="C624" s="5">
        <f t="shared" si="18"/>
        <v>1.8176830676830676E-2</v>
      </c>
      <c r="D624">
        <v>1218.0999999999999</v>
      </c>
      <c r="E624" s="5">
        <f t="shared" si="19"/>
        <v>1.2703480154969134E-2</v>
      </c>
    </row>
    <row r="625" spans="1:5" x14ac:dyDescent="0.25">
      <c r="A625" t="s">
        <v>629</v>
      </c>
      <c r="B625">
        <v>70717</v>
      </c>
      <c r="C625" s="5">
        <f t="shared" si="18"/>
        <v>2.750875600867802E-3</v>
      </c>
      <c r="D625">
        <v>1218.0899999999999</v>
      </c>
      <c r="E625" s="5">
        <f t="shared" si="19"/>
        <v>-8.2095066086453546E-6</v>
      </c>
    </row>
    <row r="626" spans="1:5" x14ac:dyDescent="0.25">
      <c r="A626" t="s">
        <v>630</v>
      </c>
      <c r="B626">
        <v>69264</v>
      </c>
      <c r="C626" s="5">
        <f t="shared" si="18"/>
        <v>-2.0546686086796669E-2</v>
      </c>
      <c r="D626">
        <v>1197.5999999999999</v>
      </c>
      <c r="E626" s="5">
        <f t="shared" si="19"/>
        <v>-1.6821417136664785E-2</v>
      </c>
    </row>
    <row r="627" spans="1:5" x14ac:dyDescent="0.25">
      <c r="A627" t="s">
        <v>631</v>
      </c>
      <c r="B627">
        <v>68101</v>
      </c>
      <c r="C627" s="5">
        <f t="shared" si="18"/>
        <v>-1.6790829290829291E-2</v>
      </c>
      <c r="D627">
        <v>1198.9000000000001</v>
      </c>
      <c r="E627" s="5">
        <f t="shared" si="19"/>
        <v>1.0855043420175199E-3</v>
      </c>
    </row>
    <row r="628" spans="1:5" x14ac:dyDescent="0.25">
      <c r="A628" t="s">
        <v>632</v>
      </c>
      <c r="B628">
        <v>65679</v>
      </c>
      <c r="C628" s="5">
        <f t="shared" si="18"/>
        <v>-3.5564822836669063E-2</v>
      </c>
      <c r="D628">
        <v>1195.53</v>
      </c>
      <c r="E628" s="5">
        <f t="shared" si="19"/>
        <v>-2.8109100008341962E-3</v>
      </c>
    </row>
    <row r="629" spans="1:5" x14ac:dyDescent="0.25">
      <c r="A629" t="s">
        <v>633</v>
      </c>
      <c r="B629">
        <v>63451</v>
      </c>
      <c r="C629" s="5">
        <f t="shared" si="18"/>
        <v>-3.3922562767399016E-2</v>
      </c>
      <c r="D629">
        <v>1181.29</v>
      </c>
      <c r="E629" s="5">
        <f t="shared" si="19"/>
        <v>-1.1911035273058819E-2</v>
      </c>
    </row>
    <row r="630" spans="1:5" x14ac:dyDescent="0.25">
      <c r="A630" t="s">
        <v>634</v>
      </c>
      <c r="B630">
        <v>61998</v>
      </c>
      <c r="C630" s="5">
        <f t="shared" si="18"/>
        <v>-2.2899560290617956E-2</v>
      </c>
      <c r="D630">
        <v>1149.6099999999999</v>
      </c>
      <c r="E630" s="5">
        <f t="shared" si="19"/>
        <v>-2.6818139491572825E-2</v>
      </c>
    </row>
    <row r="631" spans="1:5" x14ac:dyDescent="0.25">
      <c r="A631" t="s">
        <v>635</v>
      </c>
      <c r="B631">
        <v>61998</v>
      </c>
      <c r="C631" s="5">
        <f t="shared" si="18"/>
        <v>0</v>
      </c>
      <c r="D631">
        <v>1166.48</v>
      </c>
      <c r="E631" s="5">
        <f t="shared" si="19"/>
        <v>1.4674541801132663E-2</v>
      </c>
    </row>
    <row r="632" spans="1:5" x14ac:dyDescent="0.25">
      <c r="A632" t="s">
        <v>636</v>
      </c>
      <c r="B632">
        <v>62967</v>
      </c>
      <c r="C632" s="5">
        <f t="shared" si="18"/>
        <v>1.5629536436659246E-2</v>
      </c>
      <c r="D632">
        <v>1171.31</v>
      </c>
      <c r="E632" s="5">
        <f t="shared" si="19"/>
        <v>4.1406625060008981E-3</v>
      </c>
    </row>
    <row r="633" spans="1:5" x14ac:dyDescent="0.25">
      <c r="A633" t="s">
        <v>637</v>
      </c>
      <c r="B633">
        <v>62483</v>
      </c>
      <c r="C633" s="5">
        <f t="shared" si="18"/>
        <v>-7.6865659790048757E-3</v>
      </c>
      <c r="D633">
        <v>1155.29</v>
      </c>
      <c r="E633" s="5">
        <f t="shared" si="19"/>
        <v>-1.3676994134772164E-2</v>
      </c>
    </row>
    <row r="634" spans="1:5" x14ac:dyDescent="0.25">
      <c r="A634" t="s">
        <v>638</v>
      </c>
      <c r="B634">
        <v>62386</v>
      </c>
      <c r="C634" s="5">
        <f t="shared" si="18"/>
        <v>-1.5524222588544083E-3</v>
      </c>
      <c r="D634">
        <v>1174.82</v>
      </c>
      <c r="E634" s="5">
        <f t="shared" si="19"/>
        <v>1.6904846402202023E-2</v>
      </c>
    </row>
    <row r="635" spans="1:5" x14ac:dyDescent="0.25">
      <c r="A635" t="s">
        <v>639</v>
      </c>
      <c r="B635">
        <v>61611</v>
      </c>
      <c r="C635" s="5">
        <f t="shared" si="18"/>
        <v>-1.2422658929888116E-2</v>
      </c>
      <c r="D635">
        <v>1173.92</v>
      </c>
      <c r="E635" s="5">
        <f t="shared" si="19"/>
        <v>-7.660748029484207E-4</v>
      </c>
    </row>
    <row r="636" spans="1:5" x14ac:dyDescent="0.25">
      <c r="A636" t="s">
        <v>640</v>
      </c>
      <c r="B636">
        <v>60642</v>
      </c>
      <c r="C636" s="5">
        <f t="shared" si="18"/>
        <v>-1.572771096070507E-2</v>
      </c>
      <c r="D636">
        <v>1182.17</v>
      </c>
      <c r="E636" s="5">
        <f t="shared" si="19"/>
        <v>7.0277361319340328E-3</v>
      </c>
    </row>
    <row r="637" spans="1:5" x14ac:dyDescent="0.25">
      <c r="A637" t="s">
        <v>641</v>
      </c>
      <c r="B637">
        <v>59576</v>
      </c>
      <c r="C637" s="5">
        <f t="shared" si="18"/>
        <v>-1.7578575904488639E-2</v>
      </c>
      <c r="D637">
        <v>1179.25</v>
      </c>
      <c r="E637" s="5">
        <f t="shared" si="19"/>
        <v>-2.4700339206713694E-3</v>
      </c>
    </row>
    <row r="638" spans="1:5" x14ac:dyDescent="0.25">
      <c r="A638" t="s">
        <v>642</v>
      </c>
      <c r="B638">
        <v>59092</v>
      </c>
      <c r="C638" s="5">
        <f t="shared" si="18"/>
        <v>-8.1240768094534704E-3</v>
      </c>
      <c r="D638">
        <v>1176.49</v>
      </c>
      <c r="E638" s="5">
        <f t="shared" si="19"/>
        <v>-2.3404706381174398E-3</v>
      </c>
    </row>
    <row r="639" spans="1:5" x14ac:dyDescent="0.25">
      <c r="A639" t="s">
        <v>643</v>
      </c>
      <c r="B639">
        <v>58123</v>
      </c>
      <c r="C639" s="5">
        <f t="shared" si="18"/>
        <v>-1.6398158803222096E-2</v>
      </c>
      <c r="D639">
        <v>1178.33</v>
      </c>
      <c r="E639" s="5">
        <f t="shared" si="19"/>
        <v>1.5639741944257224E-3</v>
      </c>
    </row>
    <row r="640" spans="1:5" x14ac:dyDescent="0.25">
      <c r="A640" t="s">
        <v>644</v>
      </c>
      <c r="B640">
        <v>59286</v>
      </c>
      <c r="C640" s="5">
        <f t="shared" si="18"/>
        <v>2.0009290642258658E-2</v>
      </c>
      <c r="D640">
        <v>1194.1400000000001</v>
      </c>
      <c r="E640" s="5">
        <f t="shared" si="19"/>
        <v>1.3417293966885485E-2</v>
      </c>
    </row>
    <row r="641" spans="1:5" x14ac:dyDescent="0.25">
      <c r="A641" t="s">
        <v>645</v>
      </c>
      <c r="B641">
        <v>62095</v>
      </c>
      <c r="C641" s="5">
        <f t="shared" si="18"/>
        <v>4.7380494551833484E-2</v>
      </c>
      <c r="D641">
        <v>1198.47</v>
      </c>
      <c r="E641" s="5">
        <f t="shared" si="19"/>
        <v>3.6260404977640202E-3</v>
      </c>
    </row>
    <row r="642" spans="1:5" x14ac:dyDescent="0.25">
      <c r="A642" t="s">
        <v>646</v>
      </c>
      <c r="B642">
        <v>62483</v>
      </c>
      <c r="C642" s="5">
        <f t="shared" si="18"/>
        <v>6.2484902166035916E-3</v>
      </c>
      <c r="D642">
        <v>1194.76</v>
      </c>
      <c r="E642" s="5">
        <f t="shared" si="19"/>
        <v>-3.0956135739735133E-3</v>
      </c>
    </row>
    <row r="643" spans="1:5" x14ac:dyDescent="0.25">
      <c r="A643" t="s">
        <v>647</v>
      </c>
      <c r="B643">
        <v>61320</v>
      </c>
      <c r="C643" s="5">
        <f t="shared" si="18"/>
        <v>-1.8613062753068836E-2</v>
      </c>
      <c r="D643">
        <v>1188.5</v>
      </c>
      <c r="E643" s="5">
        <f t="shared" si="19"/>
        <v>-5.2395460176102235E-3</v>
      </c>
    </row>
    <row r="644" spans="1:5" x14ac:dyDescent="0.25">
      <c r="A644" t="s">
        <v>648</v>
      </c>
      <c r="B644">
        <v>61029</v>
      </c>
      <c r="C644" s="5">
        <f t="shared" si="18"/>
        <v>-4.7455968688845402E-3</v>
      </c>
      <c r="D644">
        <v>1185.07</v>
      </c>
      <c r="E644" s="5">
        <f t="shared" si="19"/>
        <v>-2.8859907446361494E-3</v>
      </c>
    </row>
    <row r="645" spans="1:5" x14ac:dyDescent="0.25">
      <c r="A645" t="s">
        <v>649</v>
      </c>
      <c r="B645">
        <v>60158</v>
      </c>
      <c r="C645" s="5">
        <f t="shared" si="18"/>
        <v>-1.4271903521276771E-2</v>
      </c>
      <c r="D645">
        <v>1191.04</v>
      </c>
      <c r="E645" s="5">
        <f t="shared" si="19"/>
        <v>5.0376770992431059E-3</v>
      </c>
    </row>
    <row r="646" spans="1:5" x14ac:dyDescent="0.25">
      <c r="A646" t="s">
        <v>650</v>
      </c>
      <c r="B646">
        <v>60061</v>
      </c>
      <c r="C646" s="5">
        <f t="shared" ref="C646:C709" si="20">(B646-B645)/B645</f>
        <v>-1.6124206256856943E-3</v>
      </c>
      <c r="D646">
        <v>1208.1199999999999</v>
      </c>
      <c r="E646" s="5">
        <f t="shared" ref="E646:E709" si="21">(D646-D645)/D645</f>
        <v>1.4340408382589945E-2</v>
      </c>
    </row>
    <row r="647" spans="1:5" x14ac:dyDescent="0.25">
      <c r="A647" t="s">
        <v>651</v>
      </c>
      <c r="B647">
        <v>59092</v>
      </c>
      <c r="C647" s="5">
        <f t="shared" si="20"/>
        <v>-1.6133597509198981E-2</v>
      </c>
      <c r="D647">
        <v>1206.33</v>
      </c>
      <c r="E647" s="5">
        <f t="shared" si="21"/>
        <v>-1.4816408965996457E-3</v>
      </c>
    </row>
    <row r="648" spans="1:5" x14ac:dyDescent="0.25">
      <c r="A648" t="s">
        <v>652</v>
      </c>
      <c r="B648">
        <v>59383</v>
      </c>
      <c r="C648" s="5">
        <f t="shared" si="20"/>
        <v>4.9245244703174712E-3</v>
      </c>
      <c r="D648">
        <v>1231.3499999999999</v>
      </c>
      <c r="E648" s="5">
        <f t="shared" si="21"/>
        <v>2.0740593369973376E-2</v>
      </c>
    </row>
    <row r="649" spans="1:5" x14ac:dyDescent="0.25">
      <c r="A649" t="s">
        <v>653</v>
      </c>
      <c r="B649">
        <v>60061</v>
      </c>
      <c r="C649" s="5">
        <f t="shared" si="20"/>
        <v>1.1417409022784299E-2</v>
      </c>
      <c r="D649">
        <v>1241.6199999999999</v>
      </c>
      <c r="E649" s="5">
        <f t="shared" si="21"/>
        <v>8.3404393551792608E-3</v>
      </c>
    </row>
    <row r="650" spans="1:5" x14ac:dyDescent="0.25">
      <c r="A650" t="s">
        <v>654</v>
      </c>
      <c r="B650">
        <v>59867</v>
      </c>
      <c r="C650" s="5">
        <f t="shared" si="20"/>
        <v>-3.2300494497261118E-3</v>
      </c>
      <c r="D650">
        <v>1249.76</v>
      </c>
      <c r="E650" s="5">
        <f t="shared" si="21"/>
        <v>6.555951096148661E-3</v>
      </c>
    </row>
    <row r="651" spans="1:5" x14ac:dyDescent="0.25">
      <c r="A651" t="s">
        <v>655</v>
      </c>
      <c r="B651">
        <v>60739</v>
      </c>
      <c r="C651" s="5">
        <f t="shared" si="20"/>
        <v>1.4565620458683416E-2</v>
      </c>
      <c r="D651">
        <v>1254.1500000000001</v>
      </c>
      <c r="E651" s="5">
        <f t="shared" si="21"/>
        <v>3.5126744334913105E-3</v>
      </c>
    </row>
    <row r="652" spans="1:5" x14ac:dyDescent="0.25">
      <c r="A652" t="s">
        <v>656</v>
      </c>
      <c r="B652">
        <v>60739</v>
      </c>
      <c r="C652" s="5">
        <f t="shared" si="20"/>
        <v>0</v>
      </c>
      <c r="D652">
        <v>1252.74</v>
      </c>
      <c r="E652" s="5">
        <f t="shared" si="21"/>
        <v>-1.124267432125409E-3</v>
      </c>
    </row>
    <row r="653" spans="1:5" x14ac:dyDescent="0.25">
      <c r="A653" t="s">
        <v>657</v>
      </c>
      <c r="B653">
        <v>60933</v>
      </c>
      <c r="C653" s="5">
        <f t="shared" si="20"/>
        <v>3.1939939742175539E-3</v>
      </c>
      <c r="D653">
        <v>1256.75</v>
      </c>
      <c r="E653" s="5">
        <f t="shared" si="21"/>
        <v>3.2009834442901087E-3</v>
      </c>
    </row>
    <row r="654" spans="1:5" x14ac:dyDescent="0.25">
      <c r="A654" t="s">
        <v>658</v>
      </c>
      <c r="B654">
        <v>61320</v>
      </c>
      <c r="C654" s="5">
        <f t="shared" si="20"/>
        <v>6.3512382452858059E-3</v>
      </c>
      <c r="D654">
        <v>1258.8499999999999</v>
      </c>
      <c r="E654" s="5">
        <f t="shared" si="21"/>
        <v>1.6709767256812484E-3</v>
      </c>
    </row>
    <row r="655" spans="1:5" x14ac:dyDescent="0.25">
      <c r="A655" t="s">
        <v>659</v>
      </c>
      <c r="B655">
        <v>61611</v>
      </c>
      <c r="C655" s="5">
        <f t="shared" si="20"/>
        <v>4.7455968688845402E-3</v>
      </c>
      <c r="D655">
        <v>1256.5</v>
      </c>
      <c r="E655" s="5">
        <f t="shared" si="21"/>
        <v>-1.8667831751200772E-3</v>
      </c>
    </row>
    <row r="656" spans="1:5" x14ac:dyDescent="0.25">
      <c r="A656" t="s">
        <v>660</v>
      </c>
      <c r="B656">
        <v>61029</v>
      </c>
      <c r="C656" s="5">
        <f t="shared" si="20"/>
        <v>-9.4463650971417443E-3</v>
      </c>
      <c r="D656">
        <v>1252.07</v>
      </c>
      <c r="E656" s="5">
        <f t="shared" si="21"/>
        <v>-3.5256665340231306E-3</v>
      </c>
    </row>
    <row r="657" spans="1:5" x14ac:dyDescent="0.25">
      <c r="A657" t="s">
        <v>661</v>
      </c>
      <c r="B657">
        <v>61029</v>
      </c>
      <c r="C657" s="5">
        <f t="shared" si="20"/>
        <v>0</v>
      </c>
      <c r="D657">
        <v>1262.33</v>
      </c>
      <c r="E657" s="5">
        <f t="shared" si="21"/>
        <v>8.194430023880447E-3</v>
      </c>
    </row>
    <row r="658" spans="1:5" x14ac:dyDescent="0.25">
      <c r="A658" t="s">
        <v>662</v>
      </c>
      <c r="B658">
        <v>62967</v>
      </c>
      <c r="C658" s="5">
        <f t="shared" si="20"/>
        <v>3.1755394976158875E-2</v>
      </c>
      <c r="D658">
        <v>1274.2</v>
      </c>
      <c r="E658" s="5">
        <f t="shared" si="21"/>
        <v>9.4032463777301654E-3</v>
      </c>
    </row>
    <row r="659" spans="1:5" x14ac:dyDescent="0.25">
      <c r="A659" t="s">
        <v>663</v>
      </c>
      <c r="B659">
        <v>63936</v>
      </c>
      <c r="C659" s="5">
        <f t="shared" si="20"/>
        <v>1.5389013292677117E-2</v>
      </c>
      <c r="D659">
        <v>1274.69</v>
      </c>
      <c r="E659" s="5">
        <f t="shared" si="21"/>
        <v>3.8455501491132404E-4</v>
      </c>
    </row>
    <row r="660" spans="1:5" x14ac:dyDescent="0.25">
      <c r="A660" t="s">
        <v>664</v>
      </c>
      <c r="B660">
        <v>62967</v>
      </c>
      <c r="C660" s="5">
        <f t="shared" si="20"/>
        <v>-1.5155780780780781E-2</v>
      </c>
      <c r="D660">
        <v>1275.28</v>
      </c>
      <c r="E660" s="5">
        <f t="shared" si="21"/>
        <v>4.6285763597417263E-4</v>
      </c>
    </row>
    <row r="661" spans="1:5" x14ac:dyDescent="0.25">
      <c r="A661" t="s">
        <v>665</v>
      </c>
      <c r="B661">
        <v>62483</v>
      </c>
      <c r="C661" s="5">
        <f t="shared" si="20"/>
        <v>-7.6865659790048757E-3</v>
      </c>
      <c r="D661">
        <v>1273.6600000000001</v>
      </c>
      <c r="E661" s="5">
        <f t="shared" si="21"/>
        <v>-1.2703092654161368E-3</v>
      </c>
    </row>
    <row r="662" spans="1:5" x14ac:dyDescent="0.25">
      <c r="A662" t="s">
        <v>666</v>
      </c>
      <c r="B662">
        <v>62095</v>
      </c>
      <c r="C662" s="5">
        <f t="shared" si="20"/>
        <v>-6.2096890354176332E-3</v>
      </c>
      <c r="D662">
        <v>1269.18</v>
      </c>
      <c r="E662" s="5">
        <f t="shared" si="21"/>
        <v>-3.5174222319928534E-3</v>
      </c>
    </row>
    <row r="663" spans="1:5" x14ac:dyDescent="0.25">
      <c r="A663" t="s">
        <v>667</v>
      </c>
      <c r="B663">
        <v>64420</v>
      </c>
      <c r="C663" s="5">
        <f t="shared" si="20"/>
        <v>3.744262823093647E-2</v>
      </c>
      <c r="D663">
        <v>1260.43</v>
      </c>
      <c r="E663" s="5">
        <f t="shared" si="21"/>
        <v>-6.8942151625458956E-3</v>
      </c>
    </row>
    <row r="664" spans="1:5" x14ac:dyDescent="0.25">
      <c r="A664" t="s">
        <v>668</v>
      </c>
      <c r="B664">
        <v>64807</v>
      </c>
      <c r="C664" s="5">
        <f t="shared" si="20"/>
        <v>6.0074511021421919E-3</v>
      </c>
      <c r="D664">
        <v>1270.81</v>
      </c>
      <c r="E664" s="5">
        <f t="shared" si="21"/>
        <v>8.2352847837641775E-3</v>
      </c>
    </row>
    <row r="665" spans="1:5" x14ac:dyDescent="0.25">
      <c r="A665" t="s">
        <v>669</v>
      </c>
      <c r="B665">
        <v>64711</v>
      </c>
      <c r="C665" s="5">
        <f t="shared" si="20"/>
        <v>-1.4813214621877265E-3</v>
      </c>
      <c r="D665">
        <v>1277.1600000000001</v>
      </c>
      <c r="E665" s="5">
        <f t="shared" si="21"/>
        <v>4.9968130562398289E-3</v>
      </c>
    </row>
    <row r="666" spans="1:5" x14ac:dyDescent="0.25">
      <c r="A666" t="s">
        <v>670</v>
      </c>
      <c r="B666">
        <v>66261</v>
      </c>
      <c r="C666" s="5">
        <f t="shared" si="20"/>
        <v>2.3952651017601335E-2</v>
      </c>
      <c r="D666">
        <v>1288.8800000000001</v>
      </c>
      <c r="E666" s="5">
        <f t="shared" si="21"/>
        <v>9.1766106047793741E-3</v>
      </c>
    </row>
    <row r="667" spans="1:5" x14ac:dyDescent="0.25">
      <c r="A667" t="s">
        <v>671</v>
      </c>
      <c r="B667">
        <v>69942</v>
      </c>
      <c r="C667" s="5">
        <f t="shared" si="20"/>
        <v>5.555304024992077E-2</v>
      </c>
      <c r="D667">
        <v>1282.57</v>
      </c>
      <c r="E667" s="5">
        <f t="shared" si="21"/>
        <v>-4.895723418782332E-3</v>
      </c>
    </row>
    <row r="668" spans="1:5" x14ac:dyDescent="0.25">
      <c r="A668" t="s">
        <v>672</v>
      </c>
      <c r="B668">
        <v>71685</v>
      </c>
      <c r="C668" s="5">
        <f t="shared" si="20"/>
        <v>2.4920648537359525E-2</v>
      </c>
      <c r="D668">
        <v>1270.8</v>
      </c>
      <c r="E668" s="5">
        <f t="shared" si="21"/>
        <v>-9.1768870315070382E-3</v>
      </c>
    </row>
    <row r="669" spans="1:5" x14ac:dyDescent="0.25">
      <c r="A669" t="s">
        <v>673</v>
      </c>
      <c r="B669">
        <v>71007</v>
      </c>
      <c r="C669" s="5">
        <f t="shared" si="20"/>
        <v>-9.4580456162377067E-3</v>
      </c>
      <c r="D669">
        <v>1279.3900000000001</v>
      </c>
      <c r="E669" s="5">
        <f t="shared" si="21"/>
        <v>6.7595215612213924E-3</v>
      </c>
    </row>
    <row r="670" spans="1:5" x14ac:dyDescent="0.25">
      <c r="A670" t="s">
        <v>674</v>
      </c>
      <c r="B670">
        <v>71685</v>
      </c>
      <c r="C670" s="5">
        <f t="shared" si="20"/>
        <v>9.5483543875955895E-3</v>
      </c>
      <c r="D670">
        <v>1280.51</v>
      </c>
      <c r="E670" s="5">
        <f t="shared" si="21"/>
        <v>8.7541719100500302E-4</v>
      </c>
    </row>
    <row r="671" spans="1:5" x14ac:dyDescent="0.25">
      <c r="A671" t="s">
        <v>675</v>
      </c>
      <c r="B671">
        <v>70232</v>
      </c>
      <c r="C671" s="5">
        <f t="shared" si="20"/>
        <v>-2.0269233451907651E-2</v>
      </c>
      <c r="D671">
        <v>1277.3499999999999</v>
      </c>
      <c r="E671" s="5">
        <f t="shared" si="21"/>
        <v>-2.4677667491859352E-3</v>
      </c>
    </row>
    <row r="672" spans="1:5" x14ac:dyDescent="0.25">
      <c r="A672" t="s">
        <v>676</v>
      </c>
      <c r="B672">
        <v>70620</v>
      </c>
      <c r="C672" s="5">
        <f t="shared" si="20"/>
        <v>5.5245472149447541E-3</v>
      </c>
      <c r="D672">
        <v>1277.4000000000001</v>
      </c>
      <c r="E672" s="5">
        <f t="shared" si="21"/>
        <v>3.914353935897123E-5</v>
      </c>
    </row>
    <row r="673" spans="1:5" x14ac:dyDescent="0.25">
      <c r="A673" t="s">
        <v>677</v>
      </c>
      <c r="B673">
        <v>68489</v>
      </c>
      <c r="C673" s="5">
        <f t="shared" si="20"/>
        <v>-3.0175587652223165E-2</v>
      </c>
      <c r="D673">
        <v>1243.17</v>
      </c>
      <c r="E673" s="5">
        <f t="shared" si="21"/>
        <v>-2.6796618130577748E-2</v>
      </c>
    </row>
    <row r="674" spans="1:5" x14ac:dyDescent="0.25">
      <c r="A674" t="s">
        <v>678</v>
      </c>
      <c r="B674">
        <v>69264</v>
      </c>
      <c r="C674" s="5">
        <f t="shared" si="20"/>
        <v>1.1315685730555271E-2</v>
      </c>
      <c r="D674">
        <v>1234.5999999999999</v>
      </c>
      <c r="E674" s="5">
        <f t="shared" si="21"/>
        <v>-6.8936669964688359E-3</v>
      </c>
    </row>
    <row r="675" spans="1:5" x14ac:dyDescent="0.25">
      <c r="A675" t="s">
        <v>679</v>
      </c>
      <c r="B675">
        <v>69748</v>
      </c>
      <c r="C675" s="5">
        <f t="shared" si="20"/>
        <v>6.9877569877569877E-3</v>
      </c>
      <c r="D675">
        <v>1248.78</v>
      </c>
      <c r="E675" s="5">
        <f t="shared" si="21"/>
        <v>1.1485501376964252E-2</v>
      </c>
    </row>
    <row r="676" spans="1:5" x14ac:dyDescent="0.25">
      <c r="A676" t="s">
        <v>680</v>
      </c>
      <c r="B676">
        <v>71685</v>
      </c>
      <c r="C676" s="5">
        <f t="shared" si="20"/>
        <v>2.77714056317027E-2</v>
      </c>
      <c r="D676">
        <v>1249.6199999999999</v>
      </c>
      <c r="E676" s="5">
        <f t="shared" si="21"/>
        <v>6.7265651275638476E-4</v>
      </c>
    </row>
    <row r="677" spans="1:5" x14ac:dyDescent="0.25">
      <c r="A677" t="s">
        <v>681</v>
      </c>
      <c r="B677">
        <v>71782</v>
      </c>
      <c r="C677" s="5">
        <f t="shared" si="20"/>
        <v>1.3531422194322383E-3</v>
      </c>
      <c r="D677">
        <v>1248.4000000000001</v>
      </c>
      <c r="E677" s="5">
        <f t="shared" si="21"/>
        <v>-9.7629679422528448E-4</v>
      </c>
    </row>
    <row r="678" spans="1:5" x14ac:dyDescent="0.25">
      <c r="A678" t="s">
        <v>682</v>
      </c>
      <c r="B678">
        <v>71395</v>
      </c>
      <c r="C678" s="5">
        <f t="shared" si="20"/>
        <v>-5.3913237301830546E-3</v>
      </c>
      <c r="D678">
        <v>1240.77</v>
      </c>
      <c r="E678" s="5">
        <f t="shared" si="21"/>
        <v>-6.1118231336111089E-3</v>
      </c>
    </row>
    <row r="679" spans="1:5" x14ac:dyDescent="0.25">
      <c r="A679" t="s">
        <v>683</v>
      </c>
      <c r="B679">
        <v>71588</v>
      </c>
      <c r="C679" s="5">
        <f t="shared" si="20"/>
        <v>2.7032705371524616E-3</v>
      </c>
      <c r="D679">
        <v>1245.6600000000001</v>
      </c>
      <c r="E679" s="5">
        <f t="shared" si="21"/>
        <v>3.9411010904519773E-3</v>
      </c>
    </row>
    <row r="680" spans="1:5" x14ac:dyDescent="0.25">
      <c r="A680" t="s">
        <v>684</v>
      </c>
      <c r="B680">
        <v>69748</v>
      </c>
      <c r="C680" s="5">
        <f t="shared" si="20"/>
        <v>-2.5702631725987597E-2</v>
      </c>
      <c r="D680">
        <v>1234.03</v>
      </c>
      <c r="E680" s="5">
        <f t="shared" si="21"/>
        <v>-9.3364160364787403E-3</v>
      </c>
    </row>
    <row r="681" spans="1:5" x14ac:dyDescent="0.25">
      <c r="A681" t="s">
        <v>685</v>
      </c>
      <c r="B681">
        <v>68295</v>
      </c>
      <c r="C681" s="5">
        <f t="shared" si="20"/>
        <v>-2.0832138555944256E-2</v>
      </c>
      <c r="D681">
        <v>1205.43</v>
      </c>
      <c r="E681" s="5">
        <f t="shared" si="21"/>
        <v>-2.3176097825822639E-2</v>
      </c>
    </row>
    <row r="682" spans="1:5" x14ac:dyDescent="0.25">
      <c r="A682" t="s">
        <v>686</v>
      </c>
      <c r="B682">
        <v>69457</v>
      </c>
      <c r="C682" s="5">
        <f t="shared" si="20"/>
        <v>1.7014422724943259E-2</v>
      </c>
      <c r="D682">
        <v>1218.93</v>
      </c>
      <c r="E682" s="5">
        <f t="shared" si="21"/>
        <v>1.1199323063139295E-2</v>
      </c>
    </row>
    <row r="683" spans="1:5" x14ac:dyDescent="0.25">
      <c r="A683" t="s">
        <v>687</v>
      </c>
      <c r="B683">
        <v>67810</v>
      </c>
      <c r="C683" s="5">
        <f t="shared" si="20"/>
        <v>-2.3712512777689793E-2</v>
      </c>
      <c r="D683">
        <v>1210.55</v>
      </c>
      <c r="E683" s="5">
        <f t="shared" si="21"/>
        <v>-6.8748820686996863E-3</v>
      </c>
    </row>
    <row r="684" spans="1:5" x14ac:dyDescent="0.25">
      <c r="A684" t="s">
        <v>688</v>
      </c>
      <c r="B684">
        <v>67907</v>
      </c>
      <c r="C684" s="5">
        <f t="shared" si="20"/>
        <v>1.4304674826721723E-3</v>
      </c>
      <c r="D684">
        <v>1214.7</v>
      </c>
      <c r="E684" s="5">
        <f t="shared" si="21"/>
        <v>3.4281937962084104E-3</v>
      </c>
    </row>
    <row r="685" spans="1:5" x14ac:dyDescent="0.25">
      <c r="A685" t="s">
        <v>689</v>
      </c>
      <c r="B685">
        <v>67229</v>
      </c>
      <c r="C685" s="5">
        <f t="shared" si="20"/>
        <v>-9.9842431560811101E-3</v>
      </c>
      <c r="D685">
        <v>1203.28</v>
      </c>
      <c r="E685" s="5">
        <f t="shared" si="21"/>
        <v>-9.4014983123405556E-3</v>
      </c>
    </row>
    <row r="686" spans="1:5" x14ac:dyDescent="0.25">
      <c r="A686" t="s">
        <v>690</v>
      </c>
      <c r="B686">
        <v>65873</v>
      </c>
      <c r="C686" s="5">
        <f t="shared" si="20"/>
        <v>-2.0169867170417528E-2</v>
      </c>
      <c r="D686">
        <v>1174.3499999999999</v>
      </c>
      <c r="E686" s="5">
        <f t="shared" si="21"/>
        <v>-2.4042616847284145E-2</v>
      </c>
    </row>
    <row r="687" spans="1:5" x14ac:dyDescent="0.25">
      <c r="A687" t="s">
        <v>691</v>
      </c>
      <c r="B687">
        <v>65001.000000000007</v>
      </c>
      <c r="C687" s="5">
        <f t="shared" si="20"/>
        <v>-1.3237593551227252E-2</v>
      </c>
      <c r="D687">
        <v>1166.54</v>
      </c>
      <c r="E687" s="5">
        <f t="shared" si="21"/>
        <v>-6.6504875037254191E-3</v>
      </c>
    </row>
    <row r="688" spans="1:5" x14ac:dyDescent="0.25">
      <c r="A688" t="s">
        <v>692</v>
      </c>
      <c r="B688">
        <v>62967</v>
      </c>
      <c r="C688" s="5">
        <f t="shared" si="20"/>
        <v>-3.1291826279595807E-2</v>
      </c>
      <c r="D688">
        <v>1143.6199999999999</v>
      </c>
      <c r="E688" s="5">
        <f t="shared" si="21"/>
        <v>-1.964784748058367E-2</v>
      </c>
    </row>
    <row r="689" spans="1:5" x14ac:dyDescent="0.25">
      <c r="A689" t="s">
        <v>693</v>
      </c>
      <c r="B689">
        <v>61998</v>
      </c>
      <c r="C689" s="5">
        <f t="shared" si="20"/>
        <v>-1.5389013292677117E-2</v>
      </c>
      <c r="D689">
        <v>1126.07</v>
      </c>
      <c r="E689" s="5">
        <f t="shared" si="21"/>
        <v>-1.5346006540634088E-2</v>
      </c>
    </row>
    <row r="690" spans="1:5" x14ac:dyDescent="0.25">
      <c r="A690" t="s">
        <v>694</v>
      </c>
      <c r="B690">
        <v>61998</v>
      </c>
      <c r="C690" s="5">
        <f t="shared" si="20"/>
        <v>0</v>
      </c>
      <c r="D690">
        <v>1132.1099999999999</v>
      </c>
      <c r="E690" s="5">
        <f t="shared" si="21"/>
        <v>5.363787331160553E-3</v>
      </c>
    </row>
    <row r="691" spans="1:5" x14ac:dyDescent="0.25">
      <c r="A691" t="s">
        <v>695</v>
      </c>
      <c r="B691">
        <v>57736</v>
      </c>
      <c r="C691" s="5">
        <f t="shared" si="20"/>
        <v>-6.874415303719475E-2</v>
      </c>
      <c r="D691">
        <v>1086.44</v>
      </c>
      <c r="E691" s="5">
        <f t="shared" si="21"/>
        <v>-4.0340602944943377E-2</v>
      </c>
    </row>
    <row r="692" spans="1:5" x14ac:dyDescent="0.25">
      <c r="A692" t="s">
        <v>696</v>
      </c>
      <c r="B692">
        <v>59092</v>
      </c>
      <c r="C692" s="5">
        <f t="shared" si="20"/>
        <v>2.3486213107939587E-2</v>
      </c>
      <c r="D692">
        <v>1078.1400000000001</v>
      </c>
      <c r="E692" s="5">
        <f t="shared" si="21"/>
        <v>-7.6396303523433911E-3</v>
      </c>
    </row>
    <row r="693" spans="1:5" x14ac:dyDescent="0.25">
      <c r="A693" t="s">
        <v>697</v>
      </c>
      <c r="B693">
        <v>60254</v>
      </c>
      <c r="C693" s="5">
        <f t="shared" si="20"/>
        <v>1.9664252352264266E-2</v>
      </c>
      <c r="D693">
        <v>1104.26</v>
      </c>
      <c r="E693" s="5">
        <f t="shared" si="21"/>
        <v>2.4226909306768962E-2</v>
      </c>
    </row>
    <row r="694" spans="1:5" x14ac:dyDescent="0.25">
      <c r="A694" t="s">
        <v>698</v>
      </c>
      <c r="B694">
        <v>56186</v>
      </c>
      <c r="C694" s="5">
        <f t="shared" si="20"/>
        <v>-6.7514189929299306E-2</v>
      </c>
      <c r="D694">
        <v>1074.52</v>
      </c>
      <c r="E694" s="5">
        <f t="shared" si="21"/>
        <v>-2.6932063101081274E-2</v>
      </c>
    </row>
    <row r="695" spans="1:5" x14ac:dyDescent="0.25">
      <c r="A695" t="s">
        <v>699</v>
      </c>
      <c r="B695">
        <v>52311</v>
      </c>
      <c r="C695" s="5">
        <f t="shared" si="20"/>
        <v>-6.8967358416687427E-2</v>
      </c>
      <c r="D695">
        <v>1035.9100000000001</v>
      </c>
      <c r="E695" s="5">
        <f t="shared" si="21"/>
        <v>-3.5932323269925084E-2</v>
      </c>
    </row>
    <row r="696" spans="1:5" x14ac:dyDescent="0.25">
      <c r="A696" t="s">
        <v>700</v>
      </c>
      <c r="B696">
        <v>55314</v>
      </c>
      <c r="C696" s="5">
        <f t="shared" si="20"/>
        <v>5.7406663990365314E-2</v>
      </c>
      <c r="D696">
        <v>1042.48</v>
      </c>
      <c r="E696" s="5">
        <f t="shared" si="21"/>
        <v>6.3422498093463099E-3</v>
      </c>
    </row>
    <row r="697" spans="1:5" x14ac:dyDescent="0.25">
      <c r="A697" t="s">
        <v>701</v>
      </c>
      <c r="B697">
        <v>53667</v>
      </c>
      <c r="C697" s="5">
        <f t="shared" si="20"/>
        <v>-2.9775463716238203E-2</v>
      </c>
      <c r="D697">
        <v>1006.2</v>
      </c>
      <c r="E697" s="5">
        <f t="shared" si="21"/>
        <v>-3.4801626889724477E-2</v>
      </c>
    </row>
    <row r="698" spans="1:5" x14ac:dyDescent="0.25">
      <c r="A698" t="s">
        <v>702</v>
      </c>
      <c r="B698">
        <v>55701</v>
      </c>
      <c r="C698" s="5">
        <f t="shared" si="20"/>
        <v>3.7900385711889986E-2</v>
      </c>
      <c r="D698">
        <v>1034.81</v>
      </c>
      <c r="E698" s="5">
        <f t="shared" si="21"/>
        <v>2.8433710991850426E-2</v>
      </c>
    </row>
    <row r="699" spans="1:5" x14ac:dyDescent="0.25">
      <c r="A699" t="s">
        <v>703</v>
      </c>
      <c r="B699">
        <v>55798</v>
      </c>
      <c r="C699" s="5">
        <f t="shared" si="20"/>
        <v>1.7414409077036318E-3</v>
      </c>
      <c r="D699">
        <v>1050.99</v>
      </c>
      <c r="E699" s="5">
        <f t="shared" si="21"/>
        <v>1.5635720567060682E-2</v>
      </c>
    </row>
    <row r="700" spans="1:5" x14ac:dyDescent="0.25">
      <c r="A700" t="s">
        <v>704</v>
      </c>
      <c r="B700">
        <v>58026</v>
      </c>
      <c r="C700" s="5">
        <f t="shared" si="20"/>
        <v>3.9929746585899137E-2</v>
      </c>
      <c r="D700">
        <v>1061.8499999999999</v>
      </c>
      <c r="E700" s="5">
        <f t="shared" si="21"/>
        <v>1.0333114492050257E-2</v>
      </c>
    </row>
    <row r="701" spans="1:5" x14ac:dyDescent="0.25">
      <c r="A701" t="s">
        <v>705</v>
      </c>
      <c r="B701">
        <v>57058</v>
      </c>
      <c r="C701" s="5">
        <f t="shared" si="20"/>
        <v>-1.6682176955158032E-2</v>
      </c>
      <c r="D701">
        <v>1051.58</v>
      </c>
      <c r="E701" s="5">
        <f t="shared" si="21"/>
        <v>-9.6717992183453245E-3</v>
      </c>
    </row>
    <row r="702" spans="1:5" x14ac:dyDescent="0.25">
      <c r="A702" t="s">
        <v>706</v>
      </c>
      <c r="B702">
        <v>57155</v>
      </c>
      <c r="C702" s="5">
        <f t="shared" si="20"/>
        <v>1.7000245364366083E-3</v>
      </c>
      <c r="D702">
        <v>1063.6600000000001</v>
      </c>
      <c r="E702" s="5">
        <f t="shared" si="21"/>
        <v>1.1487475988512671E-2</v>
      </c>
    </row>
    <row r="703" spans="1:5" x14ac:dyDescent="0.25">
      <c r="A703" t="s">
        <v>707</v>
      </c>
      <c r="B703">
        <v>57155</v>
      </c>
      <c r="C703" s="5">
        <f t="shared" si="20"/>
        <v>0</v>
      </c>
      <c r="D703">
        <v>1060.07</v>
      </c>
      <c r="E703" s="5">
        <f t="shared" si="21"/>
        <v>-3.375138672132209E-3</v>
      </c>
    </row>
    <row r="704" spans="1:5" x14ac:dyDescent="0.25">
      <c r="A704" t="s">
        <v>708</v>
      </c>
      <c r="B704">
        <v>56573</v>
      </c>
      <c r="C704" s="5">
        <f t="shared" si="20"/>
        <v>-1.0182836147318694E-2</v>
      </c>
      <c r="D704">
        <v>1058.45</v>
      </c>
      <c r="E704" s="5">
        <f t="shared" si="21"/>
        <v>-1.52820096786051E-3</v>
      </c>
    </row>
    <row r="705" spans="1:5" x14ac:dyDescent="0.25">
      <c r="A705" t="s">
        <v>709</v>
      </c>
      <c r="B705">
        <v>52698</v>
      </c>
      <c r="C705" s="5">
        <f t="shared" si="20"/>
        <v>-6.8495572092694398E-2</v>
      </c>
      <c r="D705">
        <v>1019.82</v>
      </c>
      <c r="E705" s="5">
        <f t="shared" si="21"/>
        <v>-3.6496764136236946E-2</v>
      </c>
    </row>
    <row r="706" spans="1:5" x14ac:dyDescent="0.25">
      <c r="A706" t="s">
        <v>710</v>
      </c>
      <c r="B706">
        <v>49017</v>
      </c>
      <c r="C706" s="5">
        <f t="shared" si="20"/>
        <v>-6.9850848229534329E-2</v>
      </c>
      <c r="D706">
        <v>986.15</v>
      </c>
      <c r="E706" s="5">
        <f t="shared" si="21"/>
        <v>-3.3015630209252682E-2</v>
      </c>
    </row>
    <row r="707" spans="1:5" x14ac:dyDescent="0.25">
      <c r="A707" t="s">
        <v>711</v>
      </c>
      <c r="B707">
        <v>50373</v>
      </c>
      <c r="C707" s="5">
        <f t="shared" si="20"/>
        <v>2.7663871717975397E-2</v>
      </c>
      <c r="D707">
        <v>997.7</v>
      </c>
      <c r="E707" s="5">
        <f t="shared" si="21"/>
        <v>1.1712214166201966E-2</v>
      </c>
    </row>
    <row r="708" spans="1:5" x14ac:dyDescent="0.25">
      <c r="A708" t="s">
        <v>712</v>
      </c>
      <c r="B708">
        <v>50277</v>
      </c>
      <c r="C708" s="5">
        <f t="shared" si="20"/>
        <v>-1.9057828598654041E-3</v>
      </c>
      <c r="D708">
        <v>993.36</v>
      </c>
      <c r="E708" s="5">
        <f t="shared" si="21"/>
        <v>-4.3500050115265424E-3</v>
      </c>
    </row>
    <row r="709" spans="1:5" x14ac:dyDescent="0.25">
      <c r="A709" t="s">
        <v>713</v>
      </c>
      <c r="B709">
        <v>51633</v>
      </c>
      <c r="C709" s="5">
        <f t="shared" si="20"/>
        <v>2.6970582970344291E-2</v>
      </c>
      <c r="D709">
        <v>1028.01</v>
      </c>
      <c r="E709" s="5">
        <f t="shared" si="21"/>
        <v>3.4881613916404902E-2</v>
      </c>
    </row>
    <row r="710" spans="1:5" x14ac:dyDescent="0.25">
      <c r="A710" t="s">
        <v>714</v>
      </c>
      <c r="B710">
        <v>51536</v>
      </c>
      <c r="C710" s="5">
        <f t="shared" ref="C710:C773" si="22">(B710-B709)/B709</f>
        <v>-1.8786435031859471E-3</v>
      </c>
      <c r="D710">
        <v>1027.3599999999999</v>
      </c>
      <c r="E710" s="5">
        <f t="shared" ref="E710:E773" si="23">(D710-D709)/D709</f>
        <v>-6.322895691677036E-4</v>
      </c>
    </row>
    <row r="711" spans="1:5" x14ac:dyDescent="0.25">
      <c r="A711" t="s">
        <v>715</v>
      </c>
      <c r="B711">
        <v>49986</v>
      </c>
      <c r="C711" s="5">
        <f t="shared" si="22"/>
        <v>-3.007606333436821E-2</v>
      </c>
      <c r="D711">
        <v>1027.94</v>
      </c>
      <c r="E711" s="5">
        <f t="shared" si="23"/>
        <v>5.6455380781824738E-4</v>
      </c>
    </row>
    <row r="712" spans="1:5" x14ac:dyDescent="0.25">
      <c r="A712" t="s">
        <v>716</v>
      </c>
      <c r="B712">
        <v>48533</v>
      </c>
      <c r="C712" s="5">
        <f t="shared" si="22"/>
        <v>-2.9068139078942103E-2</v>
      </c>
      <c r="D712">
        <v>1033.75</v>
      </c>
      <c r="E712" s="5">
        <f t="shared" si="23"/>
        <v>5.6520808607505744E-3</v>
      </c>
    </row>
    <row r="713" spans="1:5" x14ac:dyDescent="0.25">
      <c r="A713" t="s">
        <v>717</v>
      </c>
      <c r="B713">
        <v>46499</v>
      </c>
      <c r="C713" s="5">
        <f t="shared" si="22"/>
        <v>-4.1909628500195743E-2</v>
      </c>
      <c r="D713">
        <v>1023.19</v>
      </c>
      <c r="E713" s="5">
        <f t="shared" si="23"/>
        <v>-1.0215235792019293E-2</v>
      </c>
    </row>
    <row r="714" spans="1:5" x14ac:dyDescent="0.25">
      <c r="A714" t="s">
        <v>718</v>
      </c>
      <c r="B714">
        <v>47952</v>
      </c>
      <c r="C714" s="5">
        <f t="shared" si="22"/>
        <v>3.1247983827609196E-2</v>
      </c>
      <c r="D714">
        <v>1019.81</v>
      </c>
      <c r="E714" s="5">
        <f t="shared" si="23"/>
        <v>-3.3033942864962606E-3</v>
      </c>
    </row>
    <row r="715" spans="1:5" x14ac:dyDescent="0.25">
      <c r="A715" t="s">
        <v>719</v>
      </c>
      <c r="B715">
        <v>44610</v>
      </c>
      <c r="C715" s="5">
        <f t="shared" si="22"/>
        <v>-6.9694694694694692E-2</v>
      </c>
      <c r="D715">
        <v>997.15</v>
      </c>
      <c r="E715" s="5">
        <f t="shared" si="23"/>
        <v>-2.22198252615683E-2</v>
      </c>
    </row>
    <row r="716" spans="1:5" x14ac:dyDescent="0.25">
      <c r="A716" t="s">
        <v>720</v>
      </c>
      <c r="B716">
        <v>41510</v>
      </c>
      <c r="C716" s="5">
        <f t="shared" si="22"/>
        <v>-6.9491145483075542E-2</v>
      </c>
      <c r="D716">
        <v>975.19</v>
      </c>
      <c r="E716" s="5">
        <f t="shared" si="23"/>
        <v>-2.2022764879907661E-2</v>
      </c>
    </row>
    <row r="717" spans="1:5" x14ac:dyDescent="0.25">
      <c r="A717" t="s">
        <v>721</v>
      </c>
      <c r="B717">
        <v>43205</v>
      </c>
      <c r="C717" s="5">
        <f t="shared" si="22"/>
        <v>4.0833534088171523E-2</v>
      </c>
      <c r="D717">
        <v>981.65</v>
      </c>
      <c r="E717" s="5">
        <f t="shared" si="23"/>
        <v>6.6243501266419081E-3</v>
      </c>
    </row>
    <row r="718" spans="1:5" x14ac:dyDescent="0.25">
      <c r="A718" t="s">
        <v>722</v>
      </c>
      <c r="B718">
        <v>44077</v>
      </c>
      <c r="C718" s="5">
        <f t="shared" si="22"/>
        <v>2.0182849207267678E-2</v>
      </c>
      <c r="D718">
        <v>985.59</v>
      </c>
      <c r="E718" s="5">
        <f t="shared" si="23"/>
        <v>4.0136504864259712E-3</v>
      </c>
    </row>
    <row r="719" spans="1:5" x14ac:dyDescent="0.25">
      <c r="A719" t="s">
        <v>723</v>
      </c>
      <c r="B719">
        <v>41025</v>
      </c>
      <c r="C719" s="5">
        <f t="shared" si="22"/>
        <v>-6.9242462055040047E-2</v>
      </c>
      <c r="D719">
        <v>947.24</v>
      </c>
      <c r="E719" s="5">
        <f t="shared" si="23"/>
        <v>-3.891070323359614E-2</v>
      </c>
    </row>
    <row r="720" spans="1:5" x14ac:dyDescent="0.25">
      <c r="A720" t="s">
        <v>724</v>
      </c>
      <c r="B720">
        <v>41655</v>
      </c>
      <c r="C720" s="5">
        <f t="shared" si="22"/>
        <v>1.5356489945155392E-2</v>
      </c>
      <c r="D720">
        <v>954.53</v>
      </c>
      <c r="E720" s="5">
        <f t="shared" si="23"/>
        <v>7.6960432414171316E-3</v>
      </c>
    </row>
    <row r="721" spans="1:5" x14ac:dyDescent="0.25">
      <c r="A721" t="s">
        <v>725</v>
      </c>
      <c r="B721">
        <v>39379</v>
      </c>
      <c r="C721" s="5">
        <f t="shared" si="22"/>
        <v>-5.463929900372104E-2</v>
      </c>
      <c r="D721">
        <v>941.04</v>
      </c>
      <c r="E721" s="5">
        <f t="shared" si="23"/>
        <v>-1.4132609766062889E-2</v>
      </c>
    </row>
    <row r="722" spans="1:5" x14ac:dyDescent="0.25">
      <c r="A722" t="s">
        <v>726</v>
      </c>
      <c r="B722">
        <v>36666</v>
      </c>
      <c r="C722" s="5">
        <f t="shared" si="22"/>
        <v>-6.889458848624902E-2</v>
      </c>
      <c r="D722">
        <v>911.9</v>
      </c>
      <c r="E722" s="5">
        <f t="shared" si="23"/>
        <v>-3.0965740032304671E-2</v>
      </c>
    </row>
    <row r="723" spans="1:5" x14ac:dyDescent="0.25">
      <c r="A723" t="s">
        <v>727</v>
      </c>
      <c r="B723">
        <v>39185</v>
      </c>
      <c r="C723" s="5">
        <f t="shared" si="22"/>
        <v>6.8701249113620244E-2</v>
      </c>
      <c r="D723">
        <v>942.9</v>
      </c>
      <c r="E723" s="5">
        <f t="shared" si="23"/>
        <v>3.3994955587235441E-2</v>
      </c>
    </row>
    <row r="724" spans="1:5" x14ac:dyDescent="0.25">
      <c r="A724" t="s">
        <v>728</v>
      </c>
      <c r="B724">
        <v>40493</v>
      </c>
      <c r="C724" s="5">
        <f t="shared" si="22"/>
        <v>3.3380119943856069E-2</v>
      </c>
      <c r="D724">
        <v>969.26</v>
      </c>
      <c r="E724" s="5">
        <f t="shared" si="23"/>
        <v>2.795630501643866E-2</v>
      </c>
    </row>
    <row r="725" spans="1:5" x14ac:dyDescent="0.25">
      <c r="A725" t="s">
        <v>729</v>
      </c>
      <c r="B725">
        <v>40832</v>
      </c>
      <c r="C725" s="5">
        <f t="shared" si="22"/>
        <v>8.3718173511471115E-3</v>
      </c>
      <c r="D725">
        <v>969.33</v>
      </c>
      <c r="E725" s="5">
        <f t="shared" si="23"/>
        <v>7.2220044157450032E-5</v>
      </c>
    </row>
    <row r="726" spans="1:5" x14ac:dyDescent="0.25">
      <c r="A726" t="s">
        <v>730</v>
      </c>
      <c r="B726">
        <v>39379</v>
      </c>
      <c r="C726" s="5">
        <f t="shared" si="22"/>
        <v>-3.5584835423197493E-2</v>
      </c>
      <c r="D726">
        <v>960.65</v>
      </c>
      <c r="E726" s="5">
        <f t="shared" si="23"/>
        <v>-8.9546387711100066E-3</v>
      </c>
    </row>
    <row r="727" spans="1:5" x14ac:dyDescent="0.25">
      <c r="A727" t="s">
        <v>731</v>
      </c>
      <c r="B727">
        <v>38943</v>
      </c>
      <c r="C727" s="5">
        <f t="shared" si="22"/>
        <v>-1.1071891109474593E-2</v>
      </c>
      <c r="D727">
        <v>952.12</v>
      </c>
      <c r="E727" s="5">
        <f t="shared" si="23"/>
        <v>-8.8794045698224883E-3</v>
      </c>
    </row>
    <row r="728" spans="1:5" x14ac:dyDescent="0.25">
      <c r="A728" t="s">
        <v>732</v>
      </c>
      <c r="B728">
        <v>39233</v>
      </c>
      <c r="C728" s="5">
        <f t="shared" si="22"/>
        <v>7.4467811930257043E-3</v>
      </c>
      <c r="D728">
        <v>946</v>
      </c>
      <c r="E728" s="5">
        <f t="shared" si="23"/>
        <v>-6.427761206570605E-3</v>
      </c>
    </row>
    <row r="729" spans="1:5" x14ac:dyDescent="0.25">
      <c r="A729" t="s">
        <v>733</v>
      </c>
      <c r="B729">
        <v>36521</v>
      </c>
      <c r="C729" s="5">
        <f t="shared" si="22"/>
        <v>-6.912548110009431E-2</v>
      </c>
      <c r="D729">
        <v>947.71</v>
      </c>
      <c r="E729" s="5">
        <f t="shared" si="23"/>
        <v>1.8076109936575437E-3</v>
      </c>
    </row>
    <row r="730" spans="1:5" x14ac:dyDescent="0.25">
      <c r="A730" t="s">
        <v>734</v>
      </c>
      <c r="B730">
        <v>36618</v>
      </c>
      <c r="C730" s="5">
        <f t="shared" si="22"/>
        <v>2.6560061334574628E-3</v>
      </c>
      <c r="D730">
        <v>971.46</v>
      </c>
      <c r="E730" s="5">
        <f t="shared" si="23"/>
        <v>2.5060408774836184E-2</v>
      </c>
    </row>
    <row r="731" spans="1:5" x14ac:dyDescent="0.25">
      <c r="A731" t="s">
        <v>735</v>
      </c>
      <c r="B731">
        <v>38894</v>
      </c>
      <c r="C731" s="5">
        <f t="shared" si="22"/>
        <v>6.2155224206674312E-2</v>
      </c>
      <c r="D731">
        <v>1005.69</v>
      </c>
      <c r="E731" s="5">
        <f t="shared" si="23"/>
        <v>3.5235624729788174E-2</v>
      </c>
    </row>
    <row r="732" spans="1:5" x14ac:dyDescent="0.25">
      <c r="A732" t="s">
        <v>736</v>
      </c>
      <c r="B732">
        <v>41461</v>
      </c>
      <c r="C732" s="5">
        <f t="shared" si="22"/>
        <v>6.5999897156373735E-2</v>
      </c>
      <c r="D732">
        <v>1032.1600000000001</v>
      </c>
      <c r="E732" s="5">
        <f t="shared" si="23"/>
        <v>2.6320237846652574E-2</v>
      </c>
    </row>
    <row r="733" spans="1:5" x14ac:dyDescent="0.25">
      <c r="A733" t="s">
        <v>737</v>
      </c>
      <c r="B733">
        <v>42721</v>
      </c>
      <c r="C733" s="5">
        <f t="shared" si="22"/>
        <v>3.0390005065000843E-2</v>
      </c>
      <c r="D733">
        <v>1048.42</v>
      </c>
      <c r="E733" s="5">
        <f t="shared" si="23"/>
        <v>1.5753371570299168E-2</v>
      </c>
    </row>
    <row r="734" spans="1:5" x14ac:dyDescent="0.25">
      <c r="A734" t="s">
        <v>738</v>
      </c>
      <c r="B734">
        <v>42672</v>
      </c>
      <c r="C734" s="5">
        <f t="shared" si="22"/>
        <v>-1.1469768966082255E-3</v>
      </c>
      <c r="D734">
        <v>1036.28</v>
      </c>
      <c r="E734" s="5">
        <f t="shared" si="23"/>
        <v>-1.1579328894908624E-2</v>
      </c>
    </row>
    <row r="735" spans="1:5" x14ac:dyDescent="0.25">
      <c r="A735" t="s">
        <v>739</v>
      </c>
      <c r="B735">
        <v>45530</v>
      </c>
      <c r="C735" s="5">
        <f t="shared" si="22"/>
        <v>6.6976002999625042E-2</v>
      </c>
      <c r="D735">
        <v>1080.01</v>
      </c>
      <c r="E735" s="5">
        <f t="shared" si="23"/>
        <v>4.2199019570000405E-2</v>
      </c>
    </row>
    <row r="736" spans="1:5" x14ac:dyDescent="0.25">
      <c r="A736" t="s">
        <v>740</v>
      </c>
      <c r="B736">
        <v>46111</v>
      </c>
      <c r="C736" s="5">
        <f t="shared" si="22"/>
        <v>1.2760817043707446E-2</v>
      </c>
      <c r="D736">
        <v>1093.67</v>
      </c>
      <c r="E736" s="5">
        <f t="shared" si="23"/>
        <v>1.2648031036749736E-2</v>
      </c>
    </row>
    <row r="737" spans="1:5" x14ac:dyDescent="0.25">
      <c r="A737" t="s">
        <v>741</v>
      </c>
      <c r="B737">
        <v>42963</v>
      </c>
      <c r="C737" s="5">
        <f t="shared" si="22"/>
        <v>-6.8270044024202461E-2</v>
      </c>
      <c r="D737">
        <v>1048.69</v>
      </c>
      <c r="E737" s="5">
        <f t="shared" si="23"/>
        <v>-4.1127579617252018E-2</v>
      </c>
    </row>
    <row r="738" spans="1:5" x14ac:dyDescent="0.25">
      <c r="A738" t="s">
        <v>742</v>
      </c>
      <c r="B738">
        <v>43447</v>
      </c>
      <c r="C738" s="5">
        <f t="shared" si="22"/>
        <v>1.1265507529734889E-2</v>
      </c>
      <c r="D738">
        <v>1041.02</v>
      </c>
      <c r="E738" s="5">
        <f t="shared" si="23"/>
        <v>-7.3138868493073002E-3</v>
      </c>
    </row>
    <row r="739" spans="1:5" x14ac:dyDescent="0.25">
      <c r="A739" t="s">
        <v>743</v>
      </c>
      <c r="B739">
        <v>44561</v>
      </c>
      <c r="C739" s="5">
        <f t="shared" si="22"/>
        <v>2.5640435473105162E-2</v>
      </c>
      <c r="D739">
        <v>1050.53</v>
      </c>
      <c r="E739" s="5">
        <f t="shared" si="23"/>
        <v>9.1352711763462678E-3</v>
      </c>
    </row>
    <row r="740" spans="1:5" x14ac:dyDescent="0.25">
      <c r="A740" t="s">
        <v>744</v>
      </c>
      <c r="B740">
        <v>44755</v>
      </c>
      <c r="C740" s="5">
        <f t="shared" si="22"/>
        <v>4.3535827292924302E-3</v>
      </c>
      <c r="D740">
        <v>1051.81</v>
      </c>
      <c r="E740" s="5">
        <f t="shared" si="23"/>
        <v>1.2184326006872462E-3</v>
      </c>
    </row>
    <row r="741" spans="1:5" x14ac:dyDescent="0.25">
      <c r="A741" t="s">
        <v>745</v>
      </c>
      <c r="B741">
        <v>44464</v>
      </c>
      <c r="C741" s="5">
        <f t="shared" si="22"/>
        <v>-6.502066808177857E-3</v>
      </c>
      <c r="D741">
        <v>1032.07</v>
      </c>
      <c r="E741" s="5">
        <f t="shared" si="23"/>
        <v>-1.87676481493806E-2</v>
      </c>
    </row>
    <row r="742" spans="1:5" x14ac:dyDescent="0.25">
      <c r="A742" t="s">
        <v>746</v>
      </c>
      <c r="B742">
        <v>44949</v>
      </c>
      <c r="C742" s="5">
        <f t="shared" si="22"/>
        <v>1.0907700611730839E-2</v>
      </c>
      <c r="D742">
        <v>1047.45</v>
      </c>
      <c r="E742" s="5">
        <f t="shared" si="23"/>
        <v>1.4902089974517339E-2</v>
      </c>
    </row>
    <row r="743" spans="1:5" x14ac:dyDescent="0.25">
      <c r="A743" t="s">
        <v>747</v>
      </c>
      <c r="B743">
        <v>44997</v>
      </c>
      <c r="C743" s="5">
        <f t="shared" si="22"/>
        <v>1.0678769271841421E-3</v>
      </c>
      <c r="D743">
        <v>1050.43</v>
      </c>
      <c r="E743" s="5">
        <f t="shared" si="23"/>
        <v>2.8450045348226817E-3</v>
      </c>
    </row>
    <row r="744" spans="1:5" x14ac:dyDescent="0.25">
      <c r="A744" t="s">
        <v>748</v>
      </c>
      <c r="B744">
        <v>45530</v>
      </c>
      <c r="C744" s="5">
        <f t="shared" si="22"/>
        <v>1.184523412671956E-2</v>
      </c>
      <c r="D744">
        <v>1055.32</v>
      </c>
      <c r="E744" s="5">
        <f t="shared" si="23"/>
        <v>4.6552364269869216E-3</v>
      </c>
    </row>
    <row r="745" spans="1:5" x14ac:dyDescent="0.25">
      <c r="A745" t="s">
        <v>749</v>
      </c>
      <c r="B745">
        <v>46353</v>
      </c>
      <c r="C745" s="5">
        <f t="shared" si="22"/>
        <v>1.8075993850208652E-2</v>
      </c>
      <c r="D745">
        <v>1052.48</v>
      </c>
      <c r="E745" s="5">
        <f t="shared" si="23"/>
        <v>-2.6911268619943889E-3</v>
      </c>
    </row>
    <row r="746" spans="1:5" x14ac:dyDescent="0.25">
      <c r="A746" t="s">
        <v>750</v>
      </c>
      <c r="B746">
        <v>45675</v>
      </c>
      <c r="C746" s="5">
        <f t="shared" si="22"/>
        <v>-1.4626884991262702E-2</v>
      </c>
      <c r="D746">
        <v>1038.4000000000001</v>
      </c>
      <c r="E746" s="5">
        <f t="shared" si="23"/>
        <v>-1.3377926421404613E-2</v>
      </c>
    </row>
    <row r="747" spans="1:5" x14ac:dyDescent="0.25">
      <c r="A747" t="s">
        <v>751</v>
      </c>
      <c r="B747">
        <v>45046</v>
      </c>
      <c r="C747" s="5">
        <f t="shared" si="22"/>
        <v>-1.3771209633278599E-2</v>
      </c>
      <c r="D747">
        <v>1023.13</v>
      </c>
      <c r="E747" s="5">
        <f t="shared" si="23"/>
        <v>-1.4705315870570199E-2</v>
      </c>
    </row>
    <row r="748" spans="1:5" x14ac:dyDescent="0.25">
      <c r="A748" t="s">
        <v>752</v>
      </c>
      <c r="B748">
        <v>44949</v>
      </c>
      <c r="C748" s="5">
        <f t="shared" si="22"/>
        <v>-2.1533543488878037E-3</v>
      </c>
      <c r="D748">
        <v>1018.88</v>
      </c>
      <c r="E748" s="5">
        <f t="shared" si="23"/>
        <v>-4.1539198342341642E-3</v>
      </c>
    </row>
    <row r="749" spans="1:5" x14ac:dyDescent="0.25">
      <c r="A749" t="s">
        <v>753</v>
      </c>
      <c r="B749">
        <v>45046</v>
      </c>
      <c r="C749" s="5">
        <f t="shared" si="22"/>
        <v>2.158001290351287E-3</v>
      </c>
      <c r="D749">
        <v>1022.61</v>
      </c>
      <c r="E749" s="5">
        <f t="shared" si="23"/>
        <v>3.66088253768846E-3</v>
      </c>
    </row>
    <row r="750" spans="1:5" x14ac:dyDescent="0.25">
      <c r="A750" t="s">
        <v>754</v>
      </c>
      <c r="B750">
        <v>44367</v>
      </c>
      <c r="C750" s="5">
        <f t="shared" si="22"/>
        <v>-1.5073480442214625E-2</v>
      </c>
      <c r="D750">
        <v>1020.34</v>
      </c>
      <c r="E750" s="5">
        <f t="shared" si="23"/>
        <v>-2.2198100937796243E-3</v>
      </c>
    </row>
    <row r="751" spans="1:5" x14ac:dyDescent="0.25">
      <c r="A751" t="s">
        <v>755</v>
      </c>
      <c r="B751">
        <v>41268</v>
      </c>
      <c r="C751" s="5">
        <f t="shared" si="22"/>
        <v>-6.9849212252349718E-2</v>
      </c>
      <c r="D751">
        <v>985.21</v>
      </c>
      <c r="E751" s="5">
        <f t="shared" si="23"/>
        <v>-3.442969990395358E-2</v>
      </c>
    </row>
    <row r="752" spans="1:5" x14ac:dyDescent="0.25">
      <c r="A752" t="s">
        <v>756</v>
      </c>
      <c r="B752">
        <v>42430</v>
      </c>
      <c r="C752" s="5">
        <f t="shared" si="22"/>
        <v>2.8157410099835224E-2</v>
      </c>
      <c r="D752">
        <v>1004.57</v>
      </c>
      <c r="E752" s="5">
        <f t="shared" si="23"/>
        <v>1.9650632859999403E-2</v>
      </c>
    </row>
    <row r="753" spans="1:5" x14ac:dyDescent="0.25">
      <c r="A753" t="s">
        <v>757</v>
      </c>
      <c r="B753">
        <v>41655</v>
      </c>
      <c r="C753" s="5">
        <f t="shared" si="22"/>
        <v>-1.8265378270091916E-2</v>
      </c>
      <c r="D753">
        <v>1015.66</v>
      </c>
      <c r="E753" s="5">
        <f t="shared" si="23"/>
        <v>1.1039549259882256E-2</v>
      </c>
    </row>
    <row r="754" spans="1:5" x14ac:dyDescent="0.25">
      <c r="A754" t="s">
        <v>758</v>
      </c>
      <c r="B754">
        <v>41558</v>
      </c>
      <c r="C754" s="5">
        <f t="shared" si="22"/>
        <v>-2.3286520225663187E-3</v>
      </c>
      <c r="D754">
        <v>1009.29</v>
      </c>
      <c r="E754" s="5">
        <f t="shared" si="23"/>
        <v>-6.2717838646791299E-3</v>
      </c>
    </row>
    <row r="755" spans="1:5" x14ac:dyDescent="0.25">
      <c r="A755" t="s">
        <v>759</v>
      </c>
      <c r="B755">
        <v>41558</v>
      </c>
      <c r="C755" s="5">
        <f t="shared" si="22"/>
        <v>0</v>
      </c>
      <c r="D755">
        <v>1007.09</v>
      </c>
      <c r="E755" s="5">
        <f t="shared" si="23"/>
        <v>-2.1797501213723825E-3</v>
      </c>
    </row>
    <row r="756" spans="1:5" x14ac:dyDescent="0.25">
      <c r="A756" t="s">
        <v>760</v>
      </c>
      <c r="B756">
        <v>42575</v>
      </c>
      <c r="C756" s="5">
        <f t="shared" si="22"/>
        <v>2.4471822513114201E-2</v>
      </c>
      <c r="D756">
        <v>1043.9000000000001</v>
      </c>
      <c r="E756" s="5">
        <f t="shared" si="23"/>
        <v>3.6550854442006231E-2</v>
      </c>
    </row>
    <row r="757" spans="1:5" x14ac:dyDescent="0.25">
      <c r="A757" t="s">
        <v>761</v>
      </c>
      <c r="B757">
        <v>42139</v>
      </c>
      <c r="C757" s="5">
        <f t="shared" si="22"/>
        <v>-1.0240751614797417E-2</v>
      </c>
      <c r="D757">
        <v>1046.3499999999999</v>
      </c>
      <c r="E757" s="5">
        <f t="shared" si="23"/>
        <v>2.3469681003925836E-3</v>
      </c>
    </row>
    <row r="758" spans="1:5" x14ac:dyDescent="0.25">
      <c r="A758" t="s">
        <v>762</v>
      </c>
      <c r="B758">
        <v>42236</v>
      </c>
      <c r="C758" s="5">
        <f t="shared" si="22"/>
        <v>2.3019055981394906E-3</v>
      </c>
      <c r="D758">
        <v>1055.82</v>
      </c>
      <c r="E758" s="5">
        <f t="shared" si="23"/>
        <v>9.0505089119319801E-3</v>
      </c>
    </row>
    <row r="759" spans="1:5" x14ac:dyDescent="0.25">
      <c r="A759" t="s">
        <v>763</v>
      </c>
      <c r="B759">
        <v>41800</v>
      </c>
      <c r="C759" s="5">
        <f t="shared" si="22"/>
        <v>-1.0322947248792499E-2</v>
      </c>
      <c r="D759">
        <v>1051.44</v>
      </c>
      <c r="E759" s="5">
        <f t="shared" si="23"/>
        <v>-4.1484343922258355E-3</v>
      </c>
    </row>
    <row r="760" spans="1:5" x14ac:dyDescent="0.25">
      <c r="A760" t="s">
        <v>764</v>
      </c>
      <c r="B760">
        <v>40686</v>
      </c>
      <c r="C760" s="5">
        <f t="shared" si="22"/>
        <v>-2.6650717703349282E-2</v>
      </c>
      <c r="D760">
        <v>1054.21</v>
      </c>
      <c r="E760" s="5">
        <f t="shared" si="23"/>
        <v>2.6344822338887448E-3</v>
      </c>
    </row>
    <row r="761" spans="1:5" x14ac:dyDescent="0.25">
      <c r="A761" t="s">
        <v>765</v>
      </c>
      <c r="B761">
        <v>40880</v>
      </c>
      <c r="C761" s="5">
        <f t="shared" si="22"/>
        <v>4.7682249422405744E-3</v>
      </c>
      <c r="D761">
        <v>1053.3499999999999</v>
      </c>
      <c r="E761" s="5">
        <f t="shared" si="23"/>
        <v>-8.157767427743308E-4</v>
      </c>
    </row>
    <row r="762" spans="1:5" x14ac:dyDescent="0.25">
      <c r="A762" t="s">
        <v>766</v>
      </c>
      <c r="B762">
        <v>41219</v>
      </c>
      <c r="C762" s="5">
        <f t="shared" si="22"/>
        <v>8.2925636007827788E-3</v>
      </c>
      <c r="D762">
        <v>1055.76</v>
      </c>
      <c r="E762" s="5">
        <f t="shared" si="23"/>
        <v>2.2879384819861222E-3</v>
      </c>
    </row>
    <row r="763" spans="1:5" x14ac:dyDescent="0.25">
      <c r="A763" t="s">
        <v>767</v>
      </c>
      <c r="B763">
        <v>40783</v>
      </c>
      <c r="C763" s="5">
        <f t="shared" si="22"/>
        <v>-1.0577646231107013E-2</v>
      </c>
      <c r="D763">
        <v>1056.3900000000001</v>
      </c>
      <c r="E763" s="5">
        <f t="shared" si="23"/>
        <v>5.9672652875663896E-4</v>
      </c>
    </row>
    <row r="764" spans="1:5" x14ac:dyDescent="0.25">
      <c r="A764" t="s">
        <v>768</v>
      </c>
      <c r="B764">
        <v>40735</v>
      </c>
      <c r="C764" s="5">
        <f t="shared" si="22"/>
        <v>-1.1769609886472304E-3</v>
      </c>
      <c r="D764">
        <v>1060.17</v>
      </c>
      <c r="E764" s="5">
        <f t="shared" si="23"/>
        <v>3.5782239513815657E-3</v>
      </c>
    </row>
    <row r="765" spans="1:5" x14ac:dyDescent="0.25">
      <c r="A765" t="s">
        <v>769</v>
      </c>
      <c r="B765">
        <v>40589</v>
      </c>
      <c r="C765" s="5">
        <f t="shared" si="22"/>
        <v>-3.584141401742973E-3</v>
      </c>
      <c r="D765">
        <v>1066.68</v>
      </c>
      <c r="E765" s="5">
        <f t="shared" si="23"/>
        <v>6.140524632841894E-3</v>
      </c>
    </row>
    <row r="766" spans="1:5" x14ac:dyDescent="0.25">
      <c r="A766" t="s">
        <v>770</v>
      </c>
      <c r="B766">
        <v>41703</v>
      </c>
      <c r="C766" s="5">
        <f t="shared" si="22"/>
        <v>2.7445859715686517E-2</v>
      </c>
      <c r="D766">
        <v>1088.29</v>
      </c>
      <c r="E766" s="5">
        <f t="shared" si="23"/>
        <v>2.0259121760977893E-2</v>
      </c>
    </row>
    <row r="767" spans="1:5" x14ac:dyDescent="0.25">
      <c r="A767" t="s">
        <v>771</v>
      </c>
      <c r="B767">
        <v>43544</v>
      </c>
      <c r="C767" s="5">
        <f t="shared" si="22"/>
        <v>4.4145505119535765E-2</v>
      </c>
      <c r="D767">
        <v>1098.28</v>
      </c>
      <c r="E767" s="5">
        <f t="shared" si="23"/>
        <v>9.1795385421165401E-3</v>
      </c>
    </row>
    <row r="768" spans="1:5" x14ac:dyDescent="0.25">
      <c r="A768" t="s">
        <v>772</v>
      </c>
      <c r="B768">
        <v>44174</v>
      </c>
      <c r="C768" s="5">
        <f t="shared" si="22"/>
        <v>1.4468124196215322E-2</v>
      </c>
      <c r="D768">
        <v>1108.08</v>
      </c>
      <c r="E768" s="5">
        <f t="shared" si="23"/>
        <v>8.9230433040754231E-3</v>
      </c>
    </row>
    <row r="769" spans="1:5" x14ac:dyDescent="0.25">
      <c r="A769" t="s">
        <v>773</v>
      </c>
      <c r="B769">
        <v>44464</v>
      </c>
      <c r="C769" s="5">
        <f t="shared" si="22"/>
        <v>6.5649477067958525E-3</v>
      </c>
      <c r="D769">
        <v>1117.0999999999999</v>
      </c>
      <c r="E769" s="5">
        <f t="shared" si="23"/>
        <v>8.1402064832863889E-3</v>
      </c>
    </row>
    <row r="770" spans="1:5" x14ac:dyDescent="0.25">
      <c r="A770" t="s">
        <v>774</v>
      </c>
      <c r="B770">
        <v>44755</v>
      </c>
      <c r="C770" s="5">
        <f t="shared" si="22"/>
        <v>6.544620367038503E-3</v>
      </c>
      <c r="D770">
        <v>1102.57</v>
      </c>
      <c r="E770" s="5">
        <f t="shared" si="23"/>
        <v>-1.3006892847551674E-2</v>
      </c>
    </row>
    <row r="771" spans="1:5" x14ac:dyDescent="0.25">
      <c r="A771" t="s">
        <v>775</v>
      </c>
      <c r="B771">
        <v>45046</v>
      </c>
      <c r="C771" s="5">
        <f t="shared" si="22"/>
        <v>6.502066808177857E-3</v>
      </c>
      <c r="D771">
        <v>1111.18</v>
      </c>
      <c r="E771" s="5">
        <f t="shared" si="23"/>
        <v>7.8090279982224514E-3</v>
      </c>
    </row>
    <row r="772" spans="1:5" x14ac:dyDescent="0.25">
      <c r="A772" t="s">
        <v>776</v>
      </c>
      <c r="B772">
        <v>45627</v>
      </c>
      <c r="C772" s="5">
        <f t="shared" si="22"/>
        <v>1.2897926563956844E-2</v>
      </c>
      <c r="D772">
        <v>1075.97</v>
      </c>
      <c r="E772" s="5">
        <f t="shared" si="23"/>
        <v>-3.1687035403804992E-2</v>
      </c>
    </row>
    <row r="773" spans="1:5" x14ac:dyDescent="0.25">
      <c r="A773" t="s">
        <v>777</v>
      </c>
      <c r="B773">
        <v>48339</v>
      </c>
      <c r="C773" s="5">
        <f t="shared" si="22"/>
        <v>5.9438490367545532E-2</v>
      </c>
      <c r="D773">
        <v>1077.5899999999999</v>
      </c>
      <c r="E773" s="5">
        <f t="shared" si="23"/>
        <v>1.5056181863805597E-3</v>
      </c>
    </row>
    <row r="774" spans="1:5" x14ac:dyDescent="0.25">
      <c r="A774" t="s">
        <v>778</v>
      </c>
      <c r="B774">
        <v>46305</v>
      </c>
      <c r="C774" s="5">
        <f t="shared" ref="C774:C837" si="24">(B774-B773)/B773</f>
        <v>-4.2077825358406255E-2</v>
      </c>
      <c r="D774">
        <v>1077.1500000000001</v>
      </c>
      <c r="E774" s="5">
        <f t="shared" ref="E774:E837" si="25">(D774-D773)/D773</f>
        <v>-4.0831856271849888E-4</v>
      </c>
    </row>
    <row r="775" spans="1:5" x14ac:dyDescent="0.25">
      <c r="A775" t="s">
        <v>779</v>
      </c>
      <c r="B775">
        <v>45675</v>
      </c>
      <c r="C775" s="5">
        <f t="shared" si="24"/>
        <v>-1.3605442176870748E-2</v>
      </c>
      <c r="D775">
        <v>1089.29</v>
      </c>
      <c r="E775" s="5">
        <f t="shared" si="25"/>
        <v>1.1270482291231371E-2</v>
      </c>
    </row>
    <row r="776" spans="1:5" x14ac:dyDescent="0.25">
      <c r="A776" t="s">
        <v>780</v>
      </c>
      <c r="B776">
        <v>44271</v>
      </c>
      <c r="C776" s="5">
        <f t="shared" si="24"/>
        <v>-3.0738916256157635E-2</v>
      </c>
      <c r="D776">
        <v>1065.8399999999999</v>
      </c>
      <c r="E776" s="5">
        <f t="shared" si="25"/>
        <v>-2.1527784152980425E-2</v>
      </c>
    </row>
    <row r="777" spans="1:5" x14ac:dyDescent="0.25">
      <c r="A777" t="s">
        <v>781</v>
      </c>
      <c r="B777">
        <v>43108</v>
      </c>
      <c r="C777" s="5">
        <f t="shared" si="24"/>
        <v>-2.6270018748164713E-2</v>
      </c>
      <c r="D777">
        <v>1072.22</v>
      </c>
      <c r="E777" s="5">
        <f t="shared" si="25"/>
        <v>5.9858890640247216E-3</v>
      </c>
    </row>
    <row r="778" spans="1:5" x14ac:dyDescent="0.25">
      <c r="A778" t="s">
        <v>782</v>
      </c>
      <c r="B778">
        <v>42624</v>
      </c>
      <c r="C778" s="5">
        <f t="shared" si="24"/>
        <v>-1.122761436392317E-2</v>
      </c>
      <c r="D778">
        <v>1064.03</v>
      </c>
      <c r="E778" s="5">
        <f t="shared" si="25"/>
        <v>-7.6383577997053351E-3</v>
      </c>
    </row>
    <row r="779" spans="1:5" x14ac:dyDescent="0.25">
      <c r="A779" t="s">
        <v>783</v>
      </c>
      <c r="B779">
        <v>40783</v>
      </c>
      <c r="C779" s="5">
        <f t="shared" si="24"/>
        <v>-4.3191629129129126E-2</v>
      </c>
      <c r="D779">
        <v>1055.3</v>
      </c>
      <c r="E779" s="5">
        <f t="shared" si="25"/>
        <v>-8.2046558837626932E-3</v>
      </c>
    </row>
    <row r="780" spans="1:5" x14ac:dyDescent="0.25">
      <c r="A780" t="s">
        <v>784</v>
      </c>
      <c r="B780">
        <v>41171</v>
      </c>
      <c r="C780" s="5">
        <f t="shared" si="24"/>
        <v>9.5137679915651124E-3</v>
      </c>
      <c r="D780">
        <v>1043.7</v>
      </c>
      <c r="E780" s="5">
        <f t="shared" si="25"/>
        <v>-1.0992134937932255E-2</v>
      </c>
    </row>
    <row r="781" spans="1:5" x14ac:dyDescent="0.25">
      <c r="A781" t="s">
        <v>785</v>
      </c>
      <c r="B781">
        <v>41171</v>
      </c>
      <c r="C781" s="5">
        <f t="shared" si="24"/>
        <v>0</v>
      </c>
      <c r="D781">
        <v>1038.6400000000001</v>
      </c>
      <c r="E781" s="5">
        <f t="shared" si="25"/>
        <v>-4.8481364376736086E-3</v>
      </c>
    </row>
    <row r="782" spans="1:5" x14ac:dyDescent="0.25">
      <c r="A782" t="s">
        <v>786</v>
      </c>
      <c r="B782">
        <v>41413</v>
      </c>
      <c r="C782" s="5">
        <f t="shared" si="24"/>
        <v>5.8779237813023728E-3</v>
      </c>
      <c r="D782">
        <v>1048.2</v>
      </c>
      <c r="E782" s="5">
        <f t="shared" si="25"/>
        <v>9.2043441423399295E-3</v>
      </c>
    </row>
    <row r="783" spans="1:5" x14ac:dyDescent="0.25">
      <c r="A783" t="s">
        <v>787</v>
      </c>
      <c r="B783">
        <v>41946</v>
      </c>
      <c r="C783" s="5">
        <f t="shared" si="24"/>
        <v>1.2870354719532514E-2</v>
      </c>
      <c r="D783">
        <v>1058.29</v>
      </c>
      <c r="E783" s="5">
        <f t="shared" si="25"/>
        <v>9.6260255676396851E-3</v>
      </c>
    </row>
    <row r="784" spans="1:5" x14ac:dyDescent="0.25">
      <c r="A784" t="s">
        <v>788</v>
      </c>
      <c r="B784">
        <v>41897</v>
      </c>
      <c r="C784" s="5">
        <f t="shared" si="24"/>
        <v>-1.1681685977208793E-3</v>
      </c>
      <c r="D784">
        <v>1059.31</v>
      </c>
      <c r="E784" s="5">
        <f t="shared" si="25"/>
        <v>9.6381899101378814E-4</v>
      </c>
    </row>
    <row r="785" spans="1:5" x14ac:dyDescent="0.25">
      <c r="A785" t="s">
        <v>789</v>
      </c>
      <c r="B785">
        <v>42914</v>
      </c>
      <c r="C785" s="5">
        <f t="shared" si="24"/>
        <v>2.4273814354249707E-2</v>
      </c>
      <c r="D785">
        <v>1086.69</v>
      </c>
      <c r="E785" s="5">
        <f t="shared" si="25"/>
        <v>2.5847013622074852E-2</v>
      </c>
    </row>
    <row r="786" spans="1:5" x14ac:dyDescent="0.25">
      <c r="A786" t="s">
        <v>790</v>
      </c>
      <c r="B786">
        <v>43108</v>
      </c>
      <c r="C786" s="5">
        <f t="shared" si="24"/>
        <v>4.5206692454676798E-3</v>
      </c>
      <c r="D786">
        <v>1082.23</v>
      </c>
      <c r="E786" s="5">
        <f t="shared" si="25"/>
        <v>-4.1042063513973956E-3</v>
      </c>
    </row>
    <row r="787" spans="1:5" x14ac:dyDescent="0.25">
      <c r="A787" t="s">
        <v>791</v>
      </c>
      <c r="B787">
        <v>41655</v>
      </c>
      <c r="C787" s="5">
        <f t="shared" si="24"/>
        <v>-3.3706040642108193E-2</v>
      </c>
      <c r="D787">
        <v>1054.28</v>
      </c>
      <c r="E787" s="5">
        <f t="shared" si="25"/>
        <v>-2.5826303096384361E-2</v>
      </c>
    </row>
    <row r="788" spans="1:5" x14ac:dyDescent="0.25">
      <c r="A788" t="s">
        <v>792</v>
      </c>
      <c r="B788">
        <v>41655</v>
      </c>
      <c r="C788" s="5">
        <f t="shared" si="24"/>
        <v>0</v>
      </c>
      <c r="D788">
        <v>1053.6600000000001</v>
      </c>
      <c r="E788" s="5">
        <f t="shared" si="25"/>
        <v>-5.8807906817912785E-4</v>
      </c>
    </row>
    <row r="789" spans="1:5" x14ac:dyDescent="0.25">
      <c r="A789" t="s">
        <v>793</v>
      </c>
      <c r="B789">
        <v>40783</v>
      </c>
      <c r="C789" s="5">
        <f t="shared" si="24"/>
        <v>-2.093386148121474E-2</v>
      </c>
      <c r="D789">
        <v>1039.56</v>
      </c>
      <c r="E789" s="5">
        <f t="shared" si="25"/>
        <v>-1.3381925858436436E-2</v>
      </c>
    </row>
    <row r="790" spans="1:5" x14ac:dyDescent="0.25">
      <c r="A790" t="s">
        <v>794</v>
      </c>
      <c r="B790">
        <v>39233</v>
      </c>
      <c r="C790" s="5">
        <f t="shared" si="24"/>
        <v>-3.8006031925066817E-2</v>
      </c>
      <c r="D790">
        <v>1021.25</v>
      </c>
      <c r="E790" s="5">
        <f t="shared" si="25"/>
        <v>-1.7613220978106071E-2</v>
      </c>
    </row>
    <row r="791" spans="1:5" x14ac:dyDescent="0.25">
      <c r="A791" t="s">
        <v>795</v>
      </c>
      <c r="B791">
        <v>38749</v>
      </c>
      <c r="C791" s="5">
        <f t="shared" si="24"/>
        <v>-1.2336553411668748E-2</v>
      </c>
      <c r="D791">
        <v>1024.68</v>
      </c>
      <c r="E791" s="5">
        <f t="shared" si="25"/>
        <v>3.3586291309670147E-3</v>
      </c>
    </row>
    <row r="792" spans="1:5" x14ac:dyDescent="0.25">
      <c r="A792" t="s">
        <v>796</v>
      </c>
      <c r="B792">
        <v>39524</v>
      </c>
      <c r="C792" s="5">
        <f t="shared" si="24"/>
        <v>2.000051614235206E-2</v>
      </c>
      <c r="D792">
        <v>1040.55</v>
      </c>
      <c r="E792" s="5">
        <f t="shared" si="25"/>
        <v>1.5487762033024837E-2</v>
      </c>
    </row>
    <row r="793" spans="1:5" x14ac:dyDescent="0.25">
      <c r="A793" t="s">
        <v>797</v>
      </c>
      <c r="B793">
        <v>39039</v>
      </c>
      <c r="C793" s="5">
        <f t="shared" si="24"/>
        <v>-1.2271025199878554E-2</v>
      </c>
      <c r="D793">
        <v>1037.6099999999999</v>
      </c>
      <c r="E793" s="5">
        <f t="shared" si="25"/>
        <v>-2.8254288597376912E-3</v>
      </c>
    </row>
    <row r="794" spans="1:5" x14ac:dyDescent="0.25">
      <c r="A794" t="s">
        <v>798</v>
      </c>
      <c r="B794">
        <v>38168</v>
      </c>
      <c r="C794" s="5">
        <f t="shared" si="24"/>
        <v>-2.2311022311022312E-2</v>
      </c>
      <c r="D794">
        <v>1024.77</v>
      </c>
      <c r="E794" s="5">
        <f t="shared" si="25"/>
        <v>-1.2374591609564209E-2</v>
      </c>
    </row>
    <row r="795" spans="1:5" x14ac:dyDescent="0.25">
      <c r="A795" t="s">
        <v>799</v>
      </c>
      <c r="B795">
        <v>38168</v>
      </c>
      <c r="C795" s="5">
        <f t="shared" si="24"/>
        <v>0</v>
      </c>
      <c r="D795">
        <v>1027.18</v>
      </c>
      <c r="E795" s="5">
        <f t="shared" si="25"/>
        <v>2.3517472213277924E-3</v>
      </c>
    </row>
    <row r="796" spans="1:5" x14ac:dyDescent="0.25">
      <c r="A796" t="s">
        <v>800</v>
      </c>
      <c r="B796">
        <v>38458</v>
      </c>
      <c r="C796" s="5">
        <f t="shared" si="24"/>
        <v>7.5979878432194505E-3</v>
      </c>
      <c r="D796">
        <v>1037.8399999999999</v>
      </c>
      <c r="E796" s="5">
        <f t="shared" si="25"/>
        <v>1.0377927919157162E-2</v>
      </c>
    </row>
    <row r="797" spans="1:5" x14ac:dyDescent="0.25">
      <c r="A797" t="s">
        <v>801</v>
      </c>
      <c r="B797">
        <v>38168</v>
      </c>
      <c r="C797" s="5">
        <f t="shared" si="24"/>
        <v>-7.540693743824432E-3</v>
      </c>
      <c r="D797">
        <v>1049.18</v>
      </c>
      <c r="E797" s="5">
        <f t="shared" si="25"/>
        <v>1.092653973637569E-2</v>
      </c>
    </row>
    <row r="798" spans="1:5" x14ac:dyDescent="0.25">
      <c r="A798" t="s">
        <v>802</v>
      </c>
      <c r="B798">
        <v>38749</v>
      </c>
      <c r="C798" s="5">
        <f t="shared" si="24"/>
        <v>1.5222175644518969E-2</v>
      </c>
      <c r="D798">
        <v>1055.95</v>
      </c>
      <c r="E798" s="5">
        <f t="shared" si="25"/>
        <v>6.4526582664556908E-3</v>
      </c>
    </row>
    <row r="799" spans="1:5" x14ac:dyDescent="0.25">
      <c r="A799" t="s">
        <v>803</v>
      </c>
      <c r="B799">
        <v>38507</v>
      </c>
      <c r="C799" s="5">
        <f t="shared" si="24"/>
        <v>-6.2453224599344501E-3</v>
      </c>
      <c r="D799">
        <v>1053</v>
      </c>
      <c r="E799" s="5">
        <f t="shared" si="25"/>
        <v>-2.7936928831857996E-3</v>
      </c>
    </row>
    <row r="800" spans="1:5" x14ac:dyDescent="0.25">
      <c r="A800" t="s">
        <v>804</v>
      </c>
      <c r="B800">
        <v>38168</v>
      </c>
      <c r="C800" s="5">
        <f t="shared" si="24"/>
        <v>-8.8035941517126751E-3</v>
      </c>
      <c r="D800">
        <v>1052.8</v>
      </c>
      <c r="E800" s="5">
        <f t="shared" si="25"/>
        <v>-1.8993352326689979E-4</v>
      </c>
    </row>
    <row r="801" spans="1:5" x14ac:dyDescent="0.25">
      <c r="A801" t="s">
        <v>805</v>
      </c>
      <c r="B801">
        <v>37393</v>
      </c>
      <c r="C801" s="5">
        <f t="shared" si="24"/>
        <v>-2.0304967512051981E-2</v>
      </c>
      <c r="D801">
        <v>1040.1300000000001</v>
      </c>
      <c r="E801" s="5">
        <f t="shared" si="25"/>
        <v>-1.2034574468084961E-2</v>
      </c>
    </row>
    <row r="802" spans="1:5" x14ac:dyDescent="0.25">
      <c r="A802" t="s">
        <v>806</v>
      </c>
      <c r="B802">
        <v>38749</v>
      </c>
      <c r="C802" s="5">
        <f t="shared" si="24"/>
        <v>3.6263471772791697E-2</v>
      </c>
      <c r="D802">
        <v>1062.19</v>
      </c>
      <c r="E802" s="5">
        <f t="shared" si="25"/>
        <v>2.1208887350619578E-2</v>
      </c>
    </row>
    <row r="803" spans="1:5" x14ac:dyDescent="0.25">
      <c r="A803" t="s">
        <v>807</v>
      </c>
      <c r="B803">
        <v>38168</v>
      </c>
      <c r="C803" s="5">
        <f t="shared" si="24"/>
        <v>-1.4993935327363287E-2</v>
      </c>
      <c r="D803">
        <v>1047.4000000000001</v>
      </c>
      <c r="E803" s="5">
        <f t="shared" si="25"/>
        <v>-1.3924062550014557E-2</v>
      </c>
    </row>
    <row r="804" spans="1:5" x14ac:dyDescent="0.25">
      <c r="A804" t="s">
        <v>808</v>
      </c>
      <c r="B804">
        <v>38168</v>
      </c>
      <c r="C804" s="5">
        <f t="shared" si="24"/>
        <v>0</v>
      </c>
      <c r="D804">
        <v>1045.1400000000001</v>
      </c>
      <c r="E804" s="5">
        <f t="shared" si="25"/>
        <v>-2.1577238877219696E-3</v>
      </c>
    </row>
    <row r="805" spans="1:5" x14ac:dyDescent="0.25">
      <c r="A805" t="s">
        <v>809</v>
      </c>
      <c r="B805">
        <v>36908</v>
      </c>
      <c r="C805" s="5">
        <f t="shared" si="24"/>
        <v>-3.3011947180884509E-2</v>
      </c>
      <c r="D805">
        <v>1023.1</v>
      </c>
      <c r="E805" s="5">
        <f t="shared" si="25"/>
        <v>-2.1088083893067031E-2</v>
      </c>
    </row>
    <row r="806" spans="1:5" x14ac:dyDescent="0.25">
      <c r="A806" t="s">
        <v>810</v>
      </c>
      <c r="B806">
        <v>37296</v>
      </c>
      <c r="C806" s="5">
        <f t="shared" si="24"/>
        <v>1.0512625988945486E-2</v>
      </c>
      <c r="D806">
        <v>1032.43</v>
      </c>
      <c r="E806" s="5">
        <f t="shared" si="25"/>
        <v>9.1193431727104295E-3</v>
      </c>
    </row>
    <row r="807" spans="1:5" x14ac:dyDescent="0.25">
      <c r="A807" t="s">
        <v>811</v>
      </c>
      <c r="B807">
        <v>36763</v>
      </c>
      <c r="C807" s="5">
        <f t="shared" si="24"/>
        <v>-1.4291076791076791E-2</v>
      </c>
      <c r="D807">
        <v>1040.54</v>
      </c>
      <c r="E807" s="5">
        <f t="shared" si="25"/>
        <v>7.8552541092373335E-3</v>
      </c>
    </row>
    <row r="808" spans="1:5" x14ac:dyDescent="0.25">
      <c r="A808" t="s">
        <v>812</v>
      </c>
      <c r="B808">
        <v>36618</v>
      </c>
      <c r="C808" s="5">
        <f t="shared" si="24"/>
        <v>-3.9441830100916684E-3</v>
      </c>
      <c r="D808">
        <v>1045.0999999999999</v>
      </c>
      <c r="E808" s="5">
        <f t="shared" si="25"/>
        <v>4.3823399388778382E-3</v>
      </c>
    </row>
    <row r="809" spans="1:5" x14ac:dyDescent="0.25">
      <c r="A809" t="s">
        <v>813</v>
      </c>
      <c r="B809">
        <v>36763</v>
      </c>
      <c r="C809" s="5">
        <f t="shared" si="24"/>
        <v>3.9598011906712546E-3</v>
      </c>
      <c r="D809">
        <v>1046.79</v>
      </c>
      <c r="E809" s="5">
        <f t="shared" si="25"/>
        <v>1.6170701368290639E-3</v>
      </c>
    </row>
    <row r="810" spans="1:5" x14ac:dyDescent="0.25">
      <c r="A810" t="s">
        <v>814</v>
      </c>
      <c r="B810">
        <v>36908</v>
      </c>
      <c r="C810" s="5">
        <f t="shared" si="24"/>
        <v>3.9441830100916684E-3</v>
      </c>
      <c r="D810">
        <v>1052.25</v>
      </c>
      <c r="E810" s="5">
        <f t="shared" si="25"/>
        <v>5.2159458917261691E-3</v>
      </c>
    </row>
    <row r="811" spans="1:5" x14ac:dyDescent="0.25">
      <c r="A811" t="s">
        <v>815</v>
      </c>
      <c r="B811">
        <v>37877</v>
      </c>
      <c r="C811" s="5">
        <f t="shared" si="24"/>
        <v>2.6254470575484988E-2</v>
      </c>
      <c r="D811">
        <v>1054.29</v>
      </c>
      <c r="E811" s="5">
        <f t="shared" si="25"/>
        <v>1.9387027797576277E-3</v>
      </c>
    </row>
    <row r="812" spans="1:5" x14ac:dyDescent="0.25">
      <c r="A812" t="s">
        <v>816</v>
      </c>
      <c r="B812">
        <v>37490</v>
      </c>
      <c r="C812" s="5">
        <f t="shared" si="24"/>
        <v>-1.021728225572247E-2</v>
      </c>
      <c r="D812">
        <v>1056.33</v>
      </c>
      <c r="E812" s="5">
        <f t="shared" si="25"/>
        <v>1.9349514839370227E-3</v>
      </c>
    </row>
    <row r="813" spans="1:5" x14ac:dyDescent="0.25">
      <c r="A813" t="s">
        <v>817</v>
      </c>
      <c r="B813">
        <v>37393</v>
      </c>
      <c r="C813" s="5">
        <f t="shared" si="24"/>
        <v>-2.5873566284342489E-3</v>
      </c>
      <c r="D813">
        <v>1059.44</v>
      </c>
      <c r="E813" s="5">
        <f t="shared" si="25"/>
        <v>2.9441557089168418E-3</v>
      </c>
    </row>
    <row r="814" spans="1:5" x14ac:dyDescent="0.25">
      <c r="A814" t="s">
        <v>818</v>
      </c>
      <c r="B814">
        <v>37344</v>
      </c>
      <c r="C814" s="5">
        <f t="shared" si="24"/>
        <v>-1.3104056909047147E-3</v>
      </c>
      <c r="D814">
        <v>1064.6400000000001</v>
      </c>
      <c r="E814" s="5">
        <f t="shared" si="25"/>
        <v>4.908253416899537E-3</v>
      </c>
    </row>
    <row r="815" spans="1:5" x14ac:dyDescent="0.25">
      <c r="A815" t="s">
        <v>819</v>
      </c>
      <c r="B815">
        <v>37780</v>
      </c>
      <c r="C815" s="5">
        <f t="shared" si="24"/>
        <v>1.1675235646958012E-2</v>
      </c>
      <c r="D815">
        <v>1079.28</v>
      </c>
      <c r="E815" s="5">
        <f t="shared" si="25"/>
        <v>1.3751127141568861E-2</v>
      </c>
    </row>
    <row r="816" spans="1:5" x14ac:dyDescent="0.25">
      <c r="A816" t="s">
        <v>820</v>
      </c>
      <c r="B816">
        <v>38555</v>
      </c>
      <c r="C816" s="5">
        <f t="shared" si="24"/>
        <v>2.0513499205929063E-2</v>
      </c>
      <c r="D816">
        <v>1078.45</v>
      </c>
      <c r="E816" s="5">
        <f t="shared" si="25"/>
        <v>-7.6903120598911052E-4</v>
      </c>
    </row>
    <row r="817" spans="1:5" x14ac:dyDescent="0.25">
      <c r="A817" t="s">
        <v>821</v>
      </c>
      <c r="B817">
        <v>38507</v>
      </c>
      <c r="C817" s="5">
        <f t="shared" si="24"/>
        <v>-1.2449747114511736E-3</v>
      </c>
      <c r="D817">
        <v>1080.8599999999999</v>
      </c>
      <c r="E817" s="5">
        <f t="shared" si="25"/>
        <v>2.2346886735591398E-3</v>
      </c>
    </row>
    <row r="818" spans="1:5" x14ac:dyDescent="0.25">
      <c r="A818" t="s">
        <v>822</v>
      </c>
      <c r="B818">
        <v>37877</v>
      </c>
      <c r="C818" s="5">
        <f t="shared" si="24"/>
        <v>-1.6360661697873115E-2</v>
      </c>
      <c r="D818">
        <v>1070.9100000000001</v>
      </c>
      <c r="E818" s="5">
        <f t="shared" si="25"/>
        <v>-9.2056325518566871E-3</v>
      </c>
    </row>
    <row r="819" spans="1:5" x14ac:dyDescent="0.25">
      <c r="A819" t="s">
        <v>823</v>
      </c>
      <c r="B819">
        <v>37780</v>
      </c>
      <c r="C819" s="5">
        <f t="shared" si="24"/>
        <v>-2.5609208754653221E-3</v>
      </c>
      <c r="D819">
        <v>1069.71</v>
      </c>
      <c r="E819" s="5">
        <f t="shared" si="25"/>
        <v>-1.1205423424938093E-3</v>
      </c>
    </row>
    <row r="820" spans="1:5" x14ac:dyDescent="0.25">
      <c r="A820" t="s">
        <v>824</v>
      </c>
      <c r="B820">
        <v>39718</v>
      </c>
      <c r="C820" s="5">
        <f t="shared" si="24"/>
        <v>5.1296982530439385E-2</v>
      </c>
      <c r="D820">
        <v>1065.3499999999999</v>
      </c>
      <c r="E820" s="5">
        <f t="shared" si="25"/>
        <v>-4.0758710304663204E-3</v>
      </c>
    </row>
    <row r="821" spans="1:5" x14ac:dyDescent="0.25">
      <c r="A821" t="s">
        <v>825</v>
      </c>
      <c r="B821">
        <v>39427</v>
      </c>
      <c r="C821" s="5">
        <f t="shared" si="24"/>
        <v>-7.3266529029659098E-3</v>
      </c>
      <c r="D821">
        <v>1069.46</v>
      </c>
      <c r="E821" s="5">
        <f t="shared" si="25"/>
        <v>3.8578870793637091E-3</v>
      </c>
    </row>
    <row r="822" spans="1:5" x14ac:dyDescent="0.25">
      <c r="A822" t="s">
        <v>826</v>
      </c>
      <c r="B822">
        <v>39475</v>
      </c>
      <c r="C822" s="5">
        <f t="shared" si="24"/>
        <v>1.2174398255002917E-3</v>
      </c>
      <c r="D822">
        <v>1069.45</v>
      </c>
      <c r="E822" s="5">
        <f t="shared" si="25"/>
        <v>-9.3505133431740368E-6</v>
      </c>
    </row>
    <row r="823" spans="1:5" x14ac:dyDescent="0.25">
      <c r="A823" t="s">
        <v>827</v>
      </c>
      <c r="B823">
        <v>39766</v>
      </c>
      <c r="C823" s="5">
        <f t="shared" si="24"/>
        <v>7.3717542748575051E-3</v>
      </c>
      <c r="D823">
        <v>1064.3</v>
      </c>
      <c r="E823" s="5">
        <f t="shared" si="25"/>
        <v>-4.8155593996915148E-3</v>
      </c>
    </row>
    <row r="824" spans="1:5" x14ac:dyDescent="0.25">
      <c r="A824" t="s">
        <v>828</v>
      </c>
      <c r="B824">
        <v>38749</v>
      </c>
      <c r="C824" s="5">
        <f t="shared" si="24"/>
        <v>-2.5574611477141275E-2</v>
      </c>
      <c r="D824">
        <v>1052.8900000000001</v>
      </c>
      <c r="E824" s="5">
        <f t="shared" si="25"/>
        <v>-1.0720661467631171E-2</v>
      </c>
    </row>
    <row r="825" spans="1:5" x14ac:dyDescent="0.25">
      <c r="A825" t="s">
        <v>829</v>
      </c>
      <c r="B825">
        <v>38604</v>
      </c>
      <c r="C825" s="5">
        <f t="shared" si="24"/>
        <v>-3.7420320524400629E-3</v>
      </c>
      <c r="D825">
        <v>1053.81</v>
      </c>
      <c r="E825" s="5">
        <f t="shared" si="25"/>
        <v>8.7378548566312275E-4</v>
      </c>
    </row>
    <row r="826" spans="1:5" x14ac:dyDescent="0.25">
      <c r="A826" t="s">
        <v>830</v>
      </c>
      <c r="B826">
        <v>38700</v>
      </c>
      <c r="C826" s="5">
        <f t="shared" si="24"/>
        <v>2.4867889337892445E-3</v>
      </c>
      <c r="D826">
        <v>1055.02</v>
      </c>
      <c r="E826" s="5">
        <f t="shared" si="25"/>
        <v>1.1482145737846826E-3</v>
      </c>
    </row>
    <row r="827" spans="1:5" x14ac:dyDescent="0.25">
      <c r="A827" t="s">
        <v>831</v>
      </c>
      <c r="B827">
        <v>39233</v>
      </c>
      <c r="C827" s="5">
        <f t="shared" si="24"/>
        <v>1.3772609819121448E-2</v>
      </c>
      <c r="D827">
        <v>1048.98</v>
      </c>
      <c r="E827" s="5">
        <f t="shared" si="25"/>
        <v>-5.7250099524179289E-3</v>
      </c>
    </row>
    <row r="828" spans="1:5" x14ac:dyDescent="0.25">
      <c r="A828" t="s">
        <v>832</v>
      </c>
      <c r="B828">
        <v>39136</v>
      </c>
      <c r="C828" s="5">
        <f t="shared" si="24"/>
        <v>-2.4724084316774145E-3</v>
      </c>
      <c r="D828">
        <v>1049.25</v>
      </c>
      <c r="E828" s="5">
        <f t="shared" si="25"/>
        <v>2.5739289595605425E-4</v>
      </c>
    </row>
    <row r="829" spans="1:5" x14ac:dyDescent="0.25">
      <c r="A829" t="s">
        <v>833</v>
      </c>
      <c r="B829">
        <v>38071</v>
      </c>
      <c r="C829" s="5">
        <f t="shared" si="24"/>
        <v>-2.7212796402289453E-2</v>
      </c>
      <c r="D829">
        <v>1042.9100000000001</v>
      </c>
      <c r="E829" s="5">
        <f t="shared" si="25"/>
        <v>-6.0424112461281085E-3</v>
      </c>
    </row>
    <row r="830" spans="1:5" x14ac:dyDescent="0.25">
      <c r="A830" t="s">
        <v>834</v>
      </c>
      <c r="B830">
        <v>37199</v>
      </c>
      <c r="C830" s="5">
        <f t="shared" si="24"/>
        <v>-2.290457303459326E-2</v>
      </c>
      <c r="D830">
        <v>1041.3599999999999</v>
      </c>
      <c r="E830" s="5">
        <f t="shared" si="25"/>
        <v>-1.4862260405981167E-3</v>
      </c>
    </row>
    <row r="831" spans="1:5" x14ac:dyDescent="0.25">
      <c r="A831" t="s">
        <v>835</v>
      </c>
      <c r="B831">
        <v>36521</v>
      </c>
      <c r="C831" s="5">
        <f t="shared" si="24"/>
        <v>-1.8226296405817362E-2</v>
      </c>
      <c r="D831">
        <v>1034.8499999999999</v>
      </c>
      <c r="E831" s="5">
        <f t="shared" si="25"/>
        <v>-6.2514404240608355E-3</v>
      </c>
    </row>
    <row r="832" spans="1:5" x14ac:dyDescent="0.25">
      <c r="A832" t="s">
        <v>836</v>
      </c>
      <c r="B832">
        <v>37199</v>
      </c>
      <c r="C832" s="5">
        <f t="shared" si="24"/>
        <v>1.8564661427671752E-2</v>
      </c>
      <c r="D832">
        <v>1040.8</v>
      </c>
      <c r="E832" s="5">
        <f t="shared" si="25"/>
        <v>5.7496255495966047E-3</v>
      </c>
    </row>
    <row r="833" spans="1:5" x14ac:dyDescent="0.25">
      <c r="A833" t="s">
        <v>837</v>
      </c>
      <c r="B833">
        <v>37441</v>
      </c>
      <c r="C833" s="5">
        <f t="shared" si="24"/>
        <v>6.5055512244952818E-3</v>
      </c>
      <c r="D833">
        <v>1039.6300000000001</v>
      </c>
      <c r="E833" s="5">
        <f t="shared" si="25"/>
        <v>-1.1241352805532719E-3</v>
      </c>
    </row>
    <row r="834" spans="1:5" x14ac:dyDescent="0.25">
      <c r="A834" t="s">
        <v>838</v>
      </c>
      <c r="B834">
        <v>37974</v>
      </c>
      <c r="C834" s="5">
        <f t="shared" si="24"/>
        <v>1.4235730883256323E-2</v>
      </c>
      <c r="D834">
        <v>1049.1199999999999</v>
      </c>
      <c r="E834" s="5">
        <f t="shared" si="25"/>
        <v>9.1282475496087846E-3</v>
      </c>
    </row>
    <row r="835" spans="1:5" x14ac:dyDescent="0.25">
      <c r="A835" t="s">
        <v>839</v>
      </c>
      <c r="B835">
        <v>36715</v>
      </c>
      <c r="C835" s="5">
        <f t="shared" si="24"/>
        <v>-3.3154263443408646E-2</v>
      </c>
      <c r="D835">
        <v>1040.6099999999999</v>
      </c>
      <c r="E835" s="5">
        <f t="shared" si="25"/>
        <v>-8.1115601647094634E-3</v>
      </c>
    </row>
    <row r="836" spans="1:5" x14ac:dyDescent="0.25">
      <c r="A836" t="s">
        <v>840</v>
      </c>
      <c r="B836">
        <v>36618</v>
      </c>
      <c r="C836" s="5">
        <f t="shared" si="24"/>
        <v>-2.6419719460710881E-3</v>
      </c>
      <c r="D836">
        <v>1040.31</v>
      </c>
      <c r="E836" s="5">
        <f t="shared" si="25"/>
        <v>-2.8829244385500288E-4</v>
      </c>
    </row>
    <row r="837" spans="1:5" x14ac:dyDescent="0.25">
      <c r="A837" t="s">
        <v>841</v>
      </c>
      <c r="B837">
        <v>36666</v>
      </c>
      <c r="C837" s="5">
        <f t="shared" si="24"/>
        <v>1.310830738980829E-3</v>
      </c>
      <c r="D837">
        <v>1053.44</v>
      </c>
      <c r="E837" s="5">
        <f t="shared" si="25"/>
        <v>1.262123790024138E-2</v>
      </c>
    </row>
    <row r="838" spans="1:5" x14ac:dyDescent="0.25">
      <c r="A838" t="s">
        <v>842</v>
      </c>
      <c r="B838">
        <v>36763</v>
      </c>
      <c r="C838" s="5">
        <f t="shared" ref="C838:C901" si="26">(B838-B837)/B837</f>
        <v>2.6455026455026454E-3</v>
      </c>
      <c r="D838">
        <v>1053.77</v>
      </c>
      <c r="E838" s="5">
        <f t="shared" ref="E838:E901" si="27">(D838-D837)/D837</f>
        <v>3.1325941676785317E-4</v>
      </c>
    </row>
    <row r="839" spans="1:5" x14ac:dyDescent="0.25">
      <c r="A839" t="s">
        <v>843</v>
      </c>
      <c r="B839">
        <v>37780</v>
      </c>
      <c r="C839" s="5">
        <f t="shared" si="26"/>
        <v>2.7663683594918803E-2</v>
      </c>
      <c r="D839">
        <v>1058.26</v>
      </c>
      <c r="E839" s="5">
        <f t="shared" si="27"/>
        <v>4.2608918454691341E-3</v>
      </c>
    </row>
    <row r="840" spans="1:5" x14ac:dyDescent="0.25">
      <c r="A840" t="s">
        <v>844</v>
      </c>
      <c r="B840">
        <v>37490</v>
      </c>
      <c r="C840" s="5">
        <f t="shared" si="26"/>
        <v>-7.6760190577024878E-3</v>
      </c>
      <c r="D840">
        <v>1057.1199999999999</v>
      </c>
      <c r="E840" s="5">
        <f t="shared" si="27"/>
        <v>-1.0772399977322209E-3</v>
      </c>
    </row>
    <row r="841" spans="1:5" x14ac:dyDescent="0.25">
      <c r="A841" t="s">
        <v>845</v>
      </c>
      <c r="B841">
        <v>37780</v>
      </c>
      <c r="C841" s="5">
        <f t="shared" si="26"/>
        <v>7.7353961056281671E-3</v>
      </c>
      <c r="D841">
        <v>1066.9000000000001</v>
      </c>
      <c r="E841" s="5">
        <f t="shared" si="27"/>
        <v>9.251551384894998E-3</v>
      </c>
    </row>
    <row r="842" spans="1:5" x14ac:dyDescent="0.25">
      <c r="A842" t="s">
        <v>846</v>
      </c>
      <c r="B842">
        <v>37683</v>
      </c>
      <c r="C842" s="5">
        <f t="shared" si="26"/>
        <v>-2.5674960296453151E-3</v>
      </c>
      <c r="D842">
        <v>1065.71</v>
      </c>
      <c r="E842" s="5">
        <f t="shared" si="27"/>
        <v>-1.1153810104040252E-3</v>
      </c>
    </row>
    <row r="843" spans="1:5" x14ac:dyDescent="0.25">
      <c r="A843" t="s">
        <v>847</v>
      </c>
      <c r="B843">
        <v>37247</v>
      </c>
      <c r="C843" s="5">
        <f t="shared" si="26"/>
        <v>-1.1570204070801157E-2</v>
      </c>
      <c r="D843">
        <v>1065.9100000000001</v>
      </c>
      <c r="E843" s="5">
        <f t="shared" si="27"/>
        <v>1.8766831502007626E-4</v>
      </c>
    </row>
    <row r="844" spans="1:5" x14ac:dyDescent="0.25">
      <c r="A844" t="s">
        <v>848</v>
      </c>
      <c r="B844">
        <v>36957</v>
      </c>
      <c r="C844" s="5">
        <f t="shared" si="26"/>
        <v>-7.785861948613311E-3</v>
      </c>
      <c r="D844">
        <v>1060.44</v>
      </c>
      <c r="E844" s="5">
        <f t="shared" si="27"/>
        <v>-5.1317653460423744E-3</v>
      </c>
    </row>
    <row r="845" spans="1:5" x14ac:dyDescent="0.25">
      <c r="A845" t="s">
        <v>849</v>
      </c>
      <c r="B845">
        <v>36908</v>
      </c>
      <c r="C845" s="5">
        <f t="shared" si="26"/>
        <v>-1.3258651946857158E-3</v>
      </c>
      <c r="D845">
        <v>1068.31</v>
      </c>
      <c r="E845" s="5">
        <f t="shared" si="27"/>
        <v>7.4214477009542177E-3</v>
      </c>
    </row>
    <row r="846" spans="1:5" x14ac:dyDescent="0.25">
      <c r="A846" t="s">
        <v>850</v>
      </c>
      <c r="B846">
        <v>37102</v>
      </c>
      <c r="C846" s="5">
        <f t="shared" si="26"/>
        <v>5.2563129944727428E-3</v>
      </c>
      <c r="D846">
        <v>1067.07</v>
      </c>
      <c r="E846" s="5">
        <f t="shared" si="27"/>
        <v>-1.1607117784163859E-3</v>
      </c>
    </row>
    <row r="847" spans="1:5" x14ac:dyDescent="0.25">
      <c r="A847" t="s">
        <v>851</v>
      </c>
      <c r="B847">
        <v>37344</v>
      </c>
      <c r="C847" s="5">
        <f t="shared" si="26"/>
        <v>6.5225594307584496E-3</v>
      </c>
      <c r="D847">
        <v>1070.6400000000001</v>
      </c>
      <c r="E847" s="5">
        <f t="shared" si="27"/>
        <v>3.3456099412411218E-3</v>
      </c>
    </row>
    <row r="848" spans="1:5" x14ac:dyDescent="0.25">
      <c r="A848" t="s">
        <v>852</v>
      </c>
      <c r="B848">
        <v>37054</v>
      </c>
      <c r="C848" s="5">
        <f t="shared" si="26"/>
        <v>-7.7656383890317053E-3</v>
      </c>
      <c r="D848">
        <v>1065.8499999999999</v>
      </c>
      <c r="E848" s="5">
        <f t="shared" si="27"/>
        <v>-4.4739595008594767E-3</v>
      </c>
    </row>
    <row r="849" spans="1:5" x14ac:dyDescent="0.25">
      <c r="A849" t="s">
        <v>853</v>
      </c>
      <c r="B849">
        <v>36763</v>
      </c>
      <c r="C849" s="5">
        <f t="shared" si="26"/>
        <v>-7.8534031413612562E-3</v>
      </c>
      <c r="D849">
        <v>1061.79</v>
      </c>
      <c r="E849" s="5">
        <f t="shared" si="27"/>
        <v>-3.8091663930196048E-3</v>
      </c>
    </row>
    <row r="850" spans="1:5" x14ac:dyDescent="0.25">
      <c r="A850" t="s">
        <v>854</v>
      </c>
      <c r="B850">
        <v>36811</v>
      </c>
      <c r="C850" s="5">
        <f t="shared" si="26"/>
        <v>1.305660582651035E-3</v>
      </c>
      <c r="D850">
        <v>1064.6300000000001</v>
      </c>
      <c r="E850" s="5">
        <f t="shared" si="27"/>
        <v>2.6747285244729615E-3</v>
      </c>
    </row>
    <row r="851" spans="1:5" x14ac:dyDescent="0.25">
      <c r="A851" t="s">
        <v>855</v>
      </c>
      <c r="B851">
        <v>37005</v>
      </c>
      <c r="C851" s="5">
        <f t="shared" si="26"/>
        <v>5.2701638097307872E-3</v>
      </c>
      <c r="D851">
        <v>1063.76</v>
      </c>
      <c r="E851" s="5">
        <f t="shared" si="27"/>
        <v>-8.1718531320751635E-4</v>
      </c>
    </row>
    <row r="852" spans="1:5" x14ac:dyDescent="0.25">
      <c r="A852" t="s">
        <v>856</v>
      </c>
      <c r="B852">
        <v>37490</v>
      </c>
      <c r="C852" s="5">
        <f t="shared" si="26"/>
        <v>1.3106336981488989E-2</v>
      </c>
      <c r="D852">
        <v>1074.98</v>
      </c>
      <c r="E852" s="5">
        <f t="shared" si="27"/>
        <v>1.054749191546968E-2</v>
      </c>
    </row>
    <row r="853" spans="1:5" x14ac:dyDescent="0.25">
      <c r="A853" t="s">
        <v>857</v>
      </c>
      <c r="B853">
        <v>38168</v>
      </c>
      <c r="C853" s="5">
        <f t="shared" si="26"/>
        <v>1.8084822619365164E-2</v>
      </c>
      <c r="D853">
        <v>1078.05</v>
      </c>
      <c r="E853" s="5">
        <f t="shared" si="27"/>
        <v>2.8558670858992133E-3</v>
      </c>
    </row>
    <row r="854" spans="1:5" x14ac:dyDescent="0.25">
      <c r="A854" t="s">
        <v>858</v>
      </c>
      <c r="B854">
        <v>37974</v>
      </c>
      <c r="C854" s="5">
        <f t="shared" si="26"/>
        <v>-5.0827918675330121E-3</v>
      </c>
      <c r="D854">
        <v>1075.17</v>
      </c>
      <c r="E854" s="5">
        <f t="shared" si="27"/>
        <v>-2.6714901906218468E-3</v>
      </c>
    </row>
    <row r="855" spans="1:5" x14ac:dyDescent="0.25">
      <c r="A855" t="s">
        <v>859</v>
      </c>
      <c r="B855">
        <v>38071</v>
      </c>
      <c r="C855" s="5">
        <f t="shared" si="26"/>
        <v>2.5543793121609523E-3</v>
      </c>
      <c r="D855">
        <v>1078.3900000000001</v>
      </c>
      <c r="E855" s="5">
        <f t="shared" si="27"/>
        <v>2.9948752290335735E-3</v>
      </c>
    </row>
    <row r="856" spans="1:5" x14ac:dyDescent="0.25">
      <c r="A856" t="s">
        <v>860</v>
      </c>
      <c r="B856">
        <v>39524</v>
      </c>
      <c r="C856" s="5">
        <f t="shared" si="26"/>
        <v>3.8165532820256885E-2</v>
      </c>
      <c r="D856">
        <v>1090.8399999999999</v>
      </c>
      <c r="E856" s="5">
        <f t="shared" si="27"/>
        <v>1.1544988362280639E-2</v>
      </c>
    </row>
    <row r="857" spans="1:5" x14ac:dyDescent="0.25">
      <c r="A857" t="s">
        <v>861</v>
      </c>
      <c r="B857">
        <v>39911</v>
      </c>
      <c r="C857" s="5">
        <f t="shared" si="26"/>
        <v>9.7915190770164959E-3</v>
      </c>
      <c r="D857">
        <v>1097.82</v>
      </c>
      <c r="E857" s="5">
        <f t="shared" si="27"/>
        <v>6.39873858677718E-3</v>
      </c>
    </row>
    <row r="858" spans="1:5" x14ac:dyDescent="0.25">
      <c r="A858" t="s">
        <v>862</v>
      </c>
      <c r="B858">
        <v>40493</v>
      </c>
      <c r="C858" s="5">
        <f t="shared" si="26"/>
        <v>1.4582445942221443E-2</v>
      </c>
      <c r="D858">
        <v>1108.31</v>
      </c>
      <c r="E858" s="5">
        <f t="shared" si="27"/>
        <v>9.5553005046364707E-3</v>
      </c>
    </row>
    <row r="859" spans="1:5" x14ac:dyDescent="0.25">
      <c r="A859" t="s">
        <v>863</v>
      </c>
      <c r="B859">
        <v>40493</v>
      </c>
      <c r="C859" s="5">
        <f t="shared" si="26"/>
        <v>0</v>
      </c>
      <c r="D859">
        <v>1109.54</v>
      </c>
      <c r="E859" s="5">
        <f t="shared" si="27"/>
        <v>1.109797800254458E-3</v>
      </c>
    </row>
    <row r="860" spans="1:5" x14ac:dyDescent="0.25">
      <c r="A860" t="s">
        <v>864</v>
      </c>
      <c r="B860">
        <v>39379</v>
      </c>
      <c r="C860" s="5">
        <f t="shared" si="26"/>
        <v>-2.7510927814684019E-2</v>
      </c>
      <c r="D860">
        <v>1101.32</v>
      </c>
      <c r="E860" s="5">
        <f t="shared" si="27"/>
        <v>-7.4084755844764745E-3</v>
      </c>
    </row>
    <row r="861" spans="1:5" x14ac:dyDescent="0.25">
      <c r="A861" t="s">
        <v>865</v>
      </c>
      <c r="B861">
        <v>40105</v>
      </c>
      <c r="C861" s="5">
        <f t="shared" si="26"/>
        <v>1.8436222352015034E-2</v>
      </c>
      <c r="D861">
        <v>1107.53</v>
      </c>
      <c r="E861" s="5">
        <f t="shared" si="27"/>
        <v>5.6386881197109254E-3</v>
      </c>
    </row>
    <row r="862" spans="1:5" x14ac:dyDescent="0.25">
      <c r="A862" t="s">
        <v>866</v>
      </c>
      <c r="B862">
        <v>41655</v>
      </c>
      <c r="C862" s="5">
        <f t="shared" si="26"/>
        <v>3.8648547562648052E-2</v>
      </c>
      <c r="D862">
        <v>1116.02</v>
      </c>
      <c r="E862" s="5">
        <f t="shared" si="27"/>
        <v>7.6657065722824744E-3</v>
      </c>
    </row>
    <row r="863" spans="1:5" x14ac:dyDescent="0.25">
      <c r="A863" t="s">
        <v>867</v>
      </c>
      <c r="B863">
        <v>41655</v>
      </c>
      <c r="C863" s="5">
        <f t="shared" si="26"/>
        <v>0</v>
      </c>
      <c r="D863">
        <v>1122.46</v>
      </c>
      <c r="E863" s="5">
        <f t="shared" si="27"/>
        <v>5.7705059049121474E-3</v>
      </c>
    </row>
    <row r="864" spans="1:5" x14ac:dyDescent="0.25">
      <c r="A864" t="s">
        <v>868</v>
      </c>
      <c r="B864">
        <v>40735</v>
      </c>
      <c r="C864" s="5">
        <f t="shared" si="26"/>
        <v>-2.2086184131556837E-2</v>
      </c>
      <c r="D864">
        <v>1117.42</v>
      </c>
      <c r="E864" s="5">
        <f t="shared" si="27"/>
        <v>-4.490137733193132E-3</v>
      </c>
    </row>
    <row r="865" spans="1:5" x14ac:dyDescent="0.25">
      <c r="A865" t="s">
        <v>869</v>
      </c>
      <c r="B865">
        <v>40396</v>
      </c>
      <c r="C865" s="5">
        <f t="shared" si="26"/>
        <v>-8.3220817478826554E-3</v>
      </c>
      <c r="D865">
        <v>1116.97</v>
      </c>
      <c r="E865" s="5">
        <f t="shared" si="27"/>
        <v>-4.027133933525849E-4</v>
      </c>
    </row>
    <row r="866" spans="1:5" x14ac:dyDescent="0.25">
      <c r="A866" t="s">
        <v>870</v>
      </c>
      <c r="B866">
        <v>40057</v>
      </c>
      <c r="C866" s="5">
        <f t="shared" si="26"/>
        <v>-8.391919992078424E-3</v>
      </c>
      <c r="D866">
        <v>1115.22</v>
      </c>
      <c r="E866" s="5">
        <f t="shared" si="27"/>
        <v>-1.5667385874284896E-3</v>
      </c>
    </row>
    <row r="867" spans="1:5" x14ac:dyDescent="0.25">
      <c r="A867" t="s">
        <v>871</v>
      </c>
      <c r="B867">
        <v>40202</v>
      </c>
      <c r="C867" s="5">
        <f t="shared" si="26"/>
        <v>3.6198417255411041E-3</v>
      </c>
      <c r="D867">
        <v>1105.4000000000001</v>
      </c>
      <c r="E867" s="5">
        <f t="shared" si="27"/>
        <v>-8.8054374921539575E-3</v>
      </c>
    </row>
    <row r="868" spans="1:5" x14ac:dyDescent="0.25">
      <c r="A868" t="s">
        <v>872</v>
      </c>
      <c r="B868">
        <v>41171</v>
      </c>
      <c r="C868" s="5">
        <f t="shared" si="26"/>
        <v>2.4103278443858515E-2</v>
      </c>
      <c r="D868">
        <v>1111.72</v>
      </c>
      <c r="E868" s="5">
        <f t="shared" si="27"/>
        <v>5.717387371087331E-3</v>
      </c>
    </row>
    <row r="869" spans="1:5" x14ac:dyDescent="0.25">
      <c r="A869" t="s">
        <v>873</v>
      </c>
      <c r="B869">
        <v>41364</v>
      </c>
      <c r="C869" s="5">
        <f t="shared" si="26"/>
        <v>4.6877656602948674E-3</v>
      </c>
      <c r="D869">
        <v>1118.46</v>
      </c>
      <c r="E869" s="5">
        <f t="shared" si="27"/>
        <v>6.0626776526463578E-3</v>
      </c>
    </row>
    <row r="870" spans="1:5" x14ac:dyDescent="0.25">
      <c r="A870" t="s">
        <v>874</v>
      </c>
      <c r="B870">
        <v>41703</v>
      </c>
      <c r="C870" s="5">
        <f t="shared" si="26"/>
        <v>8.1955323469683778E-3</v>
      </c>
      <c r="D870">
        <v>1125.3</v>
      </c>
      <c r="E870" s="5">
        <f t="shared" si="27"/>
        <v>6.1155517407863649E-3</v>
      </c>
    </row>
    <row r="871" spans="1:5" x14ac:dyDescent="0.25">
      <c r="A871" t="s">
        <v>875</v>
      </c>
      <c r="B871">
        <v>41558</v>
      </c>
      <c r="C871" s="5">
        <f t="shared" si="26"/>
        <v>-3.4769680838308992E-3</v>
      </c>
      <c r="D871">
        <v>1129.3800000000001</v>
      </c>
      <c r="E871" s="5">
        <f t="shared" si="27"/>
        <v>3.6256998133832354E-3</v>
      </c>
    </row>
    <row r="872" spans="1:5" x14ac:dyDescent="0.25">
      <c r="A872" t="s">
        <v>876</v>
      </c>
      <c r="B872">
        <v>42963</v>
      </c>
      <c r="C872" s="5">
        <f t="shared" si="26"/>
        <v>3.3808171711824438E-2</v>
      </c>
      <c r="D872">
        <v>1132.03</v>
      </c>
      <c r="E872" s="5">
        <f t="shared" si="27"/>
        <v>2.3464201597335381E-3</v>
      </c>
    </row>
    <row r="873" spans="1:5" x14ac:dyDescent="0.25">
      <c r="A873" t="s">
        <v>877</v>
      </c>
      <c r="B873">
        <v>42817</v>
      </c>
      <c r="C873" s="5">
        <f t="shared" si="26"/>
        <v>-3.3982729325233341E-3</v>
      </c>
      <c r="D873">
        <v>1134.33</v>
      </c>
      <c r="E873" s="5">
        <f t="shared" si="27"/>
        <v>2.0317482752223478E-3</v>
      </c>
    </row>
    <row r="874" spans="1:5" x14ac:dyDescent="0.25">
      <c r="A874" t="s">
        <v>878</v>
      </c>
      <c r="B874">
        <v>42527</v>
      </c>
      <c r="C874" s="5">
        <f t="shared" si="26"/>
        <v>-6.7730107200411052E-3</v>
      </c>
      <c r="D874">
        <v>1138.3499999999999</v>
      </c>
      <c r="E874" s="5">
        <f t="shared" si="27"/>
        <v>3.5439422390309539E-3</v>
      </c>
    </row>
    <row r="875" spans="1:5" x14ac:dyDescent="0.25">
      <c r="A875" t="s">
        <v>879</v>
      </c>
      <c r="B875">
        <v>41364</v>
      </c>
      <c r="C875" s="5">
        <f t="shared" si="26"/>
        <v>-2.73473322830202E-2</v>
      </c>
      <c r="D875">
        <v>1125.3900000000001</v>
      </c>
      <c r="E875" s="5">
        <f t="shared" si="27"/>
        <v>-1.1384899196204867E-2</v>
      </c>
    </row>
    <row r="876" spans="1:5" x14ac:dyDescent="0.25">
      <c r="A876" t="s">
        <v>880</v>
      </c>
      <c r="B876">
        <v>41946</v>
      </c>
      <c r="C876" s="5">
        <f t="shared" si="26"/>
        <v>1.4070205976211198E-2</v>
      </c>
      <c r="D876">
        <v>1120.18</v>
      </c>
      <c r="E876" s="5">
        <f t="shared" si="27"/>
        <v>-4.6295062156230605E-3</v>
      </c>
    </row>
    <row r="877" spans="1:5" x14ac:dyDescent="0.25">
      <c r="A877" t="s">
        <v>881</v>
      </c>
      <c r="B877">
        <v>41655</v>
      </c>
      <c r="C877" s="5">
        <f t="shared" si="26"/>
        <v>-6.9374910599342013E-3</v>
      </c>
      <c r="D877">
        <v>1125.5</v>
      </c>
      <c r="E877" s="5">
        <f t="shared" si="27"/>
        <v>4.7492367298112232E-3</v>
      </c>
    </row>
    <row r="878" spans="1:5" x14ac:dyDescent="0.25">
      <c r="A878" t="s">
        <v>882</v>
      </c>
      <c r="B878">
        <v>41897</v>
      </c>
      <c r="C878" s="5">
        <f t="shared" si="26"/>
        <v>5.8096266954747325E-3</v>
      </c>
      <c r="D878">
        <v>1132</v>
      </c>
      <c r="E878" s="5">
        <f t="shared" si="27"/>
        <v>5.7752110173256328E-3</v>
      </c>
    </row>
    <row r="879" spans="1:5" x14ac:dyDescent="0.25">
      <c r="A879" t="s">
        <v>883</v>
      </c>
      <c r="B879">
        <v>41994</v>
      </c>
      <c r="C879" s="5">
        <f t="shared" si="26"/>
        <v>2.3152015657445638E-3</v>
      </c>
      <c r="D879">
        <v>1134.6199999999999</v>
      </c>
      <c r="E879" s="5">
        <f t="shared" si="27"/>
        <v>2.3144876325087377E-3</v>
      </c>
    </row>
    <row r="880" spans="1:5" x14ac:dyDescent="0.25">
      <c r="A880" t="s">
        <v>884</v>
      </c>
      <c r="B880">
        <v>41849</v>
      </c>
      <c r="C880" s="5">
        <f t="shared" si="26"/>
        <v>-3.4528742201266845E-3</v>
      </c>
      <c r="D880">
        <v>1126.22</v>
      </c>
      <c r="E880" s="5">
        <f t="shared" si="27"/>
        <v>-7.403359715146802E-3</v>
      </c>
    </row>
    <row r="881" spans="1:5" x14ac:dyDescent="0.25">
      <c r="A881" t="s">
        <v>885</v>
      </c>
      <c r="B881">
        <v>44077</v>
      </c>
      <c r="C881" s="5">
        <f t="shared" si="26"/>
        <v>5.323902602212717E-2</v>
      </c>
      <c r="D881">
        <v>1138.07</v>
      </c>
      <c r="E881" s="5">
        <f t="shared" si="27"/>
        <v>1.05219228925076E-2</v>
      </c>
    </row>
    <row r="882" spans="1:5" x14ac:dyDescent="0.25">
      <c r="A882" t="s">
        <v>886</v>
      </c>
      <c r="B882">
        <v>46256</v>
      </c>
      <c r="C882" s="5">
        <f t="shared" si="26"/>
        <v>4.9436213898405065E-2</v>
      </c>
      <c r="D882">
        <v>1149.02</v>
      </c>
      <c r="E882" s="5">
        <f t="shared" si="27"/>
        <v>9.6215522771007454E-3</v>
      </c>
    </row>
    <row r="883" spans="1:5" x14ac:dyDescent="0.25">
      <c r="A883" t="s">
        <v>887</v>
      </c>
      <c r="B883">
        <v>47274</v>
      </c>
      <c r="C883" s="5">
        <f t="shared" si="26"/>
        <v>2.2007955724662746E-2</v>
      </c>
      <c r="D883">
        <v>1151.77</v>
      </c>
      <c r="E883" s="5">
        <f t="shared" si="27"/>
        <v>2.393343893056692E-3</v>
      </c>
    </row>
    <row r="884" spans="1:5" x14ac:dyDescent="0.25">
      <c r="A884" t="s">
        <v>888</v>
      </c>
      <c r="B884">
        <v>47613</v>
      </c>
      <c r="C884" s="5">
        <f t="shared" si="26"/>
        <v>7.1709607818251043E-3</v>
      </c>
      <c r="D884">
        <v>1154.2</v>
      </c>
      <c r="E884" s="5">
        <f t="shared" si="27"/>
        <v>2.1097962266772565E-3</v>
      </c>
    </row>
    <row r="885" spans="1:5" x14ac:dyDescent="0.25">
      <c r="A885" t="s">
        <v>889</v>
      </c>
      <c r="B885">
        <v>47806</v>
      </c>
      <c r="C885" s="5">
        <f t="shared" si="26"/>
        <v>4.05351479637914E-3</v>
      </c>
      <c r="D885">
        <v>1165.42</v>
      </c>
      <c r="E885" s="5">
        <f t="shared" si="27"/>
        <v>9.7210188875411774E-3</v>
      </c>
    </row>
    <row r="886" spans="1:5" x14ac:dyDescent="0.25">
      <c r="A886" t="s">
        <v>890</v>
      </c>
      <c r="B886">
        <v>47903</v>
      </c>
      <c r="C886" s="5">
        <f t="shared" si="26"/>
        <v>2.0290340124670542E-3</v>
      </c>
      <c r="D886">
        <v>1168.4000000000001</v>
      </c>
      <c r="E886" s="5">
        <f t="shared" si="27"/>
        <v>2.5570180707384618E-3</v>
      </c>
    </row>
    <row r="887" spans="1:5" x14ac:dyDescent="0.25">
      <c r="A887" t="s">
        <v>891</v>
      </c>
      <c r="B887">
        <v>47128</v>
      </c>
      <c r="C887" s="5">
        <f t="shared" si="26"/>
        <v>-1.6178527440870092E-2</v>
      </c>
      <c r="D887">
        <v>1173.1300000000001</v>
      </c>
      <c r="E887" s="5">
        <f t="shared" si="27"/>
        <v>4.0482711400205559E-3</v>
      </c>
    </row>
    <row r="888" spans="1:5" x14ac:dyDescent="0.25">
      <c r="A888" t="s">
        <v>892</v>
      </c>
      <c r="B888">
        <v>46547</v>
      </c>
      <c r="C888" s="5">
        <f t="shared" si="26"/>
        <v>-1.2328127652351044E-2</v>
      </c>
      <c r="D888">
        <v>1174.0899999999999</v>
      </c>
      <c r="E888" s="5">
        <f t="shared" si="27"/>
        <v>8.1832362994707229E-4</v>
      </c>
    </row>
    <row r="889" spans="1:5" x14ac:dyDescent="0.25">
      <c r="A889" t="s">
        <v>893</v>
      </c>
      <c r="B889">
        <v>46983</v>
      </c>
      <c r="C889" s="5">
        <f t="shared" si="26"/>
        <v>9.3668764904290287E-3</v>
      </c>
      <c r="D889">
        <v>1172.98</v>
      </c>
      <c r="E889" s="5">
        <f t="shared" si="27"/>
        <v>-9.4541304329301846E-4</v>
      </c>
    </row>
    <row r="890" spans="1:5" x14ac:dyDescent="0.25">
      <c r="A890" t="s">
        <v>894</v>
      </c>
      <c r="B890">
        <v>47564</v>
      </c>
      <c r="C890" s="5">
        <f t="shared" si="26"/>
        <v>1.2366174999467893E-2</v>
      </c>
      <c r="D890">
        <v>1172.81</v>
      </c>
      <c r="E890" s="5">
        <f t="shared" si="27"/>
        <v>-1.4493000733181534E-4</v>
      </c>
    </row>
    <row r="891" spans="1:5" x14ac:dyDescent="0.25">
      <c r="A891" t="s">
        <v>895</v>
      </c>
      <c r="B891">
        <v>50858</v>
      </c>
      <c r="C891" s="5">
        <f t="shared" si="26"/>
        <v>6.9254057690690443E-2</v>
      </c>
      <c r="D891">
        <v>1185.9000000000001</v>
      </c>
      <c r="E891" s="5">
        <f t="shared" si="27"/>
        <v>1.1161228161424397E-2</v>
      </c>
    </row>
    <row r="892" spans="1:5" x14ac:dyDescent="0.25">
      <c r="A892" t="s">
        <v>896</v>
      </c>
      <c r="B892">
        <v>52795</v>
      </c>
      <c r="C892" s="5">
        <f t="shared" si="26"/>
        <v>3.8086436745448107E-2</v>
      </c>
      <c r="D892">
        <v>1190.72</v>
      </c>
      <c r="E892" s="5">
        <f t="shared" si="27"/>
        <v>4.0644236444893631E-3</v>
      </c>
    </row>
    <row r="893" spans="1:5" x14ac:dyDescent="0.25">
      <c r="A893" t="s">
        <v>897</v>
      </c>
      <c r="B893">
        <v>51923</v>
      </c>
      <c r="C893" s="5">
        <f t="shared" si="26"/>
        <v>-1.6516715598067999E-2</v>
      </c>
      <c r="D893">
        <v>1195.9000000000001</v>
      </c>
      <c r="E893" s="5">
        <f t="shared" si="27"/>
        <v>4.3503090567052404E-3</v>
      </c>
    </row>
    <row r="894" spans="1:5" x14ac:dyDescent="0.25">
      <c r="A894" t="s">
        <v>898</v>
      </c>
      <c r="B894">
        <v>50955</v>
      </c>
      <c r="C894" s="5">
        <f t="shared" si="26"/>
        <v>-1.8642990582208269E-2</v>
      </c>
      <c r="D894">
        <v>1200.8399999999999</v>
      </c>
      <c r="E894" s="5">
        <f t="shared" si="27"/>
        <v>4.1307801655655375E-3</v>
      </c>
    </row>
    <row r="895" spans="1:5" x14ac:dyDescent="0.25">
      <c r="A895" t="s">
        <v>899</v>
      </c>
      <c r="B895">
        <v>52910</v>
      </c>
      <c r="C895" s="5">
        <f t="shared" si="26"/>
        <v>3.8367186733392206E-2</v>
      </c>
      <c r="D895">
        <v>1197.33</v>
      </c>
      <c r="E895" s="5">
        <f t="shared" si="27"/>
        <v>-2.9229539322474193E-3</v>
      </c>
    </row>
    <row r="896" spans="1:5" x14ac:dyDescent="0.25">
      <c r="A896" t="s">
        <v>900</v>
      </c>
      <c r="B896">
        <v>53302</v>
      </c>
      <c r="C896" s="5">
        <f t="shared" si="26"/>
        <v>7.4088074088074088E-3</v>
      </c>
      <c r="D896">
        <v>1207.67</v>
      </c>
      <c r="E896" s="5">
        <f t="shared" si="27"/>
        <v>8.6358815030109885E-3</v>
      </c>
    </row>
    <row r="897" spans="1:5" x14ac:dyDescent="0.25">
      <c r="A897" t="s">
        <v>901</v>
      </c>
      <c r="B897">
        <v>52519</v>
      </c>
      <c r="C897" s="5">
        <f t="shared" si="26"/>
        <v>-1.4689880304679E-2</v>
      </c>
      <c r="D897">
        <v>1222.9000000000001</v>
      </c>
      <c r="E897" s="5">
        <f t="shared" si="27"/>
        <v>1.261106096864211E-2</v>
      </c>
    </row>
    <row r="898" spans="1:5" x14ac:dyDescent="0.25">
      <c r="A898" t="s">
        <v>902</v>
      </c>
      <c r="B898">
        <v>50563</v>
      </c>
      <c r="C898" s="5">
        <f t="shared" si="26"/>
        <v>-3.724366419771892E-2</v>
      </c>
      <c r="D898">
        <v>1217.56</v>
      </c>
      <c r="E898" s="5">
        <f t="shared" si="27"/>
        <v>-4.366669392427954E-3</v>
      </c>
    </row>
    <row r="899" spans="1:5" x14ac:dyDescent="0.25">
      <c r="A899" t="s">
        <v>903</v>
      </c>
      <c r="B899">
        <v>50563</v>
      </c>
      <c r="C899" s="5">
        <f t="shared" si="26"/>
        <v>0</v>
      </c>
      <c r="D899">
        <v>1220.43</v>
      </c>
      <c r="E899" s="5">
        <f t="shared" si="27"/>
        <v>2.3571733631197792E-3</v>
      </c>
    </row>
    <row r="900" spans="1:5" x14ac:dyDescent="0.25">
      <c r="A900" t="s">
        <v>904</v>
      </c>
      <c r="B900">
        <v>51541</v>
      </c>
      <c r="C900" s="5">
        <f t="shared" si="26"/>
        <v>1.9342206751972787E-2</v>
      </c>
      <c r="D900">
        <v>1210.95</v>
      </c>
      <c r="E900" s="5">
        <f t="shared" si="27"/>
        <v>-7.7677539883483837E-3</v>
      </c>
    </row>
    <row r="901" spans="1:5" x14ac:dyDescent="0.25">
      <c r="A901" t="s">
        <v>905</v>
      </c>
      <c r="B901">
        <v>51835</v>
      </c>
      <c r="C901" s="5">
        <f t="shared" si="26"/>
        <v>5.7041966589705282E-3</v>
      </c>
      <c r="D901">
        <v>1225.98</v>
      </c>
      <c r="E901" s="5">
        <f t="shared" si="27"/>
        <v>1.2411742846525433E-2</v>
      </c>
    </row>
    <row r="902" spans="1:5" x14ac:dyDescent="0.25">
      <c r="A902" t="s">
        <v>906</v>
      </c>
      <c r="B902">
        <v>52617</v>
      </c>
      <c r="C902" s="5">
        <f t="shared" ref="C902:C965" si="28">(B902-B901)/B901</f>
        <v>1.5086331629208064E-2</v>
      </c>
      <c r="D902">
        <v>1241.42</v>
      </c>
      <c r="E902" s="5">
        <f t="shared" ref="E902:E965" si="29">(D902-D901)/D901</f>
        <v>1.2594006427511097E-2</v>
      </c>
    </row>
    <row r="903" spans="1:5" x14ac:dyDescent="0.25">
      <c r="A903" t="s">
        <v>907</v>
      </c>
      <c r="B903">
        <v>52421</v>
      </c>
      <c r="C903" s="5">
        <f t="shared" si="28"/>
        <v>-3.7250318338179675E-3</v>
      </c>
      <c r="D903">
        <v>1242.23</v>
      </c>
      <c r="E903" s="5">
        <f t="shared" si="29"/>
        <v>6.5247861320096771E-4</v>
      </c>
    </row>
    <row r="904" spans="1:5" x14ac:dyDescent="0.25">
      <c r="A904" t="s">
        <v>908</v>
      </c>
      <c r="B904">
        <v>51443</v>
      </c>
      <c r="C904" s="5">
        <f t="shared" si="28"/>
        <v>-1.865664523759562E-2</v>
      </c>
      <c r="D904">
        <v>1233.99</v>
      </c>
      <c r="E904" s="5">
        <f t="shared" si="29"/>
        <v>-6.6332321711760371E-3</v>
      </c>
    </row>
    <row r="905" spans="1:5" x14ac:dyDescent="0.25">
      <c r="A905" t="s">
        <v>909</v>
      </c>
      <c r="B905">
        <v>50857</v>
      </c>
      <c r="C905" s="5">
        <f t="shared" si="28"/>
        <v>-1.1391248566374433E-2</v>
      </c>
      <c r="D905">
        <v>1220.6099999999999</v>
      </c>
      <c r="E905" s="5">
        <f t="shared" si="29"/>
        <v>-1.0842875550045065E-2</v>
      </c>
    </row>
    <row r="906" spans="1:5" x14ac:dyDescent="0.25">
      <c r="A906" t="s">
        <v>910</v>
      </c>
      <c r="B906">
        <v>52128</v>
      </c>
      <c r="C906" s="5">
        <f t="shared" si="28"/>
        <v>2.4991643234952909E-2</v>
      </c>
      <c r="D906">
        <v>1232.21</v>
      </c>
      <c r="E906" s="5">
        <f t="shared" si="29"/>
        <v>9.503444998812182E-3</v>
      </c>
    </row>
    <row r="907" spans="1:5" x14ac:dyDescent="0.25">
      <c r="A907" t="s">
        <v>911</v>
      </c>
      <c r="B907">
        <v>53008</v>
      </c>
      <c r="C907" s="5">
        <f t="shared" si="28"/>
        <v>1.6881522406384283E-2</v>
      </c>
      <c r="D907">
        <v>1236.8399999999999</v>
      </c>
      <c r="E907" s="5">
        <f t="shared" si="29"/>
        <v>3.7574764041842556E-3</v>
      </c>
    </row>
    <row r="908" spans="1:5" x14ac:dyDescent="0.25">
      <c r="A908" t="s">
        <v>912</v>
      </c>
      <c r="B908">
        <v>52813</v>
      </c>
      <c r="C908" s="5">
        <f t="shared" si="28"/>
        <v>-3.6786900090552371E-3</v>
      </c>
      <c r="D908">
        <v>1234.05</v>
      </c>
      <c r="E908" s="5">
        <f t="shared" si="29"/>
        <v>-2.2557485204229843E-3</v>
      </c>
    </row>
    <row r="909" spans="1:5" x14ac:dyDescent="0.25">
      <c r="A909" t="s">
        <v>913</v>
      </c>
      <c r="B909">
        <v>52617</v>
      </c>
      <c r="C909" s="5">
        <f t="shared" si="28"/>
        <v>-3.7112074678582923E-3</v>
      </c>
      <c r="D909">
        <v>1243.26</v>
      </c>
      <c r="E909" s="5">
        <f t="shared" si="29"/>
        <v>7.463230825331256E-3</v>
      </c>
    </row>
    <row r="910" spans="1:5" x14ac:dyDescent="0.25">
      <c r="A910" t="s">
        <v>914</v>
      </c>
      <c r="B910">
        <v>52715</v>
      </c>
      <c r="C910" s="5">
        <f t="shared" si="28"/>
        <v>1.8625159169089838E-3</v>
      </c>
      <c r="D910">
        <v>1233.48</v>
      </c>
      <c r="E910" s="5">
        <f t="shared" si="29"/>
        <v>-7.866415713527317E-3</v>
      </c>
    </row>
    <row r="911" spans="1:5" x14ac:dyDescent="0.25">
      <c r="A911" t="s">
        <v>915</v>
      </c>
      <c r="B911">
        <v>49096</v>
      </c>
      <c r="C911" s="5">
        <f t="shared" si="28"/>
        <v>-6.8652186284738695E-2</v>
      </c>
      <c r="D911">
        <v>1177.99</v>
      </c>
      <c r="E911" s="5">
        <f t="shared" si="29"/>
        <v>-4.4986542140934602E-2</v>
      </c>
    </row>
    <row r="912" spans="1:5" x14ac:dyDescent="0.25">
      <c r="A912" t="s">
        <v>916</v>
      </c>
      <c r="B912">
        <v>47923</v>
      </c>
      <c r="C912" s="5">
        <f t="shared" si="28"/>
        <v>-2.3891966759002771E-2</v>
      </c>
      <c r="D912">
        <v>1179.76</v>
      </c>
      <c r="E912" s="5">
        <f t="shared" si="29"/>
        <v>1.5025594444774419E-3</v>
      </c>
    </row>
    <row r="913" spans="1:5" x14ac:dyDescent="0.25">
      <c r="A913" t="s">
        <v>917</v>
      </c>
      <c r="B913">
        <v>48901</v>
      </c>
      <c r="C913" s="5">
        <f t="shared" si="28"/>
        <v>2.0407737412098576E-2</v>
      </c>
      <c r="D913">
        <v>1180.49</v>
      </c>
      <c r="E913" s="5">
        <f t="shared" si="29"/>
        <v>6.1876991930563696E-4</v>
      </c>
    </row>
    <row r="914" spans="1:5" x14ac:dyDescent="0.25">
      <c r="A914" t="s">
        <v>918</v>
      </c>
      <c r="B914">
        <v>48607</v>
      </c>
      <c r="C914" s="5">
        <f t="shared" si="28"/>
        <v>-6.0121469908590826E-3</v>
      </c>
      <c r="D914">
        <v>1172.56</v>
      </c>
      <c r="E914" s="5">
        <f t="shared" si="29"/>
        <v>-6.7175494921600893E-3</v>
      </c>
    </row>
    <row r="915" spans="1:5" x14ac:dyDescent="0.25">
      <c r="A915" t="s">
        <v>919</v>
      </c>
      <c r="B915">
        <v>49194</v>
      </c>
      <c r="C915" s="5">
        <f t="shared" si="28"/>
        <v>1.2076449894048182E-2</v>
      </c>
      <c r="D915">
        <v>1189.3900000000001</v>
      </c>
      <c r="E915" s="5">
        <f t="shared" si="29"/>
        <v>1.4353210070273723E-2</v>
      </c>
    </row>
    <row r="916" spans="1:5" x14ac:dyDescent="0.25">
      <c r="A916" t="s">
        <v>920</v>
      </c>
      <c r="B916">
        <v>49390</v>
      </c>
      <c r="C916" s="5">
        <f t="shared" si="28"/>
        <v>3.9842257185835669E-3</v>
      </c>
      <c r="D916">
        <v>1183.3699999999999</v>
      </c>
      <c r="E916" s="5">
        <f t="shared" si="29"/>
        <v>-5.0614180378178806E-3</v>
      </c>
    </row>
    <row r="917" spans="1:5" x14ac:dyDescent="0.25">
      <c r="A917" t="s">
        <v>921</v>
      </c>
      <c r="B917">
        <v>50563</v>
      </c>
      <c r="C917" s="5">
        <f t="shared" si="28"/>
        <v>2.3749746912330432E-2</v>
      </c>
      <c r="D917">
        <v>1201.72</v>
      </c>
      <c r="E917" s="5">
        <f t="shared" si="29"/>
        <v>1.5506561768508698E-2</v>
      </c>
    </row>
    <row r="918" spans="1:5" x14ac:dyDescent="0.25">
      <c r="A918" t="s">
        <v>922</v>
      </c>
      <c r="B918">
        <v>51737</v>
      </c>
      <c r="C918" s="5">
        <f t="shared" si="28"/>
        <v>2.3218559025374286E-2</v>
      </c>
      <c r="D918">
        <v>1204.43</v>
      </c>
      <c r="E918" s="5">
        <f t="shared" si="29"/>
        <v>2.2551010218686851E-3</v>
      </c>
    </row>
    <row r="919" spans="1:5" x14ac:dyDescent="0.25">
      <c r="A919" t="s">
        <v>923</v>
      </c>
      <c r="B919">
        <v>52617</v>
      </c>
      <c r="C919" s="5">
        <f t="shared" si="28"/>
        <v>1.7009103736204265E-2</v>
      </c>
      <c r="D919">
        <v>1213.1600000000001</v>
      </c>
      <c r="E919" s="5">
        <f t="shared" si="29"/>
        <v>7.2482419069601536E-3</v>
      </c>
    </row>
    <row r="920" spans="1:5" x14ac:dyDescent="0.25">
      <c r="A920" t="s">
        <v>924</v>
      </c>
      <c r="B920">
        <v>52617</v>
      </c>
      <c r="C920" s="5">
        <f t="shared" si="28"/>
        <v>0</v>
      </c>
      <c r="D920">
        <v>1224.05</v>
      </c>
      <c r="E920" s="5">
        <f t="shared" si="29"/>
        <v>8.9765570905732724E-3</v>
      </c>
    </row>
    <row r="921" spans="1:5" x14ac:dyDescent="0.25">
      <c r="A921" t="s">
        <v>925</v>
      </c>
      <c r="B921">
        <v>53106</v>
      </c>
      <c r="C921" s="5">
        <f t="shared" si="28"/>
        <v>9.2935743200866644E-3</v>
      </c>
      <c r="D921">
        <v>1234.98</v>
      </c>
      <c r="E921" s="5">
        <f t="shared" si="29"/>
        <v>8.9293738000899188E-3</v>
      </c>
    </row>
    <row r="922" spans="1:5" x14ac:dyDescent="0.25">
      <c r="A922" t="s">
        <v>926</v>
      </c>
      <c r="B922">
        <v>53791</v>
      </c>
      <c r="C922" s="5">
        <f t="shared" si="28"/>
        <v>1.2898730840206379E-2</v>
      </c>
      <c r="D922">
        <v>1245.5</v>
      </c>
      <c r="E922" s="5">
        <f t="shared" si="29"/>
        <v>8.518356572576059E-3</v>
      </c>
    </row>
    <row r="923" spans="1:5" x14ac:dyDescent="0.25">
      <c r="A923" t="s">
        <v>927</v>
      </c>
      <c r="B923">
        <v>53791</v>
      </c>
      <c r="C923" s="5">
        <f t="shared" si="28"/>
        <v>0</v>
      </c>
      <c r="D923">
        <v>1243.1400000000001</v>
      </c>
      <c r="E923" s="5">
        <f t="shared" si="29"/>
        <v>-1.8948213568847048E-3</v>
      </c>
    </row>
    <row r="924" spans="1:5" x14ac:dyDescent="0.25">
      <c r="A924" t="s">
        <v>928</v>
      </c>
      <c r="B924">
        <v>54280</v>
      </c>
      <c r="C924" s="5">
        <f t="shared" si="28"/>
        <v>9.0907400866315925E-3</v>
      </c>
      <c r="D924">
        <v>1241.48</v>
      </c>
      <c r="E924" s="5">
        <f t="shared" si="29"/>
        <v>-1.3353282816095386E-3</v>
      </c>
    </row>
    <row r="925" spans="1:5" x14ac:dyDescent="0.25">
      <c r="A925" t="s">
        <v>929</v>
      </c>
      <c r="B925">
        <v>53302</v>
      </c>
      <c r="C925" s="5">
        <f t="shared" si="28"/>
        <v>-1.8017686072218129E-2</v>
      </c>
      <c r="D925">
        <v>1223.6300000000001</v>
      </c>
      <c r="E925" s="5">
        <f t="shared" si="29"/>
        <v>-1.4378000451074451E-2</v>
      </c>
    </row>
    <row r="926" spans="1:5" x14ac:dyDescent="0.25">
      <c r="A926" t="s">
        <v>930</v>
      </c>
      <c r="B926">
        <v>54573</v>
      </c>
      <c r="C926" s="5">
        <f t="shared" si="28"/>
        <v>2.3845259089715208E-2</v>
      </c>
      <c r="D926">
        <v>1245.44</v>
      </c>
      <c r="E926" s="5">
        <f t="shared" si="29"/>
        <v>1.7824015429500701E-2</v>
      </c>
    </row>
    <row r="927" spans="1:5" x14ac:dyDescent="0.25">
      <c r="A927" t="s">
        <v>931</v>
      </c>
      <c r="B927">
        <v>56236</v>
      </c>
      <c r="C927" s="5">
        <f t="shared" si="28"/>
        <v>3.0472944496362672E-2</v>
      </c>
      <c r="D927">
        <v>1238.3900000000001</v>
      </c>
      <c r="E927" s="5">
        <f t="shared" si="29"/>
        <v>-5.6606500513874244E-3</v>
      </c>
    </row>
    <row r="928" spans="1:5" x14ac:dyDescent="0.25">
      <c r="A928" t="s">
        <v>932</v>
      </c>
      <c r="B928">
        <v>56040</v>
      </c>
      <c r="C928" s="5">
        <f t="shared" si="28"/>
        <v>-3.4853118998506294E-3</v>
      </c>
      <c r="D928">
        <v>1223.81</v>
      </c>
      <c r="E928" s="5">
        <f t="shared" si="29"/>
        <v>-1.1773350883001439E-2</v>
      </c>
    </row>
    <row r="929" spans="1:5" x14ac:dyDescent="0.25">
      <c r="A929" t="s">
        <v>933</v>
      </c>
      <c r="B929">
        <v>54671</v>
      </c>
      <c r="C929" s="5">
        <f t="shared" si="28"/>
        <v>-2.4428979300499643E-2</v>
      </c>
      <c r="D929">
        <v>1227.3599999999999</v>
      </c>
      <c r="E929" s="5">
        <f t="shared" si="29"/>
        <v>2.9007770814096587E-3</v>
      </c>
    </row>
    <row r="930" spans="1:5" x14ac:dyDescent="0.25">
      <c r="A930" t="s">
        <v>934</v>
      </c>
      <c r="B930">
        <v>53791</v>
      </c>
      <c r="C930" s="5">
        <f t="shared" si="28"/>
        <v>-1.6096285050575258E-2</v>
      </c>
      <c r="D930">
        <v>1211.81</v>
      </c>
      <c r="E930" s="5">
        <f t="shared" si="29"/>
        <v>-1.2669469430321956E-2</v>
      </c>
    </row>
    <row r="931" spans="1:5" x14ac:dyDescent="0.25">
      <c r="A931" t="s">
        <v>935</v>
      </c>
      <c r="B931">
        <v>54280</v>
      </c>
      <c r="C931" s="5">
        <f t="shared" si="28"/>
        <v>9.0907400866315925E-3</v>
      </c>
      <c r="D931">
        <v>1211.5</v>
      </c>
      <c r="E931" s="5">
        <f t="shared" si="29"/>
        <v>-2.5581568067596855E-4</v>
      </c>
    </row>
    <row r="932" spans="1:5" x14ac:dyDescent="0.25">
      <c r="A932" t="s">
        <v>936</v>
      </c>
      <c r="B932">
        <v>54573</v>
      </c>
      <c r="C932" s="5">
        <f t="shared" si="28"/>
        <v>5.3979366249078849E-3</v>
      </c>
      <c r="D932">
        <v>1226.1099999999999</v>
      </c>
      <c r="E932" s="5">
        <f t="shared" si="29"/>
        <v>1.2059430458109699E-2</v>
      </c>
    </row>
    <row r="933" spans="1:5" x14ac:dyDescent="0.25">
      <c r="A933" t="s">
        <v>937</v>
      </c>
      <c r="B933">
        <v>53008</v>
      </c>
      <c r="C933" s="5">
        <f t="shared" si="28"/>
        <v>-2.8677184688399027E-2</v>
      </c>
      <c r="D933">
        <v>1212.74</v>
      </c>
      <c r="E933" s="5">
        <f t="shared" si="29"/>
        <v>-1.0904404988133113E-2</v>
      </c>
    </row>
    <row r="934" spans="1:5" x14ac:dyDescent="0.25">
      <c r="A934" t="s">
        <v>938</v>
      </c>
      <c r="B934">
        <v>50954</v>
      </c>
      <c r="C934" s="5">
        <f t="shared" si="28"/>
        <v>-3.8748868095381826E-2</v>
      </c>
      <c r="D934">
        <v>1193.05</v>
      </c>
      <c r="E934" s="5">
        <f t="shared" si="29"/>
        <v>-1.6235961541633041E-2</v>
      </c>
    </row>
    <row r="935" spans="1:5" x14ac:dyDescent="0.25">
      <c r="A935" t="s">
        <v>939</v>
      </c>
      <c r="B935">
        <v>49879</v>
      </c>
      <c r="C935" s="5">
        <f t="shared" si="28"/>
        <v>-2.1097460454527612E-2</v>
      </c>
      <c r="D935">
        <v>1153.2</v>
      </c>
      <c r="E935" s="5">
        <f t="shared" si="29"/>
        <v>-3.3401785340094643E-2</v>
      </c>
    </row>
    <row r="936" spans="1:5" x14ac:dyDescent="0.25">
      <c r="A936" t="s">
        <v>940</v>
      </c>
      <c r="B936">
        <v>50368</v>
      </c>
      <c r="C936" s="5">
        <f t="shared" si="28"/>
        <v>9.8037250145351744E-3</v>
      </c>
      <c r="D936">
        <v>1137.96</v>
      </c>
      <c r="E936" s="5">
        <f t="shared" si="29"/>
        <v>-1.3215400624349644E-2</v>
      </c>
    </row>
    <row r="937" spans="1:5" x14ac:dyDescent="0.25">
      <c r="A937" t="s">
        <v>941</v>
      </c>
      <c r="B937">
        <v>50857</v>
      </c>
      <c r="C937" s="5">
        <f t="shared" si="28"/>
        <v>9.708545108005083E-3</v>
      </c>
      <c r="D937">
        <v>1153.8499999999999</v>
      </c>
      <c r="E937" s="5">
        <f t="shared" si="29"/>
        <v>1.3963583957256734E-2</v>
      </c>
    </row>
    <row r="938" spans="1:5" x14ac:dyDescent="0.25">
      <c r="A938" t="s">
        <v>942</v>
      </c>
      <c r="B938">
        <v>51835</v>
      </c>
      <c r="C938" s="5">
        <f t="shared" si="28"/>
        <v>1.9230391096604203E-2</v>
      </c>
      <c r="D938">
        <v>1152.43</v>
      </c>
      <c r="E938" s="5">
        <f t="shared" si="29"/>
        <v>-1.2306625644579845E-3</v>
      </c>
    </row>
    <row r="939" spans="1:5" x14ac:dyDescent="0.25">
      <c r="A939" t="s">
        <v>943</v>
      </c>
      <c r="B939">
        <v>51443</v>
      </c>
      <c r="C939" s="5">
        <f t="shared" si="28"/>
        <v>-7.5624577987846052E-3</v>
      </c>
      <c r="D939">
        <v>1154.1500000000001</v>
      </c>
      <c r="E939" s="5">
        <f t="shared" si="29"/>
        <v>1.4924984597763224E-3</v>
      </c>
    </row>
    <row r="940" spans="1:5" x14ac:dyDescent="0.25">
      <c r="A940" t="s">
        <v>944</v>
      </c>
      <c r="B940">
        <v>50759</v>
      </c>
      <c r="C940" s="5">
        <f t="shared" si="28"/>
        <v>-1.3296269657679374E-2</v>
      </c>
      <c r="D940">
        <v>1155.25</v>
      </c>
      <c r="E940" s="5">
        <f t="shared" si="29"/>
        <v>9.5308235497977643E-4</v>
      </c>
    </row>
    <row r="941" spans="1:5" x14ac:dyDescent="0.25">
      <c r="A941" t="s">
        <v>945</v>
      </c>
      <c r="B941">
        <v>47923</v>
      </c>
      <c r="C941" s="5">
        <f t="shared" si="28"/>
        <v>-5.5871865087964698E-2</v>
      </c>
      <c r="D941">
        <v>1118.0999999999999</v>
      </c>
      <c r="E941" s="5">
        <f t="shared" si="29"/>
        <v>-3.2157541657649939E-2</v>
      </c>
    </row>
    <row r="942" spans="1:5" x14ac:dyDescent="0.25">
      <c r="A942" t="s">
        <v>946</v>
      </c>
      <c r="B942">
        <v>48118</v>
      </c>
      <c r="C942" s="5">
        <f t="shared" si="28"/>
        <v>4.0690273981178141E-3</v>
      </c>
      <c r="D942">
        <v>1128.67</v>
      </c>
      <c r="E942" s="5">
        <f t="shared" si="29"/>
        <v>9.453537250693287E-3</v>
      </c>
    </row>
    <row r="943" spans="1:5" x14ac:dyDescent="0.25">
      <c r="A943" t="s">
        <v>947</v>
      </c>
      <c r="B943">
        <v>45967</v>
      </c>
      <c r="C943" s="5">
        <f t="shared" si="28"/>
        <v>-4.4702606093353837E-2</v>
      </c>
      <c r="D943">
        <v>1113.8900000000001</v>
      </c>
      <c r="E943" s="5">
        <f t="shared" si="29"/>
        <v>-1.3095058786004742E-2</v>
      </c>
    </row>
    <row r="944" spans="1:5" x14ac:dyDescent="0.25">
      <c r="A944" t="s">
        <v>948</v>
      </c>
      <c r="B944">
        <v>47238</v>
      </c>
      <c r="C944" s="5">
        <f t="shared" si="28"/>
        <v>2.765027084647682E-2</v>
      </c>
      <c r="D944">
        <v>1128.54</v>
      </c>
      <c r="E944" s="5">
        <f t="shared" si="29"/>
        <v>1.3152106581439695E-2</v>
      </c>
    </row>
    <row r="945" spans="1:5" x14ac:dyDescent="0.25">
      <c r="A945" t="s">
        <v>949</v>
      </c>
      <c r="B945">
        <v>46896</v>
      </c>
      <c r="C945" s="5">
        <f t="shared" si="28"/>
        <v>-7.239933951479741E-3</v>
      </c>
      <c r="D945">
        <v>1137.3599999999999</v>
      </c>
      <c r="E945" s="5">
        <f t="shared" si="29"/>
        <v>7.8154075176776507E-3</v>
      </c>
    </row>
    <row r="946" spans="1:5" x14ac:dyDescent="0.25">
      <c r="A946" t="s">
        <v>950</v>
      </c>
      <c r="B946">
        <v>47776</v>
      </c>
      <c r="C946" s="5">
        <f t="shared" si="28"/>
        <v>1.8764926646195838E-2</v>
      </c>
      <c r="D946">
        <v>1143.69</v>
      </c>
      <c r="E946" s="5">
        <f t="shared" si="29"/>
        <v>5.5655201519309236E-3</v>
      </c>
    </row>
    <row r="947" spans="1:5" x14ac:dyDescent="0.25">
      <c r="A947" t="s">
        <v>951</v>
      </c>
      <c r="B947">
        <v>48216</v>
      </c>
      <c r="C947" s="5">
        <f t="shared" si="28"/>
        <v>9.2096450100468859E-3</v>
      </c>
      <c r="D947">
        <v>1150.81</v>
      </c>
      <c r="E947" s="5">
        <f t="shared" si="29"/>
        <v>6.2254631936974969E-3</v>
      </c>
    </row>
    <row r="948" spans="1:5" x14ac:dyDescent="0.25">
      <c r="A948" t="s">
        <v>952</v>
      </c>
      <c r="B948">
        <v>47336</v>
      </c>
      <c r="C948" s="5">
        <f t="shared" si="28"/>
        <v>-1.8251202920192468E-2</v>
      </c>
      <c r="D948">
        <v>1151.6099999999999</v>
      </c>
      <c r="E948" s="5">
        <f t="shared" si="29"/>
        <v>6.9516253769080435E-4</v>
      </c>
    </row>
    <row r="949" spans="1:5" x14ac:dyDescent="0.25">
      <c r="A949" t="s">
        <v>953</v>
      </c>
      <c r="B949">
        <v>48412</v>
      </c>
      <c r="C949" s="5">
        <f t="shared" si="28"/>
        <v>2.2731113740070981E-2</v>
      </c>
      <c r="D949">
        <v>1154.73</v>
      </c>
      <c r="E949" s="5">
        <f t="shared" si="29"/>
        <v>2.7092505275224414E-3</v>
      </c>
    </row>
    <row r="950" spans="1:5" x14ac:dyDescent="0.25">
      <c r="A950" t="s">
        <v>954</v>
      </c>
      <c r="B950">
        <v>47531</v>
      </c>
      <c r="C950" s="5">
        <f t="shared" si="28"/>
        <v>-1.8197967446087746E-2</v>
      </c>
      <c r="D950">
        <v>1141.42</v>
      </c>
      <c r="E950" s="5">
        <f t="shared" si="29"/>
        <v>-1.1526504031245352E-2</v>
      </c>
    </row>
    <row r="951" spans="1:5" x14ac:dyDescent="0.25">
      <c r="A951" t="s">
        <v>955</v>
      </c>
      <c r="B951">
        <v>45282</v>
      </c>
      <c r="C951" s="5">
        <f t="shared" si="28"/>
        <v>-4.7316488186657131E-2</v>
      </c>
      <c r="D951">
        <v>1121.6500000000001</v>
      </c>
      <c r="E951" s="5">
        <f t="shared" si="29"/>
        <v>-1.7320530567188221E-2</v>
      </c>
    </row>
    <row r="952" spans="1:5" x14ac:dyDescent="0.25">
      <c r="A952" t="s">
        <v>956</v>
      </c>
      <c r="B952">
        <v>43717</v>
      </c>
      <c r="C952" s="5">
        <f t="shared" si="28"/>
        <v>-3.4561194293538273E-2</v>
      </c>
      <c r="D952">
        <v>1103.4000000000001</v>
      </c>
      <c r="E952" s="5">
        <f t="shared" si="29"/>
        <v>-1.6270672669727631E-2</v>
      </c>
    </row>
    <row r="953" spans="1:5" x14ac:dyDescent="0.25">
      <c r="A953" t="s">
        <v>957</v>
      </c>
      <c r="B953">
        <v>42055</v>
      </c>
      <c r="C953" s="5">
        <f t="shared" si="28"/>
        <v>-3.8017247295102592E-2</v>
      </c>
      <c r="D953">
        <v>1087.8499999999999</v>
      </c>
      <c r="E953" s="5">
        <f t="shared" si="29"/>
        <v>-1.4092804060177797E-2</v>
      </c>
    </row>
    <row r="954" spans="1:5" x14ac:dyDescent="0.25">
      <c r="A954" t="s">
        <v>958</v>
      </c>
      <c r="B954">
        <v>43717</v>
      </c>
      <c r="C954" s="5">
        <f t="shared" si="28"/>
        <v>3.9519676613957909E-2</v>
      </c>
      <c r="D954">
        <v>1108.03</v>
      </c>
      <c r="E954" s="5">
        <f t="shared" si="29"/>
        <v>1.8550351610975839E-2</v>
      </c>
    </row>
    <row r="955" spans="1:5" x14ac:dyDescent="0.25">
      <c r="A955" t="s">
        <v>959</v>
      </c>
      <c r="B955">
        <v>42055</v>
      </c>
      <c r="C955" s="5">
        <f t="shared" si="28"/>
        <v>-3.8017247295102592E-2</v>
      </c>
      <c r="D955">
        <v>1093.53</v>
      </c>
      <c r="E955" s="5">
        <f t="shared" si="29"/>
        <v>-1.3086288277393212E-2</v>
      </c>
    </row>
    <row r="956" spans="1:5" x14ac:dyDescent="0.25">
      <c r="A956" t="s">
        <v>960</v>
      </c>
      <c r="B956">
        <v>42055</v>
      </c>
      <c r="C956" s="5">
        <f t="shared" si="28"/>
        <v>0</v>
      </c>
      <c r="D956">
        <v>1105.9000000000001</v>
      </c>
      <c r="E956" s="5">
        <f t="shared" si="29"/>
        <v>1.1311989611624846E-2</v>
      </c>
    </row>
    <row r="957" spans="1:5" x14ac:dyDescent="0.25">
      <c r="A957" t="s">
        <v>961</v>
      </c>
      <c r="B957">
        <v>42544</v>
      </c>
      <c r="C957" s="5">
        <f t="shared" si="28"/>
        <v>1.1627630483890143E-2</v>
      </c>
      <c r="D957">
        <v>1101.6600000000001</v>
      </c>
      <c r="E957" s="5">
        <f t="shared" si="29"/>
        <v>-3.8339813726376787E-3</v>
      </c>
    </row>
    <row r="958" spans="1:5" x14ac:dyDescent="0.25">
      <c r="A958" t="s">
        <v>962</v>
      </c>
      <c r="B958">
        <v>41077</v>
      </c>
      <c r="C958" s="5">
        <f t="shared" si="28"/>
        <v>-3.4481948100789771E-2</v>
      </c>
      <c r="D958">
        <v>1055.45</v>
      </c>
      <c r="E958" s="5">
        <f t="shared" si="29"/>
        <v>-4.1945790897373082E-2</v>
      </c>
    </row>
    <row r="959" spans="1:5" x14ac:dyDescent="0.25">
      <c r="A959" t="s">
        <v>963</v>
      </c>
      <c r="B959">
        <v>41077</v>
      </c>
      <c r="C959" s="5">
        <f t="shared" si="28"/>
        <v>0</v>
      </c>
      <c r="D959">
        <v>1060.6199999999999</v>
      </c>
      <c r="E959" s="5">
        <f t="shared" si="29"/>
        <v>4.8983845752994882E-3</v>
      </c>
    </row>
    <row r="960" spans="1:5" x14ac:dyDescent="0.25">
      <c r="A960" t="s">
        <v>964</v>
      </c>
      <c r="B960">
        <v>39609</v>
      </c>
      <c r="C960" s="5">
        <f t="shared" si="28"/>
        <v>-3.573776079071013E-2</v>
      </c>
      <c r="D960">
        <v>1042.4000000000001</v>
      </c>
      <c r="E960" s="5">
        <f t="shared" si="29"/>
        <v>-1.7178631366558995E-2</v>
      </c>
    </row>
    <row r="961" spans="1:5" x14ac:dyDescent="0.25">
      <c r="A961" t="s">
        <v>965</v>
      </c>
      <c r="B961">
        <v>36871</v>
      </c>
      <c r="C961" s="5">
        <f t="shared" si="28"/>
        <v>-6.9125703754197285E-2</v>
      </c>
      <c r="D961">
        <v>1028.19</v>
      </c>
      <c r="E961" s="5">
        <f t="shared" si="29"/>
        <v>-1.3632003069838868E-2</v>
      </c>
    </row>
    <row r="962" spans="1:5" x14ac:dyDescent="0.25">
      <c r="A962" t="s">
        <v>966</v>
      </c>
      <c r="B962">
        <v>34328</v>
      </c>
      <c r="C962" s="5">
        <f t="shared" si="28"/>
        <v>-6.8970193376908684E-2</v>
      </c>
      <c r="D962">
        <v>1039.6600000000001</v>
      </c>
      <c r="E962" s="5">
        <f t="shared" si="29"/>
        <v>1.1155525729680338E-2</v>
      </c>
    </row>
    <row r="963" spans="1:5" x14ac:dyDescent="0.25">
      <c r="A963" t="s">
        <v>967</v>
      </c>
      <c r="B963">
        <v>36186</v>
      </c>
      <c r="C963" s="5">
        <f t="shared" si="28"/>
        <v>5.412491260778373E-2</v>
      </c>
      <c r="D963">
        <v>1075.47</v>
      </c>
      <c r="E963" s="5">
        <f t="shared" si="29"/>
        <v>3.4443952830733073E-2</v>
      </c>
    </row>
    <row r="964" spans="1:5" x14ac:dyDescent="0.25">
      <c r="A964" t="s">
        <v>968</v>
      </c>
      <c r="B964">
        <v>38094</v>
      </c>
      <c r="C964" s="5">
        <f t="shared" si="28"/>
        <v>5.2727574199966841E-2</v>
      </c>
      <c r="D964">
        <v>1076.78</v>
      </c>
      <c r="E964" s="5">
        <f t="shared" si="29"/>
        <v>1.2180720987102806E-3</v>
      </c>
    </row>
    <row r="965" spans="1:5" x14ac:dyDescent="0.25">
      <c r="A965" t="s">
        <v>969</v>
      </c>
      <c r="B965">
        <v>37213</v>
      </c>
      <c r="C965" s="5">
        <f t="shared" si="28"/>
        <v>-2.3127001627552896E-2</v>
      </c>
      <c r="D965">
        <v>1089.6600000000001</v>
      </c>
      <c r="E965" s="5">
        <f t="shared" si="29"/>
        <v>1.1961589182562928E-2</v>
      </c>
    </row>
    <row r="966" spans="1:5" x14ac:dyDescent="0.25">
      <c r="A966" t="s">
        <v>970</v>
      </c>
      <c r="B966">
        <v>37360</v>
      </c>
      <c r="C966" s="5">
        <f t="shared" ref="C966:C1029" si="30">(B966-B965)/B965</f>
        <v>3.9502324456507131E-3</v>
      </c>
      <c r="D966">
        <v>1080.29</v>
      </c>
      <c r="E966" s="5">
        <f t="shared" ref="E966:E1029" si="31">(D966-D965)/D965</f>
        <v>-8.5990125360205175E-3</v>
      </c>
    </row>
    <row r="967" spans="1:5" x14ac:dyDescent="0.25">
      <c r="A967" t="s">
        <v>971</v>
      </c>
      <c r="B967">
        <v>38729</v>
      </c>
      <c r="C967" s="5">
        <f t="shared" si="30"/>
        <v>3.6643468950749464E-2</v>
      </c>
      <c r="D967">
        <v>1113.43</v>
      </c>
      <c r="E967" s="5">
        <f t="shared" si="31"/>
        <v>3.0676947856594156E-2</v>
      </c>
    </row>
    <row r="968" spans="1:5" x14ac:dyDescent="0.25">
      <c r="A968" t="s">
        <v>972</v>
      </c>
      <c r="B968">
        <v>39414</v>
      </c>
      <c r="C968" s="5">
        <f t="shared" si="30"/>
        <v>1.7687004570218698E-2</v>
      </c>
      <c r="D968">
        <v>1113.8900000000001</v>
      </c>
      <c r="E968" s="5">
        <f t="shared" si="31"/>
        <v>4.1313778145014629E-4</v>
      </c>
    </row>
    <row r="969" spans="1:5" x14ac:dyDescent="0.25">
      <c r="A969" t="s">
        <v>973</v>
      </c>
      <c r="B969">
        <v>38534</v>
      </c>
      <c r="C969" s="5">
        <f t="shared" si="30"/>
        <v>-2.2327091896280508E-2</v>
      </c>
      <c r="D969">
        <v>1101.68</v>
      </c>
      <c r="E969" s="5">
        <f t="shared" si="31"/>
        <v>-1.0961585075725642E-2</v>
      </c>
    </row>
    <row r="970" spans="1:5" x14ac:dyDescent="0.25">
      <c r="A970" t="s">
        <v>974</v>
      </c>
      <c r="B970">
        <v>39120</v>
      </c>
      <c r="C970" s="5">
        <f t="shared" si="30"/>
        <v>1.5207349353817408E-2</v>
      </c>
      <c r="D970">
        <v>1100.07</v>
      </c>
      <c r="E970" s="5">
        <f t="shared" si="31"/>
        <v>-1.4614044005519999E-3</v>
      </c>
    </row>
    <row r="971" spans="1:5" x14ac:dyDescent="0.25">
      <c r="A971" t="s">
        <v>975</v>
      </c>
      <c r="B971">
        <v>40588</v>
      </c>
      <c r="C971" s="5">
        <f t="shared" si="30"/>
        <v>3.752556237218814E-2</v>
      </c>
      <c r="D971">
        <v>1109.73</v>
      </c>
      <c r="E971" s="5">
        <f t="shared" si="31"/>
        <v>8.7812593744035217E-3</v>
      </c>
    </row>
    <row r="972" spans="1:5" x14ac:dyDescent="0.25">
      <c r="A972" t="s">
        <v>976</v>
      </c>
      <c r="B972">
        <v>40979</v>
      </c>
      <c r="C972" s="5">
        <f t="shared" si="30"/>
        <v>9.6333891790677043E-3</v>
      </c>
      <c r="D972">
        <v>1122.5</v>
      </c>
      <c r="E972" s="5">
        <f t="shared" si="31"/>
        <v>1.150730357834787E-2</v>
      </c>
    </row>
    <row r="973" spans="1:5" x14ac:dyDescent="0.25">
      <c r="A973" t="s">
        <v>977</v>
      </c>
      <c r="B973">
        <v>40588</v>
      </c>
      <c r="C973" s="5">
        <f t="shared" si="30"/>
        <v>-9.5414724615046735E-3</v>
      </c>
      <c r="D973">
        <v>1125.53</v>
      </c>
      <c r="E973" s="5">
        <f t="shared" si="31"/>
        <v>2.699331848552314E-3</v>
      </c>
    </row>
    <row r="974" spans="1:5" x14ac:dyDescent="0.25">
      <c r="A974" t="s">
        <v>978</v>
      </c>
      <c r="B974">
        <v>40490</v>
      </c>
      <c r="C974" s="5">
        <f t="shared" si="30"/>
        <v>-2.4145067507637726E-3</v>
      </c>
      <c r="D974">
        <v>1101.19</v>
      </c>
      <c r="E974" s="5">
        <f t="shared" si="31"/>
        <v>-2.1625367604595096E-2</v>
      </c>
    </row>
    <row r="975" spans="1:5" x14ac:dyDescent="0.25">
      <c r="A975" t="s">
        <v>979</v>
      </c>
      <c r="B975">
        <v>39658</v>
      </c>
      <c r="C975" s="5">
        <f t="shared" si="30"/>
        <v>-2.0548283526796739E-2</v>
      </c>
      <c r="D975">
        <v>1103.6600000000001</v>
      </c>
      <c r="E975" s="5">
        <f t="shared" si="31"/>
        <v>2.2430279969851046E-3</v>
      </c>
    </row>
    <row r="976" spans="1:5" x14ac:dyDescent="0.25">
      <c r="A976" t="s">
        <v>980</v>
      </c>
      <c r="B976">
        <v>40001</v>
      </c>
      <c r="C976" s="5">
        <f t="shared" si="30"/>
        <v>8.6489485097584352E-3</v>
      </c>
      <c r="D976">
        <v>1110.46</v>
      </c>
      <c r="E976" s="5">
        <f t="shared" si="31"/>
        <v>6.1613177971476304E-3</v>
      </c>
    </row>
    <row r="977" spans="1:5" x14ac:dyDescent="0.25">
      <c r="A977" t="s">
        <v>981</v>
      </c>
      <c r="B977">
        <v>38925</v>
      </c>
      <c r="C977" s="5">
        <f t="shared" si="30"/>
        <v>-2.689932751681208E-2</v>
      </c>
      <c r="D977">
        <v>1113.82</v>
      </c>
      <c r="E977" s="5">
        <f t="shared" si="31"/>
        <v>3.0257731030382904E-3</v>
      </c>
    </row>
    <row r="978" spans="1:5" x14ac:dyDescent="0.25">
      <c r="A978" t="s">
        <v>982</v>
      </c>
      <c r="B978">
        <v>36480</v>
      </c>
      <c r="C978" s="5">
        <f t="shared" si="30"/>
        <v>-6.2813102119460507E-2</v>
      </c>
      <c r="D978">
        <v>1088.49</v>
      </c>
      <c r="E978" s="5">
        <f t="shared" si="31"/>
        <v>-2.2741556086261629E-2</v>
      </c>
    </row>
    <row r="979" spans="1:5" x14ac:dyDescent="0.25">
      <c r="A979" t="s">
        <v>983</v>
      </c>
      <c r="B979">
        <v>37702</v>
      </c>
      <c r="C979" s="5">
        <f t="shared" si="30"/>
        <v>3.349780701754386E-2</v>
      </c>
      <c r="D979">
        <v>1095.6099999999999</v>
      </c>
      <c r="E979" s="5">
        <f t="shared" si="31"/>
        <v>6.5411717149444562E-3</v>
      </c>
    </row>
    <row r="980" spans="1:5" x14ac:dyDescent="0.25">
      <c r="A980" t="s">
        <v>984</v>
      </c>
      <c r="B980">
        <v>37164</v>
      </c>
      <c r="C980" s="5">
        <f t="shared" si="30"/>
        <v>-1.4269800010609516E-2</v>
      </c>
      <c r="D980">
        <v>1088.06</v>
      </c>
      <c r="E980" s="5">
        <f t="shared" si="31"/>
        <v>-6.8911382700047969E-3</v>
      </c>
    </row>
    <row r="981" spans="1:5" x14ac:dyDescent="0.25">
      <c r="A981" t="s">
        <v>985</v>
      </c>
      <c r="B981">
        <v>37164</v>
      </c>
      <c r="C981" s="5">
        <f t="shared" si="30"/>
        <v>0</v>
      </c>
      <c r="D981">
        <v>1095.43</v>
      </c>
      <c r="E981" s="5">
        <f t="shared" si="31"/>
        <v>6.7735235189236975E-3</v>
      </c>
    </row>
    <row r="982" spans="1:5" x14ac:dyDescent="0.25">
      <c r="A982" t="s">
        <v>986</v>
      </c>
      <c r="B982">
        <v>37947</v>
      </c>
      <c r="C982" s="5">
        <f t="shared" si="30"/>
        <v>2.1068776235066193E-2</v>
      </c>
      <c r="D982">
        <v>1102.8</v>
      </c>
      <c r="E982" s="5">
        <f t="shared" si="31"/>
        <v>6.7279515806577235E-3</v>
      </c>
    </row>
    <row r="983" spans="1:5" x14ac:dyDescent="0.25">
      <c r="A983" t="s">
        <v>987</v>
      </c>
      <c r="B983">
        <v>37653</v>
      </c>
      <c r="C983" s="5">
        <f t="shared" si="30"/>
        <v>-7.7476480354178199E-3</v>
      </c>
      <c r="D983">
        <v>1094.1300000000001</v>
      </c>
      <c r="E983" s="5">
        <f t="shared" si="31"/>
        <v>-7.861806311207694E-3</v>
      </c>
    </row>
    <row r="984" spans="1:5" x14ac:dyDescent="0.25">
      <c r="A984" t="s">
        <v>988</v>
      </c>
      <c r="B984">
        <v>37898</v>
      </c>
      <c r="C984" s="5">
        <f t="shared" si="30"/>
        <v>6.5067856478899424E-3</v>
      </c>
      <c r="D984">
        <v>1102.1600000000001</v>
      </c>
      <c r="E984" s="5">
        <f t="shared" si="31"/>
        <v>7.3391644502938148E-3</v>
      </c>
    </row>
    <row r="985" spans="1:5" x14ac:dyDescent="0.25">
      <c r="A985" t="s">
        <v>989</v>
      </c>
      <c r="B985">
        <v>39072</v>
      </c>
      <c r="C985" s="5">
        <f t="shared" si="30"/>
        <v>3.0977888015198692E-2</v>
      </c>
      <c r="D985">
        <v>1120.49</v>
      </c>
      <c r="E985" s="5">
        <f t="shared" si="31"/>
        <v>1.6630979168178781E-2</v>
      </c>
    </row>
    <row r="986" spans="1:5" x14ac:dyDescent="0.25">
      <c r="A986" t="s">
        <v>990</v>
      </c>
      <c r="B986">
        <v>39120</v>
      </c>
      <c r="C986" s="5">
        <f t="shared" si="30"/>
        <v>1.2285012285012285E-3</v>
      </c>
      <c r="D986">
        <v>1115.97</v>
      </c>
      <c r="E986" s="5">
        <f t="shared" si="31"/>
        <v>-4.0339494328374033E-3</v>
      </c>
    </row>
    <row r="987" spans="1:5" x14ac:dyDescent="0.25">
      <c r="A987" t="s">
        <v>991</v>
      </c>
      <c r="B987">
        <v>40050</v>
      </c>
      <c r="C987" s="5">
        <f t="shared" si="30"/>
        <v>2.3773006134969327E-2</v>
      </c>
      <c r="D987">
        <v>1126.43</v>
      </c>
      <c r="E987" s="5">
        <f t="shared" si="31"/>
        <v>9.3730118193141709E-3</v>
      </c>
    </row>
    <row r="988" spans="1:5" x14ac:dyDescent="0.25">
      <c r="A988" t="s">
        <v>992</v>
      </c>
      <c r="B988">
        <v>39952</v>
      </c>
      <c r="C988" s="5">
        <f t="shared" si="30"/>
        <v>-2.4469413233458178E-3</v>
      </c>
      <c r="D988">
        <v>1121.49</v>
      </c>
      <c r="E988" s="5">
        <f t="shared" si="31"/>
        <v>-4.3855366068020684E-3</v>
      </c>
    </row>
    <row r="989" spans="1:5" x14ac:dyDescent="0.25">
      <c r="A989" t="s">
        <v>993</v>
      </c>
      <c r="B989">
        <v>41663</v>
      </c>
      <c r="C989" s="5">
        <f t="shared" si="30"/>
        <v>4.2826391670004002E-2</v>
      </c>
      <c r="D989">
        <v>1124.44</v>
      </c>
      <c r="E989" s="5">
        <f t="shared" si="31"/>
        <v>2.6304291612052229E-3</v>
      </c>
    </row>
    <row r="990" spans="1:5" x14ac:dyDescent="0.25">
      <c r="A990" t="s">
        <v>994</v>
      </c>
      <c r="B990">
        <v>41566</v>
      </c>
      <c r="C990" s="5">
        <f t="shared" si="30"/>
        <v>-2.3282048820296186E-3</v>
      </c>
      <c r="D990">
        <v>1125.5</v>
      </c>
      <c r="E990" s="5">
        <f t="shared" si="31"/>
        <v>9.4269147308877785E-4</v>
      </c>
    </row>
    <row r="991" spans="1:5" x14ac:dyDescent="0.25">
      <c r="A991" t="s">
        <v>995</v>
      </c>
      <c r="B991">
        <v>41566</v>
      </c>
      <c r="C991" s="5">
        <f t="shared" si="30"/>
        <v>0</v>
      </c>
      <c r="D991">
        <v>1127.6300000000001</v>
      </c>
      <c r="E991" s="5">
        <f t="shared" si="31"/>
        <v>1.8924922256775736E-3</v>
      </c>
    </row>
    <row r="992" spans="1:5" x14ac:dyDescent="0.25">
      <c r="A992" t="s">
        <v>996</v>
      </c>
      <c r="B992">
        <v>40783</v>
      </c>
      <c r="C992" s="5">
        <f t="shared" si="30"/>
        <v>-1.8837511427609102E-2</v>
      </c>
      <c r="D992">
        <v>1114.2</v>
      </c>
      <c r="E992" s="5">
        <f t="shared" si="31"/>
        <v>-1.1909934996408451E-2</v>
      </c>
    </row>
    <row r="993" spans="1:5" x14ac:dyDescent="0.25">
      <c r="A993" t="s">
        <v>997</v>
      </c>
      <c r="B993">
        <v>40685</v>
      </c>
      <c r="C993" s="5">
        <f t="shared" si="30"/>
        <v>-2.4029620184880954E-3</v>
      </c>
      <c r="D993">
        <v>1110.1300000000001</v>
      </c>
      <c r="E993" s="5">
        <f t="shared" si="31"/>
        <v>-3.6528450906479415E-3</v>
      </c>
    </row>
    <row r="994" spans="1:5" x14ac:dyDescent="0.25">
      <c r="A994" t="s">
        <v>998</v>
      </c>
      <c r="B994">
        <v>39854</v>
      </c>
      <c r="C994" s="5">
        <f t="shared" si="30"/>
        <v>-2.0425218139363401E-2</v>
      </c>
      <c r="D994">
        <v>1102.3</v>
      </c>
      <c r="E994" s="5">
        <f t="shared" si="31"/>
        <v>-7.0532280003244253E-3</v>
      </c>
    </row>
    <row r="995" spans="1:5" x14ac:dyDescent="0.25">
      <c r="A995" t="s">
        <v>999</v>
      </c>
      <c r="B995">
        <v>38729</v>
      </c>
      <c r="C995" s="5">
        <f t="shared" si="30"/>
        <v>-2.8228032317960557E-2</v>
      </c>
      <c r="D995">
        <v>1091.8800000000001</v>
      </c>
      <c r="E995" s="5">
        <f t="shared" si="31"/>
        <v>-9.4529619885692154E-3</v>
      </c>
    </row>
    <row r="996" spans="1:5" x14ac:dyDescent="0.25">
      <c r="A996" t="s">
        <v>1000</v>
      </c>
      <c r="B996">
        <v>39756</v>
      </c>
      <c r="C996" s="5">
        <f t="shared" si="30"/>
        <v>2.6517596633014021E-2</v>
      </c>
      <c r="D996">
        <v>1096.3</v>
      </c>
      <c r="E996" s="5">
        <f t="shared" si="31"/>
        <v>4.0480638898045982E-3</v>
      </c>
    </row>
    <row r="997" spans="1:5" x14ac:dyDescent="0.25">
      <c r="A997" t="s">
        <v>1001</v>
      </c>
      <c r="B997">
        <v>41468</v>
      </c>
      <c r="C997" s="5">
        <f t="shared" si="30"/>
        <v>4.3062682362410704E-2</v>
      </c>
      <c r="D997">
        <v>1100.76</v>
      </c>
      <c r="E997" s="5">
        <f t="shared" si="31"/>
        <v>4.0682294992246985E-3</v>
      </c>
    </row>
    <row r="998" spans="1:5" x14ac:dyDescent="0.25">
      <c r="A998" t="s">
        <v>1002</v>
      </c>
      <c r="B998">
        <v>41712</v>
      </c>
      <c r="C998" s="5">
        <f t="shared" si="30"/>
        <v>5.8840551750747568E-3</v>
      </c>
      <c r="D998">
        <v>1102.43</v>
      </c>
      <c r="E998" s="5">
        <f t="shared" si="31"/>
        <v>1.5171336167739313E-3</v>
      </c>
    </row>
    <row r="999" spans="1:5" x14ac:dyDescent="0.25">
      <c r="A999" t="s">
        <v>1003</v>
      </c>
      <c r="B999">
        <v>41419</v>
      </c>
      <c r="C999" s="5">
        <f t="shared" si="30"/>
        <v>-7.024357499041043E-3</v>
      </c>
      <c r="D999">
        <v>1103.06</v>
      </c>
      <c r="E999" s="5">
        <f t="shared" si="31"/>
        <v>5.7146485491131572E-4</v>
      </c>
    </row>
    <row r="1000" spans="1:5" x14ac:dyDescent="0.25">
      <c r="A1000" t="s">
        <v>1004</v>
      </c>
      <c r="B1000">
        <v>41712</v>
      </c>
      <c r="C1000" s="5">
        <f t="shared" si="30"/>
        <v>7.0740481421569809E-3</v>
      </c>
      <c r="D1000">
        <v>1117.6600000000001</v>
      </c>
      <c r="E1000" s="5">
        <f t="shared" si="31"/>
        <v>1.323590738491119E-2</v>
      </c>
    </row>
    <row r="1001" spans="1:5" x14ac:dyDescent="0.25">
      <c r="A1001" t="s">
        <v>1005</v>
      </c>
      <c r="B1001">
        <v>41761</v>
      </c>
      <c r="C1001" s="5">
        <f t="shared" si="30"/>
        <v>1.1747219025700039E-3</v>
      </c>
      <c r="D1001">
        <v>1122.25</v>
      </c>
      <c r="E1001" s="5">
        <f t="shared" si="31"/>
        <v>4.1067945529051032E-3</v>
      </c>
    </row>
    <row r="1002" spans="1:5" x14ac:dyDescent="0.25">
      <c r="A1002" t="s">
        <v>1006</v>
      </c>
      <c r="B1002">
        <v>41908</v>
      </c>
      <c r="C1002" s="5">
        <f t="shared" si="30"/>
        <v>3.5200306506070257E-3</v>
      </c>
      <c r="D1002">
        <v>1121.99</v>
      </c>
      <c r="E1002" s="5">
        <f t="shared" si="31"/>
        <v>-2.3167743372687984E-4</v>
      </c>
    </row>
    <row r="1003" spans="1:5" x14ac:dyDescent="0.25">
      <c r="A1003" t="s">
        <v>1007</v>
      </c>
      <c r="B1003">
        <v>42103</v>
      </c>
      <c r="C1003" s="5">
        <f t="shared" si="30"/>
        <v>4.6530495370812252E-3</v>
      </c>
      <c r="D1003">
        <v>1128.93</v>
      </c>
      <c r="E1003" s="5">
        <f t="shared" si="31"/>
        <v>6.1854383728910728E-3</v>
      </c>
    </row>
    <row r="1004" spans="1:5" x14ac:dyDescent="0.25">
      <c r="A1004" t="s">
        <v>1008</v>
      </c>
      <c r="B1004">
        <v>41859</v>
      </c>
      <c r="C1004" s="5">
        <f t="shared" si="30"/>
        <v>-5.7953114979930175E-3</v>
      </c>
      <c r="D1004">
        <v>1129.93</v>
      </c>
      <c r="E1004" s="5">
        <f t="shared" si="31"/>
        <v>8.8579451338878404E-4</v>
      </c>
    </row>
    <row r="1005" spans="1:5" x14ac:dyDescent="0.25">
      <c r="A1005" t="s">
        <v>1009</v>
      </c>
      <c r="B1005">
        <v>41517</v>
      </c>
      <c r="C1005" s="5">
        <f t="shared" si="30"/>
        <v>-8.1702859600085997E-3</v>
      </c>
      <c r="D1005">
        <v>1131.72</v>
      </c>
      <c r="E1005" s="5">
        <f t="shared" si="31"/>
        <v>1.584168930818691E-3</v>
      </c>
    </row>
    <row r="1006" spans="1:5" x14ac:dyDescent="0.25">
      <c r="A1006" t="s">
        <v>1010</v>
      </c>
      <c r="B1006">
        <v>42250</v>
      </c>
      <c r="C1006" s="5">
        <f t="shared" si="30"/>
        <v>1.7655418262398536E-2</v>
      </c>
      <c r="D1006">
        <v>1144.17</v>
      </c>
      <c r="E1006" s="5">
        <f t="shared" si="31"/>
        <v>1.100095429965013E-2</v>
      </c>
    </row>
    <row r="1007" spans="1:5" x14ac:dyDescent="0.25">
      <c r="A1007" t="s">
        <v>1011</v>
      </c>
      <c r="B1007">
        <v>42250</v>
      </c>
      <c r="C1007" s="5">
        <f t="shared" si="30"/>
        <v>0</v>
      </c>
      <c r="D1007">
        <v>1150.72</v>
      </c>
      <c r="E1007" s="5">
        <f t="shared" si="31"/>
        <v>5.7246737809940433E-3</v>
      </c>
    </row>
    <row r="1008" spans="1:5" x14ac:dyDescent="0.25">
      <c r="A1008" t="s">
        <v>1012</v>
      </c>
      <c r="B1008">
        <v>42886</v>
      </c>
      <c r="C1008" s="5">
        <f t="shared" si="30"/>
        <v>1.5053254437869822E-2</v>
      </c>
      <c r="D1008">
        <v>1154.68</v>
      </c>
      <c r="E1008" s="5">
        <f t="shared" si="31"/>
        <v>3.4413236929922452E-3</v>
      </c>
    </row>
    <row r="1009" spans="1:5" x14ac:dyDescent="0.25">
      <c r="A1009" t="s">
        <v>1013</v>
      </c>
      <c r="B1009">
        <v>42250</v>
      </c>
      <c r="C1009" s="5">
        <f t="shared" si="30"/>
        <v>-1.4830014456932333E-2</v>
      </c>
      <c r="D1009">
        <v>1160.19</v>
      </c>
      <c r="E1009" s="5">
        <f t="shared" si="31"/>
        <v>4.7718848512141813E-3</v>
      </c>
    </row>
    <row r="1010" spans="1:5" x14ac:dyDescent="0.25">
      <c r="A1010" t="s">
        <v>1014</v>
      </c>
      <c r="B1010">
        <v>41761</v>
      </c>
      <c r="C1010" s="5">
        <f t="shared" si="30"/>
        <v>-1.1573964497041419E-2</v>
      </c>
      <c r="D1010">
        <v>1158.5899999999999</v>
      </c>
      <c r="E1010" s="5">
        <f t="shared" si="31"/>
        <v>-1.3790844603040332E-3</v>
      </c>
    </row>
    <row r="1011" spans="1:5" x14ac:dyDescent="0.25">
      <c r="A1011" t="s">
        <v>1015</v>
      </c>
      <c r="B1011">
        <v>41321</v>
      </c>
      <c r="C1011" s="5">
        <f t="shared" si="30"/>
        <v>-1.0536146165082253E-2</v>
      </c>
      <c r="D1011">
        <v>1161.54</v>
      </c>
      <c r="E1011" s="5">
        <f t="shared" si="31"/>
        <v>2.5461983963266086E-3</v>
      </c>
    </row>
    <row r="1012" spans="1:5" x14ac:dyDescent="0.25">
      <c r="A1012" t="s">
        <v>1016</v>
      </c>
      <c r="B1012">
        <v>41517</v>
      </c>
      <c r="C1012" s="5">
        <f t="shared" si="30"/>
        <v>4.7433508385566663E-3</v>
      </c>
      <c r="D1012">
        <v>1162.22</v>
      </c>
      <c r="E1012" s="5">
        <f t="shared" si="31"/>
        <v>5.8542968817265324E-4</v>
      </c>
    </row>
    <row r="1013" spans="1:5" x14ac:dyDescent="0.25">
      <c r="A1013" t="s">
        <v>1017</v>
      </c>
      <c r="B1013">
        <v>40979</v>
      </c>
      <c r="C1013" s="5">
        <f t="shared" si="30"/>
        <v>-1.2958547101187465E-2</v>
      </c>
      <c r="D1013">
        <v>1154.7</v>
      </c>
      <c r="E1013" s="5">
        <f t="shared" si="31"/>
        <v>-6.4703756603740961E-3</v>
      </c>
    </row>
    <row r="1014" spans="1:5" x14ac:dyDescent="0.25">
      <c r="A1014" t="s">
        <v>1018</v>
      </c>
      <c r="B1014">
        <v>41957</v>
      </c>
      <c r="C1014" s="5">
        <f t="shared" si="30"/>
        <v>2.3865882525195833E-2</v>
      </c>
      <c r="D1014">
        <v>1154.1199999999999</v>
      </c>
      <c r="E1014" s="5">
        <f t="shared" si="31"/>
        <v>-5.0229496839019195E-4</v>
      </c>
    </row>
    <row r="1015" spans="1:5" x14ac:dyDescent="0.25">
      <c r="A1015" t="s">
        <v>1019</v>
      </c>
      <c r="B1015">
        <v>43326</v>
      </c>
      <c r="C1015" s="5">
        <f t="shared" si="30"/>
        <v>3.2628643611316351E-2</v>
      </c>
      <c r="D1015">
        <v>1163.1199999999999</v>
      </c>
      <c r="E1015" s="5">
        <f t="shared" si="31"/>
        <v>7.7981492392472191E-3</v>
      </c>
    </row>
    <row r="1016" spans="1:5" x14ac:dyDescent="0.25">
      <c r="A1016" t="s">
        <v>1020</v>
      </c>
      <c r="B1016">
        <v>43913</v>
      </c>
      <c r="C1016" s="5">
        <f t="shared" si="30"/>
        <v>1.3548446660204034E-2</v>
      </c>
      <c r="D1016">
        <v>1162.53</v>
      </c>
      <c r="E1016" s="5">
        <f t="shared" si="31"/>
        <v>-5.0725634500302483E-4</v>
      </c>
    </row>
    <row r="1017" spans="1:5" x14ac:dyDescent="0.25">
      <c r="A1017" t="s">
        <v>1021</v>
      </c>
      <c r="B1017">
        <v>44842</v>
      </c>
      <c r="C1017" s="5">
        <f t="shared" si="30"/>
        <v>2.1155466490560881E-2</v>
      </c>
      <c r="D1017">
        <v>1169.06</v>
      </c>
      <c r="E1017" s="5">
        <f t="shared" si="31"/>
        <v>5.6170593447050594E-3</v>
      </c>
    </row>
    <row r="1018" spans="1:5" x14ac:dyDescent="0.25">
      <c r="A1018" t="s">
        <v>1022</v>
      </c>
      <c r="B1018">
        <v>45037</v>
      </c>
      <c r="C1018" s="5">
        <f t="shared" si="30"/>
        <v>4.3486017572811203E-3</v>
      </c>
      <c r="D1018">
        <v>1181.5</v>
      </c>
      <c r="E1018" s="5">
        <f t="shared" si="31"/>
        <v>1.0641027834328482E-2</v>
      </c>
    </row>
    <row r="1019" spans="1:5" x14ac:dyDescent="0.25">
      <c r="A1019" t="s">
        <v>1023</v>
      </c>
      <c r="B1019">
        <v>45135</v>
      </c>
      <c r="C1019" s="5">
        <f t="shared" si="30"/>
        <v>2.1759886315695985E-3</v>
      </c>
      <c r="D1019">
        <v>1182.8599999999999</v>
      </c>
      <c r="E1019" s="5">
        <f t="shared" si="31"/>
        <v>1.1510791366905629E-3</v>
      </c>
    </row>
    <row r="1020" spans="1:5" x14ac:dyDescent="0.25">
      <c r="A1020" t="s">
        <v>1024</v>
      </c>
      <c r="B1020">
        <v>44402</v>
      </c>
      <c r="C1020" s="5">
        <f t="shared" si="30"/>
        <v>-1.6240168383737676E-2</v>
      </c>
      <c r="D1020">
        <v>1177.5</v>
      </c>
      <c r="E1020" s="5">
        <f t="shared" si="31"/>
        <v>-4.5313900207969672E-3</v>
      </c>
    </row>
    <row r="1021" spans="1:5" x14ac:dyDescent="0.25">
      <c r="A1021" t="s">
        <v>1025</v>
      </c>
      <c r="B1021">
        <v>43424</v>
      </c>
      <c r="C1021" s="5">
        <f t="shared" si="30"/>
        <v>-2.2026034863294446E-2</v>
      </c>
      <c r="D1021">
        <v>1172.97</v>
      </c>
      <c r="E1021" s="5">
        <f t="shared" si="31"/>
        <v>-3.8471337579617602E-3</v>
      </c>
    </row>
    <row r="1022" spans="1:5" x14ac:dyDescent="0.25">
      <c r="A1022" t="s">
        <v>1026</v>
      </c>
      <c r="B1022">
        <v>44206</v>
      </c>
      <c r="C1022" s="5">
        <f t="shared" si="30"/>
        <v>1.8008474576271187E-2</v>
      </c>
      <c r="D1022">
        <v>1170.3699999999999</v>
      </c>
      <c r="E1022" s="5">
        <f t="shared" si="31"/>
        <v>-2.2165954798504107E-3</v>
      </c>
    </row>
    <row r="1023" spans="1:5" x14ac:dyDescent="0.25">
      <c r="A1023" t="s">
        <v>1027</v>
      </c>
      <c r="B1023">
        <v>43913</v>
      </c>
      <c r="C1023" s="5">
        <f t="shared" si="30"/>
        <v>-6.6280595394290365E-3</v>
      </c>
      <c r="D1023">
        <v>1175.67</v>
      </c>
      <c r="E1023" s="5">
        <f t="shared" si="31"/>
        <v>4.5284824457224489E-3</v>
      </c>
    </row>
    <row r="1024" spans="1:5" x14ac:dyDescent="0.25">
      <c r="A1024" t="s">
        <v>1028</v>
      </c>
      <c r="B1024">
        <v>43619</v>
      </c>
      <c r="C1024" s="5">
        <f t="shared" si="30"/>
        <v>-6.6950561337189443E-3</v>
      </c>
      <c r="D1024">
        <v>1175.69</v>
      </c>
      <c r="E1024" s="5">
        <f t="shared" si="31"/>
        <v>1.7011576377709568E-5</v>
      </c>
    </row>
    <row r="1025" spans="1:5" x14ac:dyDescent="0.25">
      <c r="A1025" t="s">
        <v>1029</v>
      </c>
      <c r="B1025">
        <v>44402</v>
      </c>
      <c r="C1025" s="5">
        <f t="shared" si="30"/>
        <v>1.7950892959490129E-2</v>
      </c>
      <c r="D1025">
        <v>1179.6500000000001</v>
      </c>
      <c r="E1025" s="5">
        <f t="shared" si="31"/>
        <v>3.3682348238056256E-3</v>
      </c>
    </row>
    <row r="1026" spans="1:5" x14ac:dyDescent="0.25">
      <c r="A1026" t="s">
        <v>1030</v>
      </c>
      <c r="B1026">
        <v>44011</v>
      </c>
      <c r="C1026" s="5">
        <f t="shared" si="30"/>
        <v>-8.8059096437097424E-3</v>
      </c>
      <c r="D1026">
        <v>1164.31</v>
      </c>
      <c r="E1026" s="5">
        <f t="shared" si="31"/>
        <v>-1.3003857076251553E-2</v>
      </c>
    </row>
    <row r="1027" spans="1:5" x14ac:dyDescent="0.25">
      <c r="A1027" t="s">
        <v>1031</v>
      </c>
      <c r="B1027">
        <v>45184</v>
      </c>
      <c r="C1027" s="5">
        <f t="shared" si="30"/>
        <v>2.6652427802140374E-2</v>
      </c>
      <c r="D1027">
        <v>1173.02</v>
      </c>
      <c r="E1027" s="5">
        <f t="shared" si="31"/>
        <v>7.4808255533320477E-3</v>
      </c>
    </row>
    <row r="1028" spans="1:5" x14ac:dyDescent="0.25">
      <c r="A1028" t="s">
        <v>1032</v>
      </c>
      <c r="B1028">
        <v>46358</v>
      </c>
      <c r="C1028" s="5">
        <f t="shared" si="30"/>
        <v>2.5982648725212464E-2</v>
      </c>
      <c r="D1028">
        <v>1172.55</v>
      </c>
      <c r="E1028" s="5">
        <f t="shared" si="31"/>
        <v>-4.0067518030385439E-4</v>
      </c>
    </row>
    <row r="1029" spans="1:5" x14ac:dyDescent="0.25">
      <c r="A1029" t="s">
        <v>1033</v>
      </c>
      <c r="B1029">
        <v>46358</v>
      </c>
      <c r="C1029" s="5">
        <f t="shared" si="30"/>
        <v>0</v>
      </c>
      <c r="D1029">
        <v>1186.06</v>
      </c>
      <c r="E1029" s="5">
        <f t="shared" si="31"/>
        <v>1.1521896720822133E-2</v>
      </c>
    </row>
    <row r="1030" spans="1:5" x14ac:dyDescent="0.25">
      <c r="A1030" t="s">
        <v>1034</v>
      </c>
      <c r="B1030">
        <v>45967</v>
      </c>
      <c r="C1030" s="5">
        <f t="shared" ref="C1030:C1093" si="32">(B1030-B1029)/B1029</f>
        <v>-8.43435868674231E-3</v>
      </c>
      <c r="D1030">
        <v>1188.48</v>
      </c>
      <c r="E1030" s="5">
        <f t="shared" ref="E1030:E1093" si="33">(D1030-D1029)/D1029</f>
        <v>2.0403689526668741E-3</v>
      </c>
    </row>
    <row r="1031" spans="1:5" x14ac:dyDescent="0.25">
      <c r="A1031" t="s">
        <v>1035</v>
      </c>
      <c r="B1031">
        <v>45575</v>
      </c>
      <c r="C1031" s="5">
        <f t="shared" si="32"/>
        <v>-8.5278569408488696E-3</v>
      </c>
      <c r="D1031">
        <v>1198.53</v>
      </c>
      <c r="E1031" s="5">
        <f t="shared" si="33"/>
        <v>8.4561793214862294E-3</v>
      </c>
    </row>
    <row r="1032" spans="1:5" x14ac:dyDescent="0.25">
      <c r="A1032" t="s">
        <v>1036</v>
      </c>
      <c r="B1032">
        <v>44842</v>
      </c>
      <c r="C1032" s="5">
        <f t="shared" si="32"/>
        <v>-1.6083379045529346E-2</v>
      </c>
      <c r="D1032">
        <v>1202.5</v>
      </c>
      <c r="E1032" s="5">
        <f t="shared" si="33"/>
        <v>3.3123910123234522E-3</v>
      </c>
    </row>
    <row r="1033" spans="1:5" x14ac:dyDescent="0.25">
      <c r="A1033" t="s">
        <v>1037</v>
      </c>
      <c r="B1033">
        <v>45282</v>
      </c>
      <c r="C1033" s="5">
        <f t="shared" si="32"/>
        <v>9.8122296061727843E-3</v>
      </c>
      <c r="D1033">
        <v>1209.7</v>
      </c>
      <c r="E1033" s="5">
        <f t="shared" si="33"/>
        <v>5.987525987526025E-3</v>
      </c>
    </row>
    <row r="1034" spans="1:5" x14ac:dyDescent="0.25">
      <c r="A1034" t="s">
        <v>1038</v>
      </c>
      <c r="B1034">
        <v>45771</v>
      </c>
      <c r="C1034" s="5">
        <f t="shared" si="32"/>
        <v>1.0798992977341991E-2</v>
      </c>
      <c r="D1034">
        <v>1224.97</v>
      </c>
      <c r="E1034" s="5">
        <f t="shared" si="33"/>
        <v>1.2622964371331719E-2</v>
      </c>
    </row>
    <row r="1035" spans="1:5" x14ac:dyDescent="0.25">
      <c r="A1035" t="s">
        <v>1039</v>
      </c>
      <c r="B1035">
        <v>45771</v>
      </c>
      <c r="C1035" s="5">
        <f t="shared" si="32"/>
        <v>0</v>
      </c>
      <c r="D1035">
        <v>1230.06</v>
      </c>
      <c r="E1035" s="5">
        <f t="shared" si="33"/>
        <v>4.1552038009093429E-3</v>
      </c>
    </row>
    <row r="1036" spans="1:5" x14ac:dyDescent="0.25">
      <c r="A1036" t="s">
        <v>1040</v>
      </c>
      <c r="B1036">
        <v>45086</v>
      </c>
      <c r="C1036" s="5">
        <f t="shared" si="32"/>
        <v>-1.4965808044394922E-2</v>
      </c>
      <c r="D1036">
        <v>1230.04</v>
      </c>
      <c r="E1036" s="5">
        <f t="shared" si="33"/>
        <v>-1.625936946163749E-5</v>
      </c>
    </row>
    <row r="1037" spans="1:5" x14ac:dyDescent="0.25">
      <c r="A1037" t="s">
        <v>1041</v>
      </c>
      <c r="B1037">
        <v>44304</v>
      </c>
      <c r="C1037" s="5">
        <f t="shared" si="32"/>
        <v>-1.734463026216564E-2</v>
      </c>
      <c r="D1037">
        <v>1227.31</v>
      </c>
      <c r="E1037" s="5">
        <f t="shared" si="33"/>
        <v>-2.2194400182108049E-3</v>
      </c>
    </row>
    <row r="1038" spans="1:5" x14ac:dyDescent="0.25">
      <c r="A1038" t="s">
        <v>1042</v>
      </c>
      <c r="B1038">
        <v>43033</v>
      </c>
      <c r="C1038" s="5">
        <f t="shared" si="32"/>
        <v>-2.868815456843626E-2</v>
      </c>
      <c r="D1038">
        <v>1212</v>
      </c>
      <c r="E1038" s="5">
        <f t="shared" si="33"/>
        <v>-1.2474435961574456E-2</v>
      </c>
    </row>
    <row r="1039" spans="1:5" x14ac:dyDescent="0.25">
      <c r="A1039" t="s">
        <v>1043</v>
      </c>
      <c r="B1039">
        <v>43375</v>
      </c>
      <c r="C1039" s="5">
        <f t="shared" si="32"/>
        <v>7.9473892129296123E-3</v>
      </c>
      <c r="D1039">
        <v>1224.17</v>
      </c>
      <c r="E1039" s="5">
        <f t="shared" si="33"/>
        <v>1.0041254125412602E-2</v>
      </c>
    </row>
    <row r="1040" spans="1:5" x14ac:dyDescent="0.25">
      <c r="A1040" t="s">
        <v>1044</v>
      </c>
      <c r="B1040">
        <v>43766</v>
      </c>
      <c r="C1040" s="5">
        <f t="shared" si="32"/>
        <v>9.0144092219020169E-3</v>
      </c>
      <c r="D1040">
        <v>1237.46</v>
      </c>
      <c r="E1040" s="5">
        <f t="shared" si="33"/>
        <v>1.0856335312905857E-2</v>
      </c>
    </row>
    <row r="1041" spans="1:5" x14ac:dyDescent="0.25">
      <c r="A1041" t="s">
        <v>1045</v>
      </c>
      <c r="B1041">
        <v>44304</v>
      </c>
      <c r="C1041" s="5">
        <f t="shared" si="32"/>
        <v>1.2292647260430471E-2</v>
      </c>
      <c r="D1041">
        <v>1254.55</v>
      </c>
      <c r="E1041" s="5">
        <f t="shared" si="33"/>
        <v>1.381054741163344E-2</v>
      </c>
    </row>
    <row r="1042" spans="1:5" x14ac:dyDescent="0.25">
      <c r="A1042" t="s">
        <v>1046</v>
      </c>
      <c r="B1042">
        <v>45184</v>
      </c>
      <c r="C1042" s="5">
        <f t="shared" si="32"/>
        <v>1.9862766341639582E-2</v>
      </c>
      <c r="D1042">
        <v>1252.73</v>
      </c>
      <c r="E1042" s="5">
        <f t="shared" si="33"/>
        <v>-1.4507193814514657E-3</v>
      </c>
    </row>
    <row r="1043" spans="1:5" x14ac:dyDescent="0.25">
      <c r="A1043" t="s">
        <v>1047</v>
      </c>
      <c r="B1043">
        <v>45575</v>
      </c>
      <c r="C1043" s="5">
        <f t="shared" si="32"/>
        <v>8.6535056657223788E-3</v>
      </c>
      <c r="D1043">
        <v>1258.28</v>
      </c>
      <c r="E1043" s="5">
        <f t="shared" si="33"/>
        <v>4.4303241720082976E-3</v>
      </c>
    </row>
    <row r="1044" spans="1:5" x14ac:dyDescent="0.25">
      <c r="A1044" t="s">
        <v>1048</v>
      </c>
      <c r="B1044">
        <v>46358</v>
      </c>
      <c r="C1044" s="5">
        <f t="shared" si="32"/>
        <v>1.7180471749862862E-2</v>
      </c>
      <c r="D1044">
        <v>1261.4100000000001</v>
      </c>
      <c r="E1044" s="5">
        <f t="shared" si="33"/>
        <v>2.4875226499667079E-3</v>
      </c>
    </row>
    <row r="1045" spans="1:5" x14ac:dyDescent="0.25">
      <c r="A1045" t="s">
        <v>1049</v>
      </c>
      <c r="B1045">
        <v>48901</v>
      </c>
      <c r="C1045" s="5">
        <f t="shared" si="32"/>
        <v>5.4855688338582335E-2</v>
      </c>
      <c r="D1045">
        <v>1269.98</v>
      </c>
      <c r="E1045" s="5">
        <f t="shared" si="33"/>
        <v>6.793984509398162E-3</v>
      </c>
    </row>
    <row r="1046" spans="1:5" x14ac:dyDescent="0.25">
      <c r="A1046" t="s">
        <v>1050</v>
      </c>
      <c r="B1046">
        <v>47629</v>
      </c>
      <c r="C1046" s="5">
        <f t="shared" si="32"/>
        <v>-2.6011738001267867E-2</v>
      </c>
      <c r="D1046">
        <v>1262.73</v>
      </c>
      <c r="E1046" s="5">
        <f t="shared" si="33"/>
        <v>-5.7087513189184079E-3</v>
      </c>
    </row>
    <row r="1047" spans="1:5" x14ac:dyDescent="0.25">
      <c r="A1047" t="s">
        <v>1051</v>
      </c>
      <c r="B1047">
        <v>47923</v>
      </c>
      <c r="C1047" s="5">
        <f t="shared" si="32"/>
        <v>6.1727099036301414E-3</v>
      </c>
      <c r="D1047">
        <v>1268.46</v>
      </c>
      <c r="E1047" s="5">
        <f t="shared" si="33"/>
        <v>4.5377871754056828E-3</v>
      </c>
    </row>
    <row r="1048" spans="1:5" x14ac:dyDescent="0.25">
      <c r="A1048" t="s">
        <v>1052</v>
      </c>
      <c r="B1048">
        <v>46700</v>
      </c>
      <c r="C1048" s="5">
        <f t="shared" si="32"/>
        <v>-2.5520105168708136E-2</v>
      </c>
      <c r="D1048">
        <v>1247.3499999999999</v>
      </c>
      <c r="E1048" s="5">
        <f t="shared" si="33"/>
        <v>-1.6642227583053566E-2</v>
      </c>
    </row>
    <row r="1049" spans="1:5" x14ac:dyDescent="0.25">
      <c r="A1049" t="s">
        <v>1053</v>
      </c>
      <c r="B1049">
        <v>45380</v>
      </c>
      <c r="C1049" s="5">
        <f t="shared" si="32"/>
        <v>-2.8265524625267664E-2</v>
      </c>
      <c r="D1049">
        <v>1235.49</v>
      </c>
      <c r="E1049" s="5">
        <f t="shared" si="33"/>
        <v>-9.5081572934620599E-3</v>
      </c>
    </row>
    <row r="1050" spans="1:5" x14ac:dyDescent="0.25">
      <c r="A1050" t="s">
        <v>1054</v>
      </c>
      <c r="B1050">
        <v>45722</v>
      </c>
      <c r="C1050" s="5">
        <f t="shared" si="32"/>
        <v>7.5363596297928605E-3</v>
      </c>
      <c r="D1050">
        <v>1245</v>
      </c>
      <c r="E1050" s="5">
        <f t="shared" si="33"/>
        <v>7.697350848651135E-3</v>
      </c>
    </row>
    <row r="1051" spans="1:5" x14ac:dyDescent="0.25">
      <c r="A1051" t="s">
        <v>1055</v>
      </c>
      <c r="B1051">
        <v>47482</v>
      </c>
      <c r="C1051" s="5">
        <f t="shared" si="32"/>
        <v>3.8493504221162676E-2</v>
      </c>
      <c r="D1051">
        <v>1270.51</v>
      </c>
      <c r="E1051" s="5">
        <f t="shared" si="33"/>
        <v>2.0489959839357422E-2</v>
      </c>
    </row>
    <row r="1052" spans="1:5" x14ac:dyDescent="0.25">
      <c r="A1052" t="s">
        <v>1056</v>
      </c>
      <c r="B1052">
        <v>46211</v>
      </c>
      <c r="C1052" s="5">
        <f t="shared" si="32"/>
        <v>-2.6768038414557094E-2</v>
      </c>
      <c r="D1052">
        <v>1264.26</v>
      </c>
      <c r="E1052" s="5">
        <f t="shared" si="33"/>
        <v>-4.9192843818624014E-3</v>
      </c>
    </row>
    <row r="1053" spans="1:5" x14ac:dyDescent="0.25">
      <c r="A1053" t="s">
        <v>1057</v>
      </c>
      <c r="B1053">
        <v>46309</v>
      </c>
      <c r="C1053" s="5">
        <f t="shared" si="32"/>
        <v>2.1207071909285667E-3</v>
      </c>
      <c r="D1053">
        <v>1263.78</v>
      </c>
      <c r="E1053" s="5">
        <f t="shared" si="33"/>
        <v>-3.7966873902521488E-4</v>
      </c>
    </row>
    <row r="1054" spans="1:5" x14ac:dyDescent="0.25">
      <c r="A1054" t="s">
        <v>1058</v>
      </c>
      <c r="B1054">
        <v>44891</v>
      </c>
      <c r="C1054" s="5">
        <f t="shared" si="32"/>
        <v>-3.0620397762853874E-2</v>
      </c>
      <c r="D1054">
        <v>1243.56</v>
      </c>
      <c r="E1054" s="5">
        <f t="shared" si="33"/>
        <v>-1.5999620187057896E-2</v>
      </c>
    </row>
    <row r="1055" spans="1:5" x14ac:dyDescent="0.25">
      <c r="A1055" t="s">
        <v>1059</v>
      </c>
      <c r="B1055">
        <v>44500</v>
      </c>
      <c r="C1055" s="5">
        <f t="shared" si="32"/>
        <v>-8.7099864115301514E-3</v>
      </c>
      <c r="D1055">
        <v>1242.46</v>
      </c>
      <c r="E1055" s="5">
        <f t="shared" si="33"/>
        <v>-8.8455723889471283E-4</v>
      </c>
    </row>
    <row r="1056" spans="1:5" x14ac:dyDescent="0.25">
      <c r="A1056" t="s">
        <v>1060</v>
      </c>
      <c r="B1056">
        <v>46945</v>
      </c>
      <c r="C1056" s="5">
        <f t="shared" si="32"/>
        <v>5.4943820224719102E-2</v>
      </c>
      <c r="D1056">
        <v>1260.08</v>
      </c>
      <c r="E1056" s="5">
        <f t="shared" si="33"/>
        <v>1.418154306778479E-2</v>
      </c>
    </row>
    <row r="1057" spans="1:5" x14ac:dyDescent="0.25">
      <c r="A1057" t="s">
        <v>1061</v>
      </c>
      <c r="B1057">
        <v>47434</v>
      </c>
      <c r="C1057" s="5">
        <f t="shared" si="32"/>
        <v>1.041644477580147E-2</v>
      </c>
      <c r="D1057">
        <v>1276.42</v>
      </c>
      <c r="E1057" s="5">
        <f t="shared" si="33"/>
        <v>1.2967430639324604E-2</v>
      </c>
    </row>
    <row r="1058" spans="1:5" x14ac:dyDescent="0.25">
      <c r="A1058" t="s">
        <v>1062</v>
      </c>
      <c r="B1058">
        <v>48020</v>
      </c>
      <c r="C1058" s="5">
        <f t="shared" si="32"/>
        <v>1.2354007673820467E-2</v>
      </c>
      <c r="D1058">
        <v>1281.8</v>
      </c>
      <c r="E1058" s="5">
        <f t="shared" si="33"/>
        <v>4.2149135864369735E-3</v>
      </c>
    </row>
    <row r="1059" spans="1:5" x14ac:dyDescent="0.25">
      <c r="A1059" t="s">
        <v>1063</v>
      </c>
      <c r="B1059">
        <v>47238</v>
      </c>
      <c r="C1059" s="5">
        <f t="shared" si="32"/>
        <v>-1.628488129945856E-2</v>
      </c>
      <c r="D1059">
        <v>1267.8599999999999</v>
      </c>
      <c r="E1059" s="5">
        <f t="shared" si="33"/>
        <v>-1.087533156498678E-2</v>
      </c>
    </row>
    <row r="1060" spans="1:5" x14ac:dyDescent="0.25">
      <c r="A1060" t="s">
        <v>1064</v>
      </c>
      <c r="B1060">
        <v>47580</v>
      </c>
      <c r="C1060" s="5">
        <f t="shared" si="32"/>
        <v>7.239933951479741E-3</v>
      </c>
      <c r="D1060">
        <v>1282.21</v>
      </c>
      <c r="E1060" s="5">
        <f t="shared" si="33"/>
        <v>1.1318284353162129E-2</v>
      </c>
    </row>
    <row r="1061" spans="1:5" x14ac:dyDescent="0.25">
      <c r="A1061" t="s">
        <v>1065</v>
      </c>
      <c r="B1061">
        <v>49585</v>
      </c>
      <c r="C1061" s="5">
        <f t="shared" si="32"/>
        <v>4.2139554434636399E-2</v>
      </c>
      <c r="D1061">
        <v>1283.0899999999999</v>
      </c>
      <c r="E1061" s="5">
        <f t="shared" si="33"/>
        <v>6.8631503419867401E-4</v>
      </c>
    </row>
    <row r="1062" spans="1:5" x14ac:dyDescent="0.25">
      <c r="A1062" t="s">
        <v>1066</v>
      </c>
      <c r="B1062">
        <v>49879</v>
      </c>
      <c r="C1062" s="5">
        <f t="shared" si="32"/>
        <v>5.9292124634466072E-3</v>
      </c>
      <c r="D1062">
        <v>1290.18</v>
      </c>
      <c r="E1062" s="5">
        <f t="shared" si="33"/>
        <v>5.525723059177568E-3</v>
      </c>
    </row>
    <row r="1063" spans="1:5" x14ac:dyDescent="0.25">
      <c r="A1063" t="s">
        <v>1067</v>
      </c>
      <c r="B1063">
        <v>49976</v>
      </c>
      <c r="C1063" s="5">
        <f t="shared" si="32"/>
        <v>1.9447061889773251E-3</v>
      </c>
      <c r="D1063">
        <v>1284.0899999999999</v>
      </c>
      <c r="E1063" s="5">
        <f t="shared" si="33"/>
        <v>-4.7202715900108091E-3</v>
      </c>
    </row>
    <row r="1064" spans="1:5" x14ac:dyDescent="0.25">
      <c r="A1064" t="s">
        <v>1068</v>
      </c>
      <c r="B1064">
        <v>50270</v>
      </c>
      <c r="C1064" s="5">
        <f t="shared" si="32"/>
        <v>5.8828237554025935E-3</v>
      </c>
      <c r="D1064">
        <v>1281.52</v>
      </c>
      <c r="E1064" s="5">
        <f t="shared" si="33"/>
        <v>-2.0014173461361247E-3</v>
      </c>
    </row>
    <row r="1065" spans="1:5" x14ac:dyDescent="0.25">
      <c r="A1065" t="s">
        <v>1069</v>
      </c>
      <c r="B1065">
        <v>50465</v>
      </c>
      <c r="C1065" s="5">
        <f t="shared" si="32"/>
        <v>3.8790531131887808E-3</v>
      </c>
      <c r="D1065">
        <v>1287.04</v>
      </c>
      <c r="E1065" s="5">
        <f t="shared" si="33"/>
        <v>4.3073849803358369E-3</v>
      </c>
    </row>
    <row r="1066" spans="1:5" x14ac:dyDescent="0.25">
      <c r="A1066" t="s">
        <v>1070</v>
      </c>
      <c r="B1066">
        <v>49096</v>
      </c>
      <c r="C1066" s="5">
        <f t="shared" si="32"/>
        <v>-2.7127712275834735E-2</v>
      </c>
      <c r="D1066">
        <v>1271.47</v>
      </c>
      <c r="E1066" s="5">
        <f t="shared" si="33"/>
        <v>-1.209752610641467E-2</v>
      </c>
    </row>
    <row r="1067" spans="1:5" x14ac:dyDescent="0.25">
      <c r="A1067" t="s">
        <v>1071</v>
      </c>
      <c r="B1067">
        <v>49585</v>
      </c>
      <c r="C1067" s="5">
        <f t="shared" si="32"/>
        <v>9.9600782141111288E-3</v>
      </c>
      <c r="D1067">
        <v>1268.25</v>
      </c>
      <c r="E1067" s="5">
        <f t="shared" si="33"/>
        <v>-2.5325017499430009E-3</v>
      </c>
    </row>
    <row r="1068" spans="1:5" x14ac:dyDescent="0.25">
      <c r="A1068" t="s">
        <v>1072</v>
      </c>
      <c r="B1068">
        <v>49879</v>
      </c>
      <c r="C1068" s="5">
        <f t="shared" si="32"/>
        <v>5.9292124634466072E-3</v>
      </c>
      <c r="D1068">
        <v>1255.1099999999999</v>
      </c>
      <c r="E1068" s="5">
        <f t="shared" si="33"/>
        <v>-1.0360733293909009E-2</v>
      </c>
    </row>
    <row r="1069" spans="1:5" x14ac:dyDescent="0.25">
      <c r="A1069" t="s">
        <v>1073</v>
      </c>
      <c r="B1069">
        <v>48901</v>
      </c>
      <c r="C1069" s="5">
        <f t="shared" si="32"/>
        <v>-1.9607450029070349E-2</v>
      </c>
      <c r="D1069">
        <v>1250.3499999999999</v>
      </c>
      <c r="E1069" s="5">
        <f t="shared" si="33"/>
        <v>-3.7924962752268654E-3</v>
      </c>
    </row>
    <row r="1070" spans="1:5" x14ac:dyDescent="0.25">
      <c r="A1070" t="s">
        <v>1074</v>
      </c>
      <c r="B1070">
        <v>51639</v>
      </c>
      <c r="C1070" s="5">
        <f t="shared" si="32"/>
        <v>5.5990675037320303E-2</v>
      </c>
      <c r="D1070">
        <v>1262.82</v>
      </c>
      <c r="E1070" s="5">
        <f t="shared" si="33"/>
        <v>9.9732075018994903E-3</v>
      </c>
    </row>
    <row r="1071" spans="1:5" x14ac:dyDescent="0.25">
      <c r="A1071" t="s">
        <v>1075</v>
      </c>
      <c r="B1071">
        <v>50857</v>
      </c>
      <c r="C1071" s="5">
        <f t="shared" si="32"/>
        <v>-1.5143593020778869E-2</v>
      </c>
      <c r="D1071">
        <v>1258.56</v>
      </c>
      <c r="E1071" s="5">
        <f t="shared" si="33"/>
        <v>-3.3734023851380176E-3</v>
      </c>
    </row>
    <row r="1072" spans="1:5" x14ac:dyDescent="0.25">
      <c r="A1072" t="s">
        <v>1076</v>
      </c>
      <c r="B1072">
        <v>51150</v>
      </c>
      <c r="C1072" s="5">
        <f t="shared" si="32"/>
        <v>5.7612521383487028E-3</v>
      </c>
      <c r="D1072">
        <v>1258.2</v>
      </c>
      <c r="E1072" s="5">
        <f t="shared" si="33"/>
        <v>-2.8604118993127064E-4</v>
      </c>
    </row>
    <row r="1073" spans="1:5" x14ac:dyDescent="0.25">
      <c r="A1073" t="s">
        <v>1077</v>
      </c>
      <c r="B1073">
        <v>50857</v>
      </c>
      <c r="C1073" s="5">
        <f t="shared" si="32"/>
        <v>-5.7282502443792771E-3</v>
      </c>
      <c r="D1073">
        <v>1276.5999999999999</v>
      </c>
      <c r="E1073" s="5">
        <f t="shared" si="33"/>
        <v>1.462406612621194E-2</v>
      </c>
    </row>
    <row r="1074" spans="1:5" x14ac:dyDescent="0.25">
      <c r="A1074" t="s">
        <v>1078</v>
      </c>
      <c r="B1074">
        <v>48803</v>
      </c>
      <c r="C1074" s="5">
        <f t="shared" si="32"/>
        <v>-4.0387753898185108E-2</v>
      </c>
      <c r="D1074">
        <v>1216.6099999999999</v>
      </c>
      <c r="E1074" s="5">
        <f t="shared" si="33"/>
        <v>-4.6992010026633252E-2</v>
      </c>
    </row>
    <row r="1075" spans="1:5" x14ac:dyDescent="0.25">
      <c r="A1075" t="s">
        <v>1079</v>
      </c>
      <c r="B1075">
        <v>48803</v>
      </c>
      <c r="C1075" s="5">
        <f t="shared" si="32"/>
        <v>0</v>
      </c>
      <c r="D1075">
        <v>1215.68</v>
      </c>
      <c r="E1075" s="5">
        <f t="shared" si="33"/>
        <v>-7.6441916472808568E-4</v>
      </c>
    </row>
    <row r="1076" spans="1:5" x14ac:dyDescent="0.25">
      <c r="A1076" t="s">
        <v>1080</v>
      </c>
      <c r="B1076">
        <v>48314</v>
      </c>
      <c r="C1076" s="5">
        <f t="shared" si="32"/>
        <v>-1.0019875827305699E-2</v>
      </c>
      <c r="D1076">
        <v>1193.01</v>
      </c>
      <c r="E1076" s="5">
        <f t="shared" si="33"/>
        <v>-1.8647999473545729E-2</v>
      </c>
    </row>
    <row r="1077" spans="1:5" x14ac:dyDescent="0.25">
      <c r="A1077" t="s">
        <v>1081</v>
      </c>
      <c r="B1077">
        <v>47140</v>
      </c>
      <c r="C1077" s="5">
        <f t="shared" si="32"/>
        <v>-2.4299374922382745E-2</v>
      </c>
      <c r="D1077">
        <v>1174.8499999999999</v>
      </c>
      <c r="E1077" s="5">
        <f t="shared" si="33"/>
        <v>-1.5222001492024444E-2</v>
      </c>
    </row>
    <row r="1078" spans="1:5" x14ac:dyDescent="0.25">
      <c r="A1078" t="s">
        <v>1082</v>
      </c>
      <c r="B1078">
        <v>47531</v>
      </c>
      <c r="C1078" s="5">
        <f t="shared" si="32"/>
        <v>8.2944420873992362E-3</v>
      </c>
      <c r="D1078">
        <v>1190.22</v>
      </c>
      <c r="E1078" s="5">
        <f t="shared" si="33"/>
        <v>1.3082521172915793E-2</v>
      </c>
    </row>
    <row r="1079" spans="1:5" x14ac:dyDescent="0.25">
      <c r="A1079" t="s">
        <v>1083</v>
      </c>
      <c r="B1079">
        <v>48705</v>
      </c>
      <c r="C1079" s="5">
        <f t="shared" si="32"/>
        <v>2.4699669689255434E-2</v>
      </c>
      <c r="D1079">
        <v>1177.4000000000001</v>
      </c>
      <c r="E1079" s="5">
        <f t="shared" si="33"/>
        <v>-1.077111794458162E-2</v>
      </c>
    </row>
    <row r="1080" spans="1:5" x14ac:dyDescent="0.25">
      <c r="A1080" t="s">
        <v>1084</v>
      </c>
      <c r="B1080">
        <v>51150</v>
      </c>
      <c r="C1080" s="5">
        <f t="shared" si="32"/>
        <v>5.0200184785956267E-2</v>
      </c>
      <c r="D1080">
        <v>1205.6099999999999</v>
      </c>
      <c r="E1080" s="5">
        <f t="shared" si="33"/>
        <v>2.3959571938168684E-2</v>
      </c>
    </row>
    <row r="1081" spans="1:5" x14ac:dyDescent="0.25">
      <c r="A1081" t="s">
        <v>1085</v>
      </c>
      <c r="B1081">
        <v>52617</v>
      </c>
      <c r="C1081" s="5">
        <f t="shared" si="32"/>
        <v>2.8680351906158356E-2</v>
      </c>
      <c r="D1081">
        <v>1204.97</v>
      </c>
      <c r="E1081" s="5">
        <f t="shared" si="33"/>
        <v>-5.3085160209344047E-4</v>
      </c>
    </row>
    <row r="1082" spans="1:5" x14ac:dyDescent="0.25">
      <c r="A1082" t="s">
        <v>1086</v>
      </c>
      <c r="B1082">
        <v>53693</v>
      </c>
      <c r="C1082" s="5">
        <f t="shared" si="32"/>
        <v>2.044966455708231E-2</v>
      </c>
      <c r="D1082">
        <v>1209.52</v>
      </c>
      <c r="E1082" s="5">
        <f t="shared" si="33"/>
        <v>3.776027618944832E-3</v>
      </c>
    </row>
    <row r="1083" spans="1:5" x14ac:dyDescent="0.25">
      <c r="A1083" t="s">
        <v>1087</v>
      </c>
      <c r="B1083">
        <v>54377</v>
      </c>
      <c r="C1083" s="5">
        <f t="shared" si="32"/>
        <v>1.2739090756709441E-2</v>
      </c>
      <c r="D1083">
        <v>1216.3599999999999</v>
      </c>
      <c r="E1083" s="5">
        <f t="shared" si="33"/>
        <v>5.6551359216878748E-3</v>
      </c>
    </row>
    <row r="1084" spans="1:5" x14ac:dyDescent="0.25">
      <c r="A1084" t="s">
        <v>1088</v>
      </c>
      <c r="B1084">
        <v>54475</v>
      </c>
      <c r="C1084" s="5">
        <f t="shared" si="32"/>
        <v>1.8022325615609542E-3</v>
      </c>
      <c r="D1084">
        <v>1221.03</v>
      </c>
      <c r="E1084" s="5">
        <f t="shared" si="33"/>
        <v>3.8393238843763963E-3</v>
      </c>
    </row>
    <row r="1085" spans="1:5" x14ac:dyDescent="0.25">
      <c r="A1085" t="s">
        <v>1089</v>
      </c>
      <c r="B1085">
        <v>57018</v>
      </c>
      <c r="C1085" s="5">
        <f t="shared" si="32"/>
        <v>4.6681964203763193E-2</v>
      </c>
      <c r="D1085">
        <v>1241.58</v>
      </c>
      <c r="E1085" s="5">
        <f t="shared" si="33"/>
        <v>1.6830053315643315E-2</v>
      </c>
    </row>
    <row r="1086" spans="1:5" x14ac:dyDescent="0.25">
      <c r="A1086" t="s">
        <v>1090</v>
      </c>
      <c r="B1086">
        <v>57996</v>
      </c>
      <c r="C1086" s="5">
        <f t="shared" si="32"/>
        <v>1.7152478164790066E-2</v>
      </c>
      <c r="D1086">
        <v>1248.6300000000001</v>
      </c>
      <c r="E1086" s="5">
        <f t="shared" si="33"/>
        <v>5.6782486831297076E-3</v>
      </c>
    </row>
    <row r="1087" spans="1:5" x14ac:dyDescent="0.25">
      <c r="A1087" t="s">
        <v>1091</v>
      </c>
      <c r="B1087">
        <v>57801</v>
      </c>
      <c r="C1087" s="5">
        <f t="shared" si="32"/>
        <v>-3.362300848334368E-3</v>
      </c>
      <c r="D1087">
        <v>1250.46</v>
      </c>
      <c r="E1087" s="5">
        <f t="shared" si="33"/>
        <v>1.4656063045096843E-3</v>
      </c>
    </row>
    <row r="1088" spans="1:5" x14ac:dyDescent="0.25">
      <c r="A1088" t="s">
        <v>1092</v>
      </c>
      <c r="B1088">
        <v>57605</v>
      </c>
      <c r="C1088" s="5">
        <f t="shared" si="32"/>
        <v>-3.3909447933426757E-3</v>
      </c>
      <c r="D1088">
        <v>1248.6400000000001</v>
      </c>
      <c r="E1088" s="5">
        <f t="shared" si="33"/>
        <v>-1.4554643891047585E-3</v>
      </c>
    </row>
    <row r="1089" spans="1:5" x14ac:dyDescent="0.25">
      <c r="A1089" t="s">
        <v>1093</v>
      </c>
      <c r="B1089">
        <v>57605</v>
      </c>
      <c r="C1089" s="5">
        <f t="shared" si="32"/>
        <v>0</v>
      </c>
      <c r="D1089">
        <v>1244.7</v>
      </c>
      <c r="E1089" s="5">
        <f t="shared" si="33"/>
        <v>-3.1554331112250561E-3</v>
      </c>
    </row>
    <row r="1090" spans="1:5" x14ac:dyDescent="0.25">
      <c r="A1090" t="s">
        <v>1094</v>
      </c>
      <c r="B1090">
        <v>57018</v>
      </c>
      <c r="C1090" s="5">
        <f t="shared" si="32"/>
        <v>-1.0190087666001215E-2</v>
      </c>
      <c r="D1090">
        <v>1240.18</v>
      </c>
      <c r="E1090" s="5">
        <f t="shared" si="33"/>
        <v>-3.6313971238049183E-3</v>
      </c>
    </row>
    <row r="1091" spans="1:5" x14ac:dyDescent="0.25">
      <c r="A1091" t="s">
        <v>1095</v>
      </c>
      <c r="B1091">
        <v>58779</v>
      </c>
      <c r="C1091" s="5">
        <f t="shared" si="32"/>
        <v>3.0884983689361253E-2</v>
      </c>
      <c r="D1091">
        <v>1243.28</v>
      </c>
      <c r="E1091" s="5">
        <f t="shared" si="33"/>
        <v>2.4996371494459746E-3</v>
      </c>
    </row>
    <row r="1092" spans="1:5" x14ac:dyDescent="0.25">
      <c r="A1092" t="s">
        <v>1096</v>
      </c>
      <c r="B1092">
        <v>59463</v>
      </c>
      <c r="C1092" s="5">
        <f t="shared" si="32"/>
        <v>1.1636809064461798E-2</v>
      </c>
      <c r="D1092">
        <v>1254.3900000000001</v>
      </c>
      <c r="E1092" s="5">
        <f t="shared" si="33"/>
        <v>8.9360401518564832E-3</v>
      </c>
    </row>
    <row r="1093" spans="1:5" x14ac:dyDescent="0.25">
      <c r="A1093" t="s">
        <v>1097</v>
      </c>
      <c r="B1093">
        <v>58583</v>
      </c>
      <c r="C1093" s="5">
        <f t="shared" si="32"/>
        <v>-1.4799118779745388E-2</v>
      </c>
      <c r="D1093">
        <v>1268.78</v>
      </c>
      <c r="E1093" s="5">
        <f t="shared" si="33"/>
        <v>1.1471711349739611E-2</v>
      </c>
    </row>
    <row r="1094" spans="1:5" x14ac:dyDescent="0.25">
      <c r="A1094" t="s">
        <v>1098</v>
      </c>
      <c r="B1094">
        <v>58290</v>
      </c>
      <c r="C1094" s="5">
        <f t="shared" ref="C1094:C1157" si="34">(B1094-B1093)/B1093</f>
        <v>-5.0014509328644829E-3</v>
      </c>
      <c r="D1094">
        <v>1273.1099999999999</v>
      </c>
      <c r="E1094" s="5">
        <f t="shared" ref="E1094:E1157" si="35">(D1094-D1093)/D1093</f>
        <v>3.412727186746266E-3</v>
      </c>
    </row>
    <row r="1095" spans="1:5" x14ac:dyDescent="0.25">
      <c r="A1095" t="s">
        <v>1099</v>
      </c>
      <c r="B1095">
        <v>58681</v>
      </c>
      <c r="C1095" s="5">
        <f t="shared" si="34"/>
        <v>6.7078401097958483E-3</v>
      </c>
      <c r="D1095">
        <v>1277.58</v>
      </c>
      <c r="E1095" s="5">
        <f t="shared" si="35"/>
        <v>3.5110870231166418E-3</v>
      </c>
    </row>
    <row r="1096" spans="1:5" x14ac:dyDescent="0.25">
      <c r="A1096" t="s">
        <v>1100</v>
      </c>
      <c r="B1096">
        <v>59170</v>
      </c>
      <c r="C1096" s="5">
        <f t="shared" si="34"/>
        <v>8.3331913225745975E-3</v>
      </c>
      <c r="D1096">
        <v>1277.1400000000001</v>
      </c>
      <c r="E1096" s="5">
        <f t="shared" si="35"/>
        <v>-3.4440113339268555E-4</v>
      </c>
    </row>
    <row r="1097" spans="1:5" x14ac:dyDescent="0.25">
      <c r="A1097" t="s">
        <v>1101</v>
      </c>
      <c r="B1097">
        <v>59659</v>
      </c>
      <c r="C1097" s="5">
        <f t="shared" si="34"/>
        <v>8.2643231367246911E-3</v>
      </c>
      <c r="D1097">
        <v>1266.9100000000001</v>
      </c>
      <c r="E1097" s="5">
        <f t="shared" si="35"/>
        <v>-8.0100850337472933E-3</v>
      </c>
    </row>
    <row r="1098" spans="1:5" x14ac:dyDescent="0.25">
      <c r="A1098" t="s">
        <v>1102</v>
      </c>
      <c r="B1098">
        <v>60637</v>
      </c>
      <c r="C1098" s="5">
        <f t="shared" si="34"/>
        <v>1.6393167837208133E-2</v>
      </c>
      <c r="D1098">
        <v>1281.03</v>
      </c>
      <c r="E1098" s="5">
        <f t="shared" si="35"/>
        <v>1.1145227364216788E-2</v>
      </c>
    </row>
    <row r="1099" spans="1:5" x14ac:dyDescent="0.25">
      <c r="A1099" t="s">
        <v>1103</v>
      </c>
      <c r="B1099">
        <v>59170</v>
      </c>
      <c r="C1099" s="5">
        <f t="shared" si="34"/>
        <v>-2.4193149397232713E-2</v>
      </c>
      <c r="D1099">
        <v>1261.93</v>
      </c>
      <c r="E1099" s="5">
        <f t="shared" si="35"/>
        <v>-1.4909877208183969E-2</v>
      </c>
    </row>
    <row r="1100" spans="1:5" x14ac:dyDescent="0.25">
      <c r="A1100" t="s">
        <v>1104</v>
      </c>
      <c r="B1100">
        <v>58681</v>
      </c>
      <c r="C1100" s="5">
        <f t="shared" si="34"/>
        <v>-8.2643231367246911E-3</v>
      </c>
      <c r="D1100">
        <v>1267.68</v>
      </c>
      <c r="E1100" s="5">
        <f t="shared" si="35"/>
        <v>4.5565126433320391E-3</v>
      </c>
    </row>
    <row r="1101" spans="1:5" x14ac:dyDescent="0.25">
      <c r="A1101" t="s">
        <v>1105</v>
      </c>
      <c r="B1101">
        <v>60148</v>
      </c>
      <c r="C1101" s="5">
        <f t="shared" si="34"/>
        <v>2.4999573967723794E-2</v>
      </c>
      <c r="D1101">
        <v>1281.73</v>
      </c>
      <c r="E1101" s="5">
        <f t="shared" si="35"/>
        <v>1.1083238672220082E-2</v>
      </c>
    </row>
    <row r="1102" spans="1:5" x14ac:dyDescent="0.25">
      <c r="A1102" t="s">
        <v>1106</v>
      </c>
      <c r="B1102">
        <v>59170</v>
      </c>
      <c r="C1102" s="5">
        <f t="shared" si="34"/>
        <v>-1.6259892265744497E-2</v>
      </c>
      <c r="D1102">
        <v>1272.6400000000001</v>
      </c>
      <c r="E1102" s="5">
        <f t="shared" si="35"/>
        <v>-7.0919772494986606E-3</v>
      </c>
    </row>
    <row r="1103" spans="1:5" x14ac:dyDescent="0.25">
      <c r="A1103" t="s">
        <v>1107</v>
      </c>
      <c r="B1103">
        <v>61419</v>
      </c>
      <c r="C1103" s="5">
        <f t="shared" si="34"/>
        <v>3.8009126246408655E-2</v>
      </c>
      <c r="D1103">
        <v>1266.32</v>
      </c>
      <c r="E1103" s="5">
        <f t="shared" si="35"/>
        <v>-4.966054815187455E-3</v>
      </c>
    </row>
    <row r="1104" spans="1:5" x14ac:dyDescent="0.25">
      <c r="A1104" t="s">
        <v>1108</v>
      </c>
      <c r="B1104">
        <v>62202</v>
      </c>
      <c r="C1104" s="5">
        <f t="shared" si="34"/>
        <v>1.274849802178479E-2</v>
      </c>
      <c r="D1104">
        <v>1261.72</v>
      </c>
      <c r="E1104" s="5">
        <f t="shared" si="35"/>
        <v>-3.6325731252763198E-3</v>
      </c>
    </row>
    <row r="1105" spans="1:5" x14ac:dyDescent="0.25">
      <c r="A1105" t="s">
        <v>1109</v>
      </c>
      <c r="B1105">
        <v>62593</v>
      </c>
      <c r="C1105" s="5">
        <f t="shared" si="34"/>
        <v>6.2859715121700264E-3</v>
      </c>
      <c r="D1105">
        <v>1280</v>
      </c>
      <c r="E1105" s="5">
        <f t="shared" si="35"/>
        <v>1.4488159021018904E-2</v>
      </c>
    </row>
    <row r="1106" spans="1:5" x14ac:dyDescent="0.25">
      <c r="A1106" t="s">
        <v>1110</v>
      </c>
      <c r="B1106">
        <v>62397</v>
      </c>
      <c r="C1106" s="5">
        <f t="shared" si="34"/>
        <v>-3.1313405652389245E-3</v>
      </c>
      <c r="D1106">
        <v>1283.52</v>
      </c>
      <c r="E1106" s="5">
        <f t="shared" si="35"/>
        <v>2.749999999999986E-3</v>
      </c>
    </row>
    <row r="1107" spans="1:5" x14ac:dyDescent="0.25">
      <c r="A1107" t="s">
        <v>1111</v>
      </c>
      <c r="B1107">
        <v>60637</v>
      </c>
      <c r="C1107" s="5">
        <f t="shared" si="34"/>
        <v>-2.8206484286103499E-2</v>
      </c>
      <c r="D1107">
        <v>1284.3499999999999</v>
      </c>
      <c r="E1107" s="5">
        <f t="shared" si="35"/>
        <v>6.4665918723504675E-4</v>
      </c>
    </row>
    <row r="1108" spans="1:5" x14ac:dyDescent="0.25">
      <c r="A1108" t="s">
        <v>1112</v>
      </c>
      <c r="B1108">
        <v>60539</v>
      </c>
      <c r="C1108" s="5">
        <f t="shared" si="34"/>
        <v>-1.6161749426917558E-3</v>
      </c>
      <c r="D1108">
        <v>1283.56</v>
      </c>
      <c r="E1108" s="5">
        <f t="shared" si="35"/>
        <v>-6.1509713084436767E-4</v>
      </c>
    </row>
    <row r="1109" spans="1:5" x14ac:dyDescent="0.25">
      <c r="A1109" t="s">
        <v>1113</v>
      </c>
      <c r="B1109">
        <v>60735</v>
      </c>
      <c r="C1109" s="5">
        <f t="shared" si="34"/>
        <v>3.2375823849089018E-3</v>
      </c>
      <c r="D1109">
        <v>1287.58</v>
      </c>
      <c r="E1109" s="5">
        <f t="shared" si="35"/>
        <v>3.1319143631773987E-3</v>
      </c>
    </row>
    <row r="1110" spans="1:5" x14ac:dyDescent="0.25">
      <c r="A1110" t="s">
        <v>1114</v>
      </c>
      <c r="B1110">
        <v>61615</v>
      </c>
      <c r="C1110" s="5">
        <f t="shared" si="34"/>
        <v>1.448917428171565E-2</v>
      </c>
      <c r="D1110">
        <v>1290.67</v>
      </c>
      <c r="E1110" s="5">
        <f t="shared" si="35"/>
        <v>2.3998508830520402E-3</v>
      </c>
    </row>
    <row r="1111" spans="1:5" x14ac:dyDescent="0.25">
      <c r="A1111" t="s">
        <v>1115</v>
      </c>
      <c r="B1111">
        <v>60930</v>
      </c>
      <c r="C1111" s="5">
        <f t="shared" si="34"/>
        <v>-1.1117422705510022E-2</v>
      </c>
      <c r="D1111">
        <v>1284.4100000000001</v>
      </c>
      <c r="E1111" s="5">
        <f t="shared" si="35"/>
        <v>-4.8501940852425408E-3</v>
      </c>
    </row>
    <row r="1112" spans="1:5" x14ac:dyDescent="0.25">
      <c r="A1112" t="s">
        <v>1116</v>
      </c>
      <c r="B1112">
        <v>62006</v>
      </c>
      <c r="C1112" s="5">
        <f t="shared" si="34"/>
        <v>1.765960938782209E-2</v>
      </c>
      <c r="D1112">
        <v>1300.19</v>
      </c>
      <c r="E1112" s="5">
        <f t="shared" si="35"/>
        <v>1.2285796591431064E-2</v>
      </c>
    </row>
    <row r="1113" spans="1:5" x14ac:dyDescent="0.25">
      <c r="A1113" t="s">
        <v>1117</v>
      </c>
      <c r="B1113">
        <v>62593</v>
      </c>
      <c r="C1113" s="5">
        <f t="shared" si="34"/>
        <v>9.4668257910524786E-3</v>
      </c>
      <c r="D1113">
        <v>1301.51</v>
      </c>
      <c r="E1113" s="5">
        <f t="shared" si="35"/>
        <v>1.0152362347041095E-3</v>
      </c>
    </row>
    <row r="1114" spans="1:5" x14ac:dyDescent="0.25">
      <c r="A1114" t="s">
        <v>1118</v>
      </c>
      <c r="B1114">
        <v>61615</v>
      </c>
      <c r="C1114" s="5">
        <f t="shared" si="34"/>
        <v>-1.5624750371447286E-2</v>
      </c>
      <c r="D1114">
        <v>1279.9100000000001</v>
      </c>
      <c r="E1114" s="5">
        <f t="shared" si="35"/>
        <v>-1.6596107598097525E-2</v>
      </c>
    </row>
    <row r="1115" spans="1:5" x14ac:dyDescent="0.25">
      <c r="A1115" t="s">
        <v>1119</v>
      </c>
      <c r="B1115">
        <v>60637</v>
      </c>
      <c r="C1115" s="5">
        <f t="shared" si="34"/>
        <v>-1.587275825691796E-2</v>
      </c>
      <c r="D1115">
        <v>1274.77</v>
      </c>
      <c r="E1115" s="5">
        <f t="shared" si="35"/>
        <v>-4.015907368486925E-3</v>
      </c>
    </row>
    <row r="1116" spans="1:5" x14ac:dyDescent="0.25">
      <c r="A1116" t="s">
        <v>1120</v>
      </c>
      <c r="B1116">
        <v>60832</v>
      </c>
      <c r="C1116" s="5">
        <f t="shared" si="34"/>
        <v>3.2158583043356368E-3</v>
      </c>
      <c r="D1116">
        <v>1279.5</v>
      </c>
      <c r="E1116" s="5">
        <f t="shared" si="35"/>
        <v>3.7104732618433271E-3</v>
      </c>
    </row>
    <row r="1117" spans="1:5" x14ac:dyDescent="0.25">
      <c r="A1117" t="s">
        <v>1121</v>
      </c>
      <c r="B1117">
        <v>61908</v>
      </c>
      <c r="C1117" s="5">
        <f t="shared" si="34"/>
        <v>1.7688058916359811E-2</v>
      </c>
      <c r="D1117">
        <v>1279.79</v>
      </c>
      <c r="E1117" s="5">
        <f t="shared" si="35"/>
        <v>2.2665103556073748E-4</v>
      </c>
    </row>
    <row r="1118" spans="1:5" x14ac:dyDescent="0.25">
      <c r="A1118" t="s">
        <v>1122</v>
      </c>
      <c r="B1118">
        <v>62104</v>
      </c>
      <c r="C1118" s="5">
        <f t="shared" si="34"/>
        <v>3.1659882406151062E-3</v>
      </c>
      <c r="D1118">
        <v>1282.3</v>
      </c>
      <c r="E1118" s="5">
        <f t="shared" si="35"/>
        <v>1.9612592690988295E-3</v>
      </c>
    </row>
    <row r="1119" spans="1:5" x14ac:dyDescent="0.25">
      <c r="A1119" t="s">
        <v>1123</v>
      </c>
      <c r="B1119">
        <v>62104</v>
      </c>
      <c r="C1119" s="5">
        <f t="shared" si="34"/>
        <v>0</v>
      </c>
      <c r="D1119">
        <v>1282.02</v>
      </c>
      <c r="E1119" s="5">
        <f t="shared" si="35"/>
        <v>-2.1835763861808682E-4</v>
      </c>
    </row>
    <row r="1120" spans="1:5" x14ac:dyDescent="0.25">
      <c r="A1120" t="s">
        <v>1124</v>
      </c>
      <c r="B1120">
        <v>60637</v>
      </c>
      <c r="C1120" s="5">
        <f t="shared" si="34"/>
        <v>-2.36216668813603E-2</v>
      </c>
      <c r="D1120">
        <v>1254.1199999999999</v>
      </c>
      <c r="E1120" s="5">
        <f t="shared" si="35"/>
        <v>-2.1762531005756612E-2</v>
      </c>
    </row>
    <row r="1121" spans="1:5" x14ac:dyDescent="0.25">
      <c r="A1121" t="s">
        <v>1125</v>
      </c>
      <c r="B1121">
        <v>60637</v>
      </c>
      <c r="C1121" s="5">
        <f t="shared" si="34"/>
        <v>0</v>
      </c>
      <c r="D1121">
        <v>1256.56</v>
      </c>
      <c r="E1121" s="5">
        <f t="shared" si="35"/>
        <v>1.9455873441138445E-3</v>
      </c>
    </row>
    <row r="1122" spans="1:5" x14ac:dyDescent="0.25">
      <c r="A1122" t="s">
        <v>1126</v>
      </c>
      <c r="B1122">
        <v>61224</v>
      </c>
      <c r="C1122" s="5">
        <f t="shared" si="34"/>
        <v>9.6805580751026608E-3</v>
      </c>
      <c r="D1122">
        <v>1261.24</v>
      </c>
      <c r="E1122" s="5">
        <f t="shared" si="35"/>
        <v>3.7244540650665818E-3</v>
      </c>
    </row>
    <row r="1123" spans="1:5" x14ac:dyDescent="0.25">
      <c r="A1123" t="s">
        <v>1127</v>
      </c>
      <c r="B1123">
        <v>62006</v>
      </c>
      <c r="C1123" s="5">
        <f t="shared" si="34"/>
        <v>1.2772768848817458E-2</v>
      </c>
      <c r="D1123">
        <v>1259.0899999999999</v>
      </c>
      <c r="E1123" s="5">
        <f t="shared" si="35"/>
        <v>-1.7046715930354975E-3</v>
      </c>
    </row>
    <row r="1124" spans="1:5" x14ac:dyDescent="0.25">
      <c r="A1124" t="s">
        <v>1128</v>
      </c>
      <c r="B1124">
        <v>61514</v>
      </c>
      <c r="C1124" s="5">
        <f t="shared" si="34"/>
        <v>-7.9347159952262679E-3</v>
      </c>
      <c r="D1124">
        <v>1245.32</v>
      </c>
      <c r="E1124" s="5">
        <f t="shared" si="35"/>
        <v>-1.0936469990231026E-2</v>
      </c>
    </row>
    <row r="1125" spans="1:5" x14ac:dyDescent="0.25">
      <c r="A1125" t="s">
        <v>1129</v>
      </c>
      <c r="B1125">
        <v>64866</v>
      </c>
      <c r="C1125" s="5">
        <f t="shared" si="34"/>
        <v>5.4491660435022925E-2</v>
      </c>
      <c r="D1125">
        <v>1254.56</v>
      </c>
      <c r="E1125" s="5">
        <f t="shared" si="35"/>
        <v>7.4197796550284339E-3</v>
      </c>
    </row>
    <row r="1126" spans="1:5" x14ac:dyDescent="0.25">
      <c r="A1126" t="s">
        <v>1130</v>
      </c>
      <c r="B1126">
        <v>65063</v>
      </c>
      <c r="C1126" s="5">
        <f t="shared" si="34"/>
        <v>3.0370301853050903E-3</v>
      </c>
      <c r="D1126">
        <v>1269.79</v>
      </c>
      <c r="E1126" s="5">
        <f t="shared" si="35"/>
        <v>1.2139714322152802E-2</v>
      </c>
    </row>
    <row r="1127" spans="1:5" x14ac:dyDescent="0.25">
      <c r="A1127" t="s">
        <v>1131</v>
      </c>
      <c r="B1127">
        <v>64569.999999999993</v>
      </c>
      <c r="C1127" s="5">
        <f t="shared" si="34"/>
        <v>-7.5772712601633379E-3</v>
      </c>
      <c r="D1127">
        <v>1276.8499999999999</v>
      </c>
      <c r="E1127" s="5">
        <f t="shared" si="35"/>
        <v>5.5599744839697476E-3</v>
      </c>
    </row>
    <row r="1128" spans="1:5" x14ac:dyDescent="0.25">
      <c r="A1128" t="s">
        <v>1132</v>
      </c>
      <c r="B1128">
        <v>64176</v>
      </c>
      <c r="C1128" s="5">
        <f t="shared" si="34"/>
        <v>-6.1019049094005384E-3</v>
      </c>
      <c r="D1128">
        <v>1279.8900000000001</v>
      </c>
      <c r="E1128" s="5">
        <f t="shared" si="35"/>
        <v>2.3808591455536602E-3</v>
      </c>
    </row>
    <row r="1129" spans="1:5" x14ac:dyDescent="0.25">
      <c r="A1129" t="s">
        <v>1133</v>
      </c>
      <c r="B1129">
        <v>64668.000000000007</v>
      </c>
      <c r="C1129" s="5">
        <f t="shared" si="34"/>
        <v>7.6664173522813404E-3</v>
      </c>
      <c r="D1129">
        <v>1283.04</v>
      </c>
      <c r="E1129" s="5">
        <f t="shared" si="35"/>
        <v>2.4611490049925096E-3</v>
      </c>
    </row>
    <row r="1130" spans="1:5" x14ac:dyDescent="0.25">
      <c r="A1130" t="s">
        <v>1134</v>
      </c>
      <c r="B1130">
        <v>66049</v>
      </c>
      <c r="C1130" s="5">
        <f t="shared" si="34"/>
        <v>2.1355229789076398E-2</v>
      </c>
      <c r="D1130">
        <v>1283.56</v>
      </c>
      <c r="E1130" s="5">
        <f t="shared" si="35"/>
        <v>4.0528744232446519E-4</v>
      </c>
    </row>
    <row r="1131" spans="1:5" x14ac:dyDescent="0.25">
      <c r="A1131" t="s">
        <v>1135</v>
      </c>
      <c r="B1131">
        <v>65851</v>
      </c>
      <c r="C1131" s="5">
        <f t="shared" si="34"/>
        <v>-2.9977743796272462E-3</v>
      </c>
      <c r="D1131">
        <v>1293.71</v>
      </c>
      <c r="E1131" s="5">
        <f t="shared" si="35"/>
        <v>7.907694225435578E-3</v>
      </c>
    </row>
    <row r="1132" spans="1:5" x14ac:dyDescent="0.25">
      <c r="A1132" t="s">
        <v>1136</v>
      </c>
      <c r="B1132">
        <v>64274</v>
      </c>
      <c r="C1132" s="5">
        <f t="shared" si="34"/>
        <v>-2.3948003826821156E-2</v>
      </c>
      <c r="D1132">
        <v>1285.94</v>
      </c>
      <c r="E1132" s="5">
        <f t="shared" si="35"/>
        <v>-6.0059827936709016E-3</v>
      </c>
    </row>
    <row r="1133" spans="1:5" x14ac:dyDescent="0.25">
      <c r="A1133" t="s">
        <v>1137</v>
      </c>
      <c r="B1133">
        <v>63880</v>
      </c>
      <c r="C1133" s="5">
        <f t="shared" si="34"/>
        <v>-6.1300059121884428E-3</v>
      </c>
      <c r="D1133">
        <v>1283.8</v>
      </c>
      <c r="E1133" s="5">
        <f t="shared" si="35"/>
        <v>-1.6641522932641492E-3</v>
      </c>
    </row>
    <row r="1134" spans="1:5" x14ac:dyDescent="0.25">
      <c r="A1134" t="s">
        <v>1138</v>
      </c>
      <c r="B1134">
        <v>63880</v>
      </c>
      <c r="C1134" s="5">
        <f t="shared" si="34"/>
        <v>0</v>
      </c>
      <c r="D1134">
        <v>1280.75</v>
      </c>
      <c r="E1134" s="5">
        <f t="shared" si="35"/>
        <v>-2.3757594640909444E-3</v>
      </c>
    </row>
    <row r="1135" spans="1:5" x14ac:dyDescent="0.25">
      <c r="A1135" t="s">
        <v>1139</v>
      </c>
      <c r="B1135">
        <v>63387</v>
      </c>
      <c r="C1135" s="5">
        <f t="shared" si="34"/>
        <v>-7.7175954915466496E-3</v>
      </c>
      <c r="D1135">
        <v>1279.82</v>
      </c>
      <c r="E1135" s="5">
        <f t="shared" si="35"/>
        <v>-7.2613702908457054E-4</v>
      </c>
    </row>
    <row r="1136" spans="1:5" x14ac:dyDescent="0.25">
      <c r="A1136" t="s">
        <v>1140</v>
      </c>
      <c r="B1136">
        <v>63190</v>
      </c>
      <c r="C1136" s="5">
        <f t="shared" si="34"/>
        <v>-3.1078927855869502E-3</v>
      </c>
      <c r="D1136">
        <v>1281.18</v>
      </c>
      <c r="E1136" s="5">
        <f t="shared" si="35"/>
        <v>1.0626494350769072E-3</v>
      </c>
    </row>
    <row r="1137" spans="1:5" x14ac:dyDescent="0.25">
      <c r="A1137" t="s">
        <v>1141</v>
      </c>
      <c r="B1137">
        <v>62598</v>
      </c>
      <c r="C1137" s="5">
        <f t="shared" si="34"/>
        <v>-9.3685709764203193E-3</v>
      </c>
      <c r="D1137">
        <v>1268.6600000000001</v>
      </c>
      <c r="E1137" s="5">
        <f t="shared" si="35"/>
        <v>-9.7722412151297882E-3</v>
      </c>
    </row>
    <row r="1138" spans="1:5" x14ac:dyDescent="0.25">
      <c r="A1138" t="s">
        <v>1142</v>
      </c>
      <c r="B1138">
        <v>64077</v>
      </c>
      <c r="C1138" s="5">
        <f t="shared" si="34"/>
        <v>2.362695293779354E-2</v>
      </c>
      <c r="D1138">
        <v>1274.44</v>
      </c>
      <c r="E1138" s="5">
        <f t="shared" si="35"/>
        <v>4.5559882080304986E-3</v>
      </c>
    </row>
    <row r="1139" spans="1:5" x14ac:dyDescent="0.25">
      <c r="A1139" t="s">
        <v>1143</v>
      </c>
      <c r="B1139">
        <v>64668.000000000007</v>
      </c>
      <c r="C1139" s="5">
        <f t="shared" si="34"/>
        <v>9.2232782433635668E-3</v>
      </c>
      <c r="D1139">
        <v>1264.78</v>
      </c>
      <c r="E1139" s="5">
        <f t="shared" si="35"/>
        <v>-7.5797997551866553E-3</v>
      </c>
    </row>
    <row r="1140" spans="1:5" x14ac:dyDescent="0.25">
      <c r="A1140" t="s">
        <v>1144</v>
      </c>
      <c r="B1140">
        <v>64373.000000000007</v>
      </c>
      <c r="C1140" s="5">
        <f t="shared" si="34"/>
        <v>-4.5617616131626145E-3</v>
      </c>
      <c r="D1140">
        <v>1254.6400000000001</v>
      </c>
      <c r="E1140" s="5">
        <f t="shared" si="35"/>
        <v>-8.0172045731272418E-3</v>
      </c>
    </row>
    <row r="1141" spans="1:5" x14ac:dyDescent="0.25">
      <c r="A1141" t="s">
        <v>1145</v>
      </c>
      <c r="B1141">
        <v>61613</v>
      </c>
      <c r="C1141" s="5">
        <f t="shared" si="34"/>
        <v>-4.2875118450282058E-2</v>
      </c>
      <c r="D1141">
        <v>1231.81</v>
      </c>
      <c r="E1141" s="5">
        <f t="shared" si="35"/>
        <v>-1.8196454759931258E-2</v>
      </c>
    </row>
    <row r="1142" spans="1:5" x14ac:dyDescent="0.25">
      <c r="A1142" t="s">
        <v>1146</v>
      </c>
      <c r="B1142">
        <v>60528</v>
      </c>
      <c r="C1142" s="5">
        <f t="shared" si="34"/>
        <v>-1.7609919984418871E-2</v>
      </c>
      <c r="D1142">
        <v>1238.47</v>
      </c>
      <c r="E1142" s="5">
        <f t="shared" si="35"/>
        <v>5.4066779779349755E-3</v>
      </c>
    </row>
    <row r="1143" spans="1:5" x14ac:dyDescent="0.25">
      <c r="A1143" t="s">
        <v>1147</v>
      </c>
      <c r="B1143">
        <v>60134</v>
      </c>
      <c r="C1143" s="5">
        <f t="shared" si="34"/>
        <v>-6.5093840867036746E-3</v>
      </c>
      <c r="D1143">
        <v>1233.19</v>
      </c>
      <c r="E1143" s="5">
        <f t="shared" si="35"/>
        <v>-4.2633249089602272E-3</v>
      </c>
    </row>
    <row r="1144" spans="1:5" x14ac:dyDescent="0.25">
      <c r="A1144" t="s">
        <v>1148</v>
      </c>
      <c r="B1144">
        <v>60134</v>
      </c>
      <c r="C1144" s="5">
        <f t="shared" si="34"/>
        <v>0</v>
      </c>
      <c r="D1144">
        <v>1242.1099999999999</v>
      </c>
      <c r="E1144" s="5">
        <f t="shared" si="35"/>
        <v>7.2332730560577402E-3</v>
      </c>
    </row>
    <row r="1145" spans="1:5" x14ac:dyDescent="0.25">
      <c r="A1145" t="s">
        <v>1149</v>
      </c>
      <c r="B1145">
        <v>61120</v>
      </c>
      <c r="C1145" s="5">
        <f t="shared" si="34"/>
        <v>1.6396714005387968E-2</v>
      </c>
      <c r="D1145">
        <v>1246.5999999999999</v>
      </c>
      <c r="E1145" s="5">
        <f t="shared" si="35"/>
        <v>3.6148167231565718E-3</v>
      </c>
    </row>
    <row r="1146" spans="1:5" x14ac:dyDescent="0.25">
      <c r="A1146" t="s">
        <v>1150</v>
      </c>
      <c r="B1146">
        <v>62105</v>
      </c>
      <c r="C1146" s="5">
        <f t="shared" si="34"/>
        <v>1.6115837696335077E-2</v>
      </c>
      <c r="D1146">
        <v>1245.06</v>
      </c>
      <c r="E1146" s="5">
        <f t="shared" si="35"/>
        <v>-1.2353601796887244E-3</v>
      </c>
    </row>
    <row r="1147" spans="1:5" x14ac:dyDescent="0.25">
      <c r="A1147" t="s">
        <v>1151</v>
      </c>
      <c r="B1147">
        <v>62894</v>
      </c>
      <c r="C1147" s="5">
        <f t="shared" si="34"/>
        <v>1.2704291119877626E-2</v>
      </c>
      <c r="D1147">
        <v>1251.51</v>
      </c>
      <c r="E1147" s="5">
        <f t="shared" si="35"/>
        <v>5.1804732302058098E-3</v>
      </c>
    </row>
    <row r="1148" spans="1:5" x14ac:dyDescent="0.25">
      <c r="A1148" t="s">
        <v>1152</v>
      </c>
      <c r="B1148">
        <v>61218</v>
      </c>
      <c r="C1148" s="5">
        <f t="shared" si="34"/>
        <v>-2.664801093904029E-2</v>
      </c>
      <c r="D1148">
        <v>1226.96</v>
      </c>
      <c r="E1148" s="5">
        <f t="shared" si="35"/>
        <v>-1.9616303505365484E-2</v>
      </c>
    </row>
    <row r="1149" spans="1:5" x14ac:dyDescent="0.25">
      <c r="A1149" t="s">
        <v>1153</v>
      </c>
      <c r="B1149">
        <v>62007</v>
      </c>
      <c r="C1149" s="5">
        <f t="shared" si="34"/>
        <v>1.2888366166813683E-2</v>
      </c>
      <c r="D1149">
        <v>1236.5999999999999</v>
      </c>
      <c r="E1149" s="5">
        <f t="shared" si="35"/>
        <v>7.8568168481449041E-3</v>
      </c>
    </row>
    <row r="1150" spans="1:5" x14ac:dyDescent="0.25">
      <c r="A1150" t="s">
        <v>1154</v>
      </c>
      <c r="B1150">
        <v>60725</v>
      </c>
      <c r="C1150" s="5">
        <f t="shared" si="34"/>
        <v>-2.0675085071040367E-2</v>
      </c>
      <c r="D1150">
        <v>1188.07</v>
      </c>
      <c r="E1150" s="5">
        <f t="shared" si="35"/>
        <v>-3.9244703218502326E-2</v>
      </c>
    </row>
    <row r="1151" spans="1:5" x14ac:dyDescent="0.25">
      <c r="A1151" t="s">
        <v>1155</v>
      </c>
      <c r="B1151">
        <v>61415</v>
      </c>
      <c r="C1151" s="5">
        <f t="shared" si="34"/>
        <v>1.1362700699876492E-2</v>
      </c>
      <c r="D1151">
        <v>1210.28</v>
      </c>
      <c r="E1151" s="5">
        <f t="shared" si="35"/>
        <v>1.869418468608755E-2</v>
      </c>
    </row>
    <row r="1152" spans="1:5" x14ac:dyDescent="0.25">
      <c r="A1152" t="s">
        <v>1156</v>
      </c>
      <c r="B1152">
        <v>61415</v>
      </c>
      <c r="C1152" s="5">
        <f t="shared" si="34"/>
        <v>0</v>
      </c>
      <c r="D1152">
        <v>1215.8800000000001</v>
      </c>
      <c r="E1152" s="5">
        <f t="shared" si="35"/>
        <v>4.6270284562251185E-3</v>
      </c>
    </row>
    <row r="1153" spans="1:5" x14ac:dyDescent="0.25">
      <c r="A1153" t="s">
        <v>1157</v>
      </c>
      <c r="B1153">
        <v>61514</v>
      </c>
      <c r="C1153" s="5">
        <f t="shared" si="34"/>
        <v>1.6119840429862412E-3</v>
      </c>
      <c r="D1153">
        <v>1208.32</v>
      </c>
      <c r="E1153" s="5">
        <f t="shared" si="35"/>
        <v>-6.2177188538344013E-3</v>
      </c>
    </row>
    <row r="1154" spans="1:5" x14ac:dyDescent="0.25">
      <c r="A1154" t="s">
        <v>1158</v>
      </c>
      <c r="B1154">
        <v>64668.000000000007</v>
      </c>
      <c r="C1154" s="5">
        <f t="shared" si="34"/>
        <v>5.1272880970185765E-2</v>
      </c>
      <c r="D1154">
        <v>1223.6400000000001</v>
      </c>
      <c r="E1154" s="5">
        <f t="shared" si="35"/>
        <v>1.2678760593220475E-2</v>
      </c>
    </row>
    <row r="1155" spans="1:5" x14ac:dyDescent="0.25">
      <c r="A1155" t="s">
        <v>1159</v>
      </c>
      <c r="B1155">
        <v>65654</v>
      </c>
      <c r="C1155" s="5">
        <f t="shared" si="34"/>
        <v>1.5247108307045102E-2</v>
      </c>
      <c r="D1155">
        <v>1230.28</v>
      </c>
      <c r="E1155" s="5">
        <f t="shared" si="35"/>
        <v>5.4264326108985255E-3</v>
      </c>
    </row>
    <row r="1156" spans="1:5" x14ac:dyDescent="0.25">
      <c r="A1156" t="s">
        <v>1160</v>
      </c>
      <c r="B1156">
        <v>65753</v>
      </c>
      <c r="C1156" s="5">
        <f t="shared" si="34"/>
        <v>1.5079050781368994E-3</v>
      </c>
      <c r="D1156">
        <v>1230.42</v>
      </c>
      <c r="E1156" s="5">
        <f t="shared" si="35"/>
        <v>1.1379523360543945E-4</v>
      </c>
    </row>
    <row r="1157" spans="1:5" x14ac:dyDescent="0.25">
      <c r="A1157" t="s">
        <v>1161</v>
      </c>
      <c r="B1157">
        <v>65654</v>
      </c>
      <c r="C1157" s="5">
        <f t="shared" si="34"/>
        <v>-1.5056347238909251E-3</v>
      </c>
      <c r="D1157">
        <v>1230.3599999999999</v>
      </c>
      <c r="E1157" s="5">
        <f t="shared" si="35"/>
        <v>-4.8763836738815036E-5</v>
      </c>
    </row>
    <row r="1158" spans="1:5" x14ac:dyDescent="0.25">
      <c r="A1158" t="s">
        <v>1162</v>
      </c>
      <c r="B1158">
        <v>64964</v>
      </c>
      <c r="C1158" s="5">
        <f t="shared" ref="C1158:C1221" si="36">(B1158-B1157)/B1157</f>
        <v>-1.0509641453681421E-2</v>
      </c>
      <c r="D1158">
        <v>1223.56</v>
      </c>
      <c r="E1158" s="5">
        <f t="shared" ref="E1158:E1221" si="37">(D1158-D1157)/D1157</f>
        <v>-5.5268376735264114E-3</v>
      </c>
    </row>
    <row r="1159" spans="1:5" x14ac:dyDescent="0.25">
      <c r="A1159" t="s">
        <v>1163</v>
      </c>
      <c r="B1159">
        <v>68020</v>
      </c>
      <c r="C1159" s="5">
        <f t="shared" si="36"/>
        <v>4.7041438335077887E-2</v>
      </c>
      <c r="D1159">
        <v>1252.23</v>
      </c>
      <c r="E1159" s="5">
        <f t="shared" si="37"/>
        <v>2.3431625747817902E-2</v>
      </c>
    </row>
    <row r="1160" spans="1:5" x14ac:dyDescent="0.25">
      <c r="A1160" t="s">
        <v>1164</v>
      </c>
      <c r="B1160">
        <v>68020</v>
      </c>
      <c r="C1160" s="5">
        <f t="shared" si="36"/>
        <v>0</v>
      </c>
      <c r="D1160">
        <v>1261.6199999999999</v>
      </c>
      <c r="E1160" s="5">
        <f t="shared" si="37"/>
        <v>7.4986224575356543E-3</v>
      </c>
    </row>
    <row r="1161" spans="1:5" x14ac:dyDescent="0.25">
      <c r="A1161" t="s">
        <v>1165</v>
      </c>
      <c r="B1161">
        <v>68513</v>
      </c>
      <c r="C1161" s="5">
        <f t="shared" si="36"/>
        <v>7.2478682740370476E-3</v>
      </c>
      <c r="D1161">
        <v>1272.55</v>
      </c>
      <c r="E1161" s="5">
        <f t="shared" si="37"/>
        <v>8.6634644346158633E-3</v>
      </c>
    </row>
    <row r="1162" spans="1:5" x14ac:dyDescent="0.25">
      <c r="A1162" t="s">
        <v>1166</v>
      </c>
      <c r="B1162">
        <v>68809</v>
      </c>
      <c r="C1162" s="5">
        <f t="shared" si="36"/>
        <v>4.3203479631602759E-3</v>
      </c>
      <c r="D1162">
        <v>1284.05</v>
      </c>
      <c r="E1162" s="5">
        <f t="shared" si="37"/>
        <v>9.0369730069545396E-3</v>
      </c>
    </row>
    <row r="1163" spans="1:5" x14ac:dyDescent="0.25">
      <c r="A1163" t="s">
        <v>1167</v>
      </c>
      <c r="B1163">
        <v>69006</v>
      </c>
      <c r="C1163" s="5">
        <f t="shared" si="36"/>
        <v>2.8629975729919052E-3</v>
      </c>
      <c r="D1163">
        <v>1282.78</v>
      </c>
      <c r="E1163" s="5">
        <f t="shared" si="37"/>
        <v>-9.8905805848680493E-4</v>
      </c>
    </row>
    <row r="1164" spans="1:5" x14ac:dyDescent="0.25">
      <c r="A1164" t="s">
        <v>1168</v>
      </c>
      <c r="B1164">
        <v>69006</v>
      </c>
      <c r="C1164" s="5">
        <f t="shared" si="36"/>
        <v>0</v>
      </c>
      <c r="D1164">
        <v>1285.32</v>
      </c>
      <c r="E1164" s="5">
        <f t="shared" si="37"/>
        <v>1.9800745256395983E-3</v>
      </c>
    </row>
    <row r="1165" spans="1:5" x14ac:dyDescent="0.25">
      <c r="A1165" t="s">
        <v>1169</v>
      </c>
      <c r="B1165">
        <v>68809</v>
      </c>
      <c r="C1165" s="5">
        <f t="shared" si="36"/>
        <v>-2.854824218183926E-3</v>
      </c>
      <c r="D1165">
        <v>1280.02</v>
      </c>
      <c r="E1165" s="5">
        <f t="shared" si="37"/>
        <v>-4.1234867581613566E-3</v>
      </c>
    </row>
    <row r="1166" spans="1:5" x14ac:dyDescent="0.25">
      <c r="A1166" t="s">
        <v>1170</v>
      </c>
      <c r="B1166">
        <v>68809</v>
      </c>
      <c r="C1166" s="5">
        <f t="shared" si="36"/>
        <v>0</v>
      </c>
      <c r="D1166">
        <v>1280.56</v>
      </c>
      <c r="E1166" s="5">
        <f t="shared" si="37"/>
        <v>4.2186840830609178E-4</v>
      </c>
    </row>
    <row r="1167" spans="1:5" x14ac:dyDescent="0.25">
      <c r="A1167" t="s">
        <v>1171</v>
      </c>
      <c r="B1167">
        <v>68415</v>
      </c>
      <c r="C1167" s="5">
        <f t="shared" si="36"/>
        <v>-5.7259951459838103E-3</v>
      </c>
      <c r="D1167">
        <v>1281.44</v>
      </c>
      <c r="E1167" s="5">
        <f t="shared" si="37"/>
        <v>6.8719935028433593E-4</v>
      </c>
    </row>
    <row r="1168" spans="1:5" x14ac:dyDescent="0.25">
      <c r="A1168" t="s">
        <v>1172</v>
      </c>
      <c r="B1168">
        <v>68119</v>
      </c>
      <c r="C1168" s="5">
        <f t="shared" si="36"/>
        <v>-4.3265365782357672E-3</v>
      </c>
      <c r="D1168">
        <v>1281.47</v>
      </c>
      <c r="E1168" s="5">
        <f t="shared" si="37"/>
        <v>2.3411162442231172E-5</v>
      </c>
    </row>
    <row r="1169" spans="1:5" x14ac:dyDescent="0.25">
      <c r="A1169" t="s">
        <v>1173</v>
      </c>
      <c r="B1169">
        <v>68809</v>
      </c>
      <c r="C1169" s="5">
        <f t="shared" si="36"/>
        <v>1.0129332491668992E-2</v>
      </c>
      <c r="D1169">
        <v>1283.8699999999999</v>
      </c>
      <c r="E1169" s="5">
        <f t="shared" si="37"/>
        <v>1.872849149804415E-3</v>
      </c>
    </row>
    <row r="1170" spans="1:5" x14ac:dyDescent="0.25">
      <c r="A1170" t="s">
        <v>1174</v>
      </c>
      <c r="B1170">
        <v>68119</v>
      </c>
      <c r="C1170" s="5">
        <f t="shared" si="36"/>
        <v>-1.0027757996773677E-2</v>
      </c>
      <c r="D1170">
        <v>1275.8</v>
      </c>
      <c r="E1170" s="5">
        <f t="shared" si="37"/>
        <v>-6.2856831299118576E-3</v>
      </c>
    </row>
    <row r="1171" spans="1:5" x14ac:dyDescent="0.25">
      <c r="A1171" t="s">
        <v>1175</v>
      </c>
      <c r="B1171">
        <v>66936</v>
      </c>
      <c r="C1171" s="5">
        <f t="shared" si="36"/>
        <v>-1.7366667156006401E-2</v>
      </c>
      <c r="D1171">
        <v>1268.21</v>
      </c>
      <c r="E1171" s="5">
        <f t="shared" si="37"/>
        <v>-5.9492083398651188E-3</v>
      </c>
    </row>
    <row r="1172" spans="1:5" x14ac:dyDescent="0.25">
      <c r="A1172" t="s">
        <v>1176</v>
      </c>
      <c r="B1172">
        <v>67034</v>
      </c>
      <c r="C1172" s="5">
        <f t="shared" si="36"/>
        <v>1.4640850962113062E-3</v>
      </c>
      <c r="D1172">
        <v>1273.96</v>
      </c>
      <c r="E1172" s="5">
        <f t="shared" si="37"/>
        <v>4.5339494247798075E-3</v>
      </c>
    </row>
    <row r="1173" spans="1:5" x14ac:dyDescent="0.25">
      <c r="A1173" t="s">
        <v>1177</v>
      </c>
      <c r="B1173">
        <v>66542</v>
      </c>
      <c r="C1173" s="5">
        <f t="shared" si="36"/>
        <v>-7.3395590297460987E-3</v>
      </c>
      <c r="D1173">
        <v>1267.73</v>
      </c>
      <c r="E1173" s="5">
        <f t="shared" si="37"/>
        <v>-4.8902634305629834E-3</v>
      </c>
    </row>
    <row r="1174" spans="1:5" x14ac:dyDescent="0.25">
      <c r="A1174" t="s">
        <v>1178</v>
      </c>
      <c r="B1174">
        <v>66837</v>
      </c>
      <c r="C1174" s="5">
        <f t="shared" si="36"/>
        <v>4.433290252772685E-3</v>
      </c>
      <c r="D1174">
        <v>1255.23</v>
      </c>
      <c r="E1174" s="5">
        <f t="shared" si="37"/>
        <v>-9.8601437214548837E-3</v>
      </c>
    </row>
    <row r="1175" spans="1:5" x14ac:dyDescent="0.25">
      <c r="A1175" t="s">
        <v>1179</v>
      </c>
      <c r="B1175">
        <v>66837</v>
      </c>
      <c r="C1175" s="5">
        <f t="shared" si="36"/>
        <v>0</v>
      </c>
      <c r="D1175">
        <v>1253.27</v>
      </c>
      <c r="E1175" s="5">
        <f t="shared" si="37"/>
        <v>-1.5614668228133778E-3</v>
      </c>
    </row>
    <row r="1176" spans="1:5" x14ac:dyDescent="0.25">
      <c r="A1176" t="s">
        <v>1180</v>
      </c>
      <c r="B1176">
        <v>66542</v>
      </c>
      <c r="C1176" s="5">
        <f t="shared" si="36"/>
        <v>-4.4137229378936813E-3</v>
      </c>
      <c r="D1176">
        <v>1256.3499999999999</v>
      </c>
      <c r="E1176" s="5">
        <f t="shared" si="37"/>
        <v>2.4575709942789084E-3</v>
      </c>
    </row>
    <row r="1177" spans="1:5" x14ac:dyDescent="0.25">
      <c r="A1177" t="s">
        <v>1181</v>
      </c>
      <c r="B1177">
        <v>66246</v>
      </c>
      <c r="C1177" s="5">
        <f t="shared" si="36"/>
        <v>-4.4483183553244571E-3</v>
      </c>
      <c r="D1177">
        <v>1251.71</v>
      </c>
      <c r="E1177" s="5">
        <f t="shared" si="37"/>
        <v>-3.6932383491860335E-3</v>
      </c>
    </row>
    <row r="1178" spans="1:5" x14ac:dyDescent="0.25">
      <c r="A1178" t="s">
        <v>1182</v>
      </c>
      <c r="B1178">
        <v>65161</v>
      </c>
      <c r="C1178" s="5">
        <f t="shared" si="36"/>
        <v>-1.6378347371916794E-2</v>
      </c>
      <c r="D1178">
        <v>1239.26</v>
      </c>
      <c r="E1178" s="5">
        <f t="shared" si="37"/>
        <v>-9.9463933339192338E-3</v>
      </c>
    </row>
    <row r="1179" spans="1:5" x14ac:dyDescent="0.25">
      <c r="A1179" t="s">
        <v>1183</v>
      </c>
      <c r="B1179">
        <v>65851</v>
      </c>
      <c r="C1179" s="5">
        <f t="shared" si="36"/>
        <v>1.0589156090299413E-2</v>
      </c>
      <c r="D1179">
        <v>1258.95</v>
      </c>
      <c r="E1179" s="5">
        <f t="shared" si="37"/>
        <v>1.5888514113261185E-2</v>
      </c>
    </row>
    <row r="1180" spans="1:5" x14ac:dyDescent="0.25">
      <c r="A1180" t="s">
        <v>1184</v>
      </c>
      <c r="B1180">
        <v>67232</v>
      </c>
      <c r="C1180" s="5">
        <f t="shared" si="36"/>
        <v>2.0971587371490182E-2</v>
      </c>
      <c r="D1180">
        <v>1264.9000000000001</v>
      </c>
      <c r="E1180" s="5">
        <f t="shared" si="37"/>
        <v>4.7261606894634777E-3</v>
      </c>
    </row>
    <row r="1181" spans="1:5" x14ac:dyDescent="0.25">
      <c r="A1181" t="s">
        <v>1185</v>
      </c>
      <c r="B1181">
        <v>67232</v>
      </c>
      <c r="C1181" s="5">
        <f t="shared" si="36"/>
        <v>0</v>
      </c>
      <c r="D1181">
        <v>1271.27</v>
      </c>
      <c r="E1181" s="5">
        <f t="shared" si="37"/>
        <v>5.0359712230214964E-3</v>
      </c>
    </row>
    <row r="1182" spans="1:5" x14ac:dyDescent="0.25">
      <c r="A1182" t="s">
        <v>1186</v>
      </c>
      <c r="B1182">
        <v>67034</v>
      </c>
      <c r="C1182" s="5">
        <f t="shared" si="36"/>
        <v>-2.9450261780104713E-3</v>
      </c>
      <c r="D1182">
        <v>1272.04</v>
      </c>
      <c r="E1182" s="5">
        <f t="shared" si="37"/>
        <v>6.0569351907933152E-4</v>
      </c>
    </row>
    <row r="1183" spans="1:5" x14ac:dyDescent="0.25">
      <c r="A1183" t="s">
        <v>1187</v>
      </c>
      <c r="B1183">
        <v>66344</v>
      </c>
      <c r="C1183" s="5">
        <f t="shared" si="36"/>
        <v>-1.0293284005131725E-2</v>
      </c>
      <c r="D1183">
        <v>1268.48</v>
      </c>
      <c r="E1183" s="5">
        <f t="shared" si="37"/>
        <v>-2.7986541303732159E-3</v>
      </c>
    </row>
    <row r="1184" spans="1:5" x14ac:dyDescent="0.25">
      <c r="A1184" t="s">
        <v>1188</v>
      </c>
      <c r="B1184">
        <v>67133</v>
      </c>
      <c r="C1184" s="5">
        <f t="shared" si="36"/>
        <v>1.189255999035331E-2</v>
      </c>
      <c r="D1184">
        <v>1276.99</v>
      </c>
      <c r="E1184" s="5">
        <f t="shared" si="37"/>
        <v>6.7088168516649775E-3</v>
      </c>
    </row>
    <row r="1185" spans="1:5" x14ac:dyDescent="0.25">
      <c r="A1185" t="s">
        <v>1189</v>
      </c>
      <c r="B1185">
        <v>67724</v>
      </c>
      <c r="C1185" s="5">
        <f t="shared" si="36"/>
        <v>8.8034200765644312E-3</v>
      </c>
      <c r="D1185">
        <v>1287.48</v>
      </c>
      <c r="E1185" s="5">
        <f t="shared" si="37"/>
        <v>8.2146297151896325E-3</v>
      </c>
    </row>
    <row r="1186" spans="1:5" x14ac:dyDescent="0.25">
      <c r="A1186" t="s">
        <v>1190</v>
      </c>
      <c r="B1186">
        <v>67330</v>
      </c>
      <c r="C1186" s="5">
        <f t="shared" si="36"/>
        <v>-5.8177307896757425E-3</v>
      </c>
      <c r="D1186">
        <v>1291.49</v>
      </c>
      <c r="E1186" s="5">
        <f t="shared" si="37"/>
        <v>3.1146114891105032E-3</v>
      </c>
    </row>
    <row r="1187" spans="1:5" x14ac:dyDescent="0.25">
      <c r="A1187" t="s">
        <v>1191</v>
      </c>
      <c r="B1187">
        <v>66542</v>
      </c>
      <c r="C1187" s="5">
        <f t="shared" si="36"/>
        <v>-1.1703549680677262E-2</v>
      </c>
      <c r="D1187">
        <v>1290.92</v>
      </c>
      <c r="E1187" s="5">
        <f t="shared" si="37"/>
        <v>-4.413506879650143E-4</v>
      </c>
    </row>
    <row r="1188" spans="1:5" x14ac:dyDescent="0.25">
      <c r="A1188" t="s">
        <v>1192</v>
      </c>
      <c r="B1188">
        <v>67133</v>
      </c>
      <c r="C1188" s="5">
        <f t="shared" si="36"/>
        <v>8.8816086080971413E-3</v>
      </c>
      <c r="D1188">
        <v>1287.94</v>
      </c>
      <c r="E1188" s="5">
        <f t="shared" si="37"/>
        <v>-2.3084311963561012E-3</v>
      </c>
    </row>
    <row r="1189" spans="1:5" x14ac:dyDescent="0.25">
      <c r="A1189" t="s">
        <v>1193</v>
      </c>
      <c r="B1189">
        <v>66837</v>
      </c>
      <c r="C1189" s="5">
        <f t="shared" si="36"/>
        <v>-4.4091579402082432E-3</v>
      </c>
      <c r="D1189">
        <v>1292.2</v>
      </c>
      <c r="E1189" s="5">
        <f t="shared" si="37"/>
        <v>3.3076074972436531E-3</v>
      </c>
    </row>
    <row r="1190" spans="1:5" x14ac:dyDescent="0.25">
      <c r="A1190" t="s">
        <v>1194</v>
      </c>
      <c r="B1190">
        <v>66443</v>
      </c>
      <c r="C1190" s="5">
        <f t="shared" si="36"/>
        <v>-5.8949384323054594E-3</v>
      </c>
      <c r="D1190">
        <v>1287.8399999999999</v>
      </c>
      <c r="E1190" s="5">
        <f t="shared" si="37"/>
        <v>-3.3740906980344585E-3</v>
      </c>
    </row>
    <row r="1191" spans="1:5" x14ac:dyDescent="0.25">
      <c r="A1191" t="s">
        <v>1195</v>
      </c>
      <c r="B1191">
        <v>65358.999999999993</v>
      </c>
      <c r="C1191" s="5">
        <f t="shared" si="36"/>
        <v>-1.6314735939075706E-2</v>
      </c>
      <c r="D1191">
        <v>1278.0999999999999</v>
      </c>
      <c r="E1191" s="5">
        <f t="shared" si="37"/>
        <v>-7.5630513107218366E-3</v>
      </c>
    </row>
    <row r="1192" spans="1:5" x14ac:dyDescent="0.25">
      <c r="A1192" t="s">
        <v>1196</v>
      </c>
      <c r="B1192">
        <v>65456.999999999993</v>
      </c>
      <c r="C1192" s="5">
        <f t="shared" si="36"/>
        <v>1.4994109456999039E-3</v>
      </c>
      <c r="D1192">
        <v>1270.5999999999999</v>
      </c>
      <c r="E1192" s="5">
        <f t="shared" si="37"/>
        <v>-5.8680854393239968E-3</v>
      </c>
    </row>
    <row r="1193" spans="1:5" x14ac:dyDescent="0.25">
      <c r="A1193" t="s">
        <v>1197</v>
      </c>
      <c r="B1193">
        <v>65358.999999999993</v>
      </c>
      <c r="C1193" s="5">
        <f t="shared" si="36"/>
        <v>-1.4971660784942789E-3</v>
      </c>
      <c r="D1193">
        <v>1269.93</v>
      </c>
      <c r="E1193" s="5">
        <f t="shared" si="37"/>
        <v>-5.2730993231531989E-4</v>
      </c>
    </row>
    <row r="1194" spans="1:5" x14ac:dyDescent="0.25">
      <c r="A1194" t="s">
        <v>1198</v>
      </c>
      <c r="B1194">
        <v>64274</v>
      </c>
      <c r="C1194" s="5">
        <f t="shared" si="36"/>
        <v>-1.6600621184534536E-2</v>
      </c>
      <c r="D1194">
        <v>1271.98</v>
      </c>
      <c r="E1194" s="5">
        <f t="shared" si="37"/>
        <v>1.6142622034284995E-3</v>
      </c>
    </row>
    <row r="1195" spans="1:5" x14ac:dyDescent="0.25">
      <c r="A1195" t="s">
        <v>1199</v>
      </c>
      <c r="B1195">
        <v>63288</v>
      </c>
      <c r="C1195" s="5">
        <f t="shared" si="36"/>
        <v>-1.534057317111118E-2</v>
      </c>
      <c r="D1195">
        <v>1281.8499999999999</v>
      </c>
      <c r="E1195" s="5">
        <f t="shared" si="37"/>
        <v>7.7595559678610444E-3</v>
      </c>
    </row>
    <row r="1196" spans="1:5" x14ac:dyDescent="0.25">
      <c r="A1196" t="s">
        <v>1200</v>
      </c>
      <c r="B1196">
        <v>64077</v>
      </c>
      <c r="C1196" s="5">
        <f t="shared" si="36"/>
        <v>1.2466818354190367E-2</v>
      </c>
      <c r="D1196">
        <v>1286.3599999999999</v>
      </c>
      <c r="E1196" s="5">
        <f t="shared" si="37"/>
        <v>3.5183523813238611E-3</v>
      </c>
    </row>
    <row r="1197" spans="1:5" x14ac:dyDescent="0.25">
      <c r="A1197" t="s">
        <v>1201</v>
      </c>
      <c r="B1197">
        <v>63584</v>
      </c>
      <c r="C1197" s="5">
        <f t="shared" si="36"/>
        <v>-7.6938683146838957E-3</v>
      </c>
      <c r="D1197">
        <v>1288.3900000000001</v>
      </c>
      <c r="E1197" s="5">
        <f t="shared" si="37"/>
        <v>1.578096333841382E-3</v>
      </c>
    </row>
    <row r="1198" spans="1:5" x14ac:dyDescent="0.25">
      <c r="A1198" t="s">
        <v>1202</v>
      </c>
      <c r="B1198">
        <v>62697</v>
      </c>
      <c r="C1198" s="5">
        <f t="shared" si="36"/>
        <v>-1.3950050327126321E-2</v>
      </c>
      <c r="D1198">
        <v>1286.3399999999999</v>
      </c>
      <c r="E1198" s="5">
        <f t="shared" si="37"/>
        <v>-1.5911331196300667E-3</v>
      </c>
    </row>
    <row r="1199" spans="1:5" x14ac:dyDescent="0.25">
      <c r="A1199" t="s">
        <v>1203</v>
      </c>
      <c r="B1199">
        <v>63486</v>
      </c>
      <c r="C1199" s="5">
        <f t="shared" si="36"/>
        <v>1.2584334178668836E-2</v>
      </c>
      <c r="D1199">
        <v>1281.08</v>
      </c>
      <c r="E1199" s="5">
        <f t="shared" si="37"/>
        <v>-4.0891210721893051E-3</v>
      </c>
    </row>
    <row r="1200" spans="1:5" x14ac:dyDescent="0.25">
      <c r="A1200" t="s">
        <v>1204</v>
      </c>
      <c r="B1200">
        <v>64569.999999999993</v>
      </c>
      <c r="C1200" s="5">
        <f t="shared" si="36"/>
        <v>1.7074630627224786E-2</v>
      </c>
      <c r="D1200">
        <v>1279.48</v>
      </c>
      <c r="E1200" s="5">
        <f t="shared" si="37"/>
        <v>-1.2489462016422933E-3</v>
      </c>
    </row>
    <row r="1201" spans="1:5" x14ac:dyDescent="0.25">
      <c r="A1201" t="s">
        <v>1205</v>
      </c>
      <c r="B1201">
        <v>64866</v>
      </c>
      <c r="C1201" s="5">
        <f t="shared" si="36"/>
        <v>4.584172216199587E-3</v>
      </c>
      <c r="D1201">
        <v>1286.52</v>
      </c>
      <c r="E1201" s="5">
        <f t="shared" si="37"/>
        <v>5.5022352830837243E-3</v>
      </c>
    </row>
    <row r="1202" spans="1:5" x14ac:dyDescent="0.25">
      <c r="A1202" t="s">
        <v>1206</v>
      </c>
      <c r="B1202">
        <v>64766.999999999993</v>
      </c>
      <c r="C1202" s="5">
        <f t="shared" si="36"/>
        <v>-1.5262232910925181E-3</v>
      </c>
      <c r="D1202">
        <v>1285.46</v>
      </c>
      <c r="E1202" s="5">
        <f t="shared" si="37"/>
        <v>-8.2392811615827617E-4</v>
      </c>
    </row>
    <row r="1203" spans="1:5" x14ac:dyDescent="0.25">
      <c r="A1203" t="s">
        <v>1207</v>
      </c>
      <c r="B1203">
        <v>64866</v>
      </c>
      <c r="C1203" s="5">
        <f t="shared" si="36"/>
        <v>1.5285562091807137E-3</v>
      </c>
      <c r="D1203">
        <v>1279.77</v>
      </c>
      <c r="E1203" s="5">
        <f t="shared" si="37"/>
        <v>-4.4264310052433012E-3</v>
      </c>
    </row>
    <row r="1204" spans="1:5" x14ac:dyDescent="0.25">
      <c r="A1204" t="s">
        <v>1208</v>
      </c>
      <c r="B1204">
        <v>65358.999999999993</v>
      </c>
      <c r="C1204" s="5">
        <f t="shared" si="36"/>
        <v>7.6002836617024743E-3</v>
      </c>
      <c r="D1204">
        <v>1269.8900000000001</v>
      </c>
      <c r="E1204" s="5">
        <f t="shared" si="37"/>
        <v>-7.7201372121552172E-3</v>
      </c>
    </row>
    <row r="1205" spans="1:5" x14ac:dyDescent="0.25">
      <c r="A1205" t="s">
        <v>1209</v>
      </c>
      <c r="B1205">
        <v>64766.999999999993</v>
      </c>
      <c r="C1205" s="5">
        <f t="shared" si="36"/>
        <v>-9.0576661209626833E-3</v>
      </c>
      <c r="D1205">
        <v>1270.9000000000001</v>
      </c>
      <c r="E1205" s="5">
        <f t="shared" si="37"/>
        <v>7.9534447865562438E-4</v>
      </c>
    </row>
    <row r="1206" spans="1:5" x14ac:dyDescent="0.25">
      <c r="A1206" t="s">
        <v>1210</v>
      </c>
      <c r="B1206">
        <v>64471</v>
      </c>
      <c r="C1206" s="5">
        <f t="shared" si="36"/>
        <v>-4.5702286658327968E-3</v>
      </c>
      <c r="D1206">
        <v>1257.4100000000001</v>
      </c>
      <c r="E1206" s="5">
        <f t="shared" si="37"/>
        <v>-1.0614525139664811E-2</v>
      </c>
    </row>
    <row r="1207" spans="1:5" x14ac:dyDescent="0.25">
      <c r="A1207" t="s">
        <v>1211</v>
      </c>
      <c r="B1207">
        <v>64569.999999999993</v>
      </c>
      <c r="C1207" s="5">
        <f t="shared" si="36"/>
        <v>1.5355741341066948E-3</v>
      </c>
      <c r="D1207">
        <v>1252.72</v>
      </c>
      <c r="E1207" s="5">
        <f t="shared" si="37"/>
        <v>-3.7298892167233078E-3</v>
      </c>
    </row>
    <row r="1208" spans="1:5" x14ac:dyDescent="0.25">
      <c r="A1208" t="s">
        <v>1212</v>
      </c>
      <c r="B1208">
        <v>64569.999999999993</v>
      </c>
      <c r="C1208" s="5">
        <f t="shared" si="36"/>
        <v>0</v>
      </c>
      <c r="D1208">
        <v>1254.77</v>
      </c>
      <c r="E1208" s="5">
        <f t="shared" si="37"/>
        <v>1.6364391084998679E-3</v>
      </c>
    </row>
    <row r="1209" spans="1:5" x14ac:dyDescent="0.25">
      <c r="A1209" t="s">
        <v>1213</v>
      </c>
      <c r="B1209">
        <v>65556</v>
      </c>
      <c r="C1209" s="5">
        <f t="shared" si="36"/>
        <v>1.5270249341799711E-2</v>
      </c>
      <c r="D1209">
        <v>1261.78</v>
      </c>
      <c r="E1209" s="5">
        <f t="shared" si="37"/>
        <v>5.586681224447501E-3</v>
      </c>
    </row>
    <row r="1210" spans="1:5" x14ac:dyDescent="0.25">
      <c r="A1210" t="s">
        <v>1214</v>
      </c>
      <c r="B1210">
        <v>65063</v>
      </c>
      <c r="C1210" s="5">
        <f t="shared" si="36"/>
        <v>-7.5202879980474707E-3</v>
      </c>
      <c r="D1210">
        <v>1258.6300000000001</v>
      </c>
      <c r="E1210" s="5">
        <f t="shared" si="37"/>
        <v>-2.4964732362217374E-3</v>
      </c>
    </row>
    <row r="1211" spans="1:5" x14ac:dyDescent="0.25">
      <c r="A1211" t="s">
        <v>1215</v>
      </c>
      <c r="B1211">
        <v>65556</v>
      </c>
      <c r="C1211" s="5">
        <f t="shared" si="36"/>
        <v>7.577271260163226E-3</v>
      </c>
      <c r="D1211">
        <v>1264.48</v>
      </c>
      <c r="E1211" s="5">
        <f t="shared" si="37"/>
        <v>4.6479108236732866E-3</v>
      </c>
    </row>
    <row r="1212" spans="1:5" x14ac:dyDescent="0.25">
      <c r="A1212" t="s">
        <v>1216</v>
      </c>
      <c r="B1212">
        <v>65063</v>
      </c>
      <c r="C1212" s="5">
        <f t="shared" si="36"/>
        <v>-7.5202879980474707E-3</v>
      </c>
      <c r="D1212">
        <v>1254.8900000000001</v>
      </c>
      <c r="E1212" s="5">
        <f t="shared" si="37"/>
        <v>-7.5841452612931152E-3</v>
      </c>
    </row>
    <row r="1213" spans="1:5" x14ac:dyDescent="0.25">
      <c r="A1213" t="s">
        <v>1217</v>
      </c>
      <c r="B1213">
        <v>64176</v>
      </c>
      <c r="C1213" s="5">
        <f t="shared" si="36"/>
        <v>-1.3632940380861627E-2</v>
      </c>
      <c r="D1213">
        <v>1244.71</v>
      </c>
      <c r="E1213" s="5">
        <f t="shared" si="37"/>
        <v>-8.1122648200241156E-3</v>
      </c>
    </row>
    <row r="1214" spans="1:5" x14ac:dyDescent="0.25">
      <c r="A1214" t="s">
        <v>1218</v>
      </c>
      <c r="B1214">
        <v>64668.000000000007</v>
      </c>
      <c r="C1214" s="5">
        <f t="shared" si="36"/>
        <v>7.6664173522813404E-3</v>
      </c>
      <c r="D1214">
        <v>1245.76</v>
      </c>
      <c r="E1214" s="5">
        <f t="shared" si="37"/>
        <v>8.4356998818998358E-4</v>
      </c>
    </row>
    <row r="1215" spans="1:5" x14ac:dyDescent="0.25">
      <c r="A1215" t="s">
        <v>1219</v>
      </c>
      <c r="B1215">
        <v>64668.000000000007</v>
      </c>
      <c r="C1215" s="5">
        <f t="shared" si="36"/>
        <v>0</v>
      </c>
      <c r="D1215">
        <v>1261.28</v>
      </c>
      <c r="E1215" s="5">
        <f t="shared" si="37"/>
        <v>1.2458258412535306E-2</v>
      </c>
    </row>
    <row r="1216" spans="1:5" x14ac:dyDescent="0.25">
      <c r="A1216" t="s">
        <v>1220</v>
      </c>
      <c r="B1216">
        <v>64471</v>
      </c>
      <c r="C1216" s="5">
        <f t="shared" si="36"/>
        <v>-3.046328941671418E-3</v>
      </c>
      <c r="D1216">
        <v>1259.75</v>
      </c>
      <c r="E1216" s="5">
        <f t="shared" si="37"/>
        <v>-1.2130534060636597E-3</v>
      </c>
    </row>
    <row r="1217" spans="1:5" x14ac:dyDescent="0.25">
      <c r="A1217" t="s">
        <v>1221</v>
      </c>
      <c r="B1217">
        <v>64077</v>
      </c>
      <c r="C1217" s="5">
        <f t="shared" si="36"/>
        <v>-6.1112748367483051E-3</v>
      </c>
      <c r="D1217">
        <v>1252.56</v>
      </c>
      <c r="E1217" s="5">
        <f t="shared" si="37"/>
        <v>-5.7074816431832145E-3</v>
      </c>
    </row>
    <row r="1218" spans="1:5" x14ac:dyDescent="0.25">
      <c r="A1218" t="s">
        <v>1222</v>
      </c>
      <c r="B1218">
        <v>62105</v>
      </c>
      <c r="C1218" s="5">
        <f t="shared" si="36"/>
        <v>-3.0775473258735583E-2</v>
      </c>
      <c r="D1218">
        <v>1250.32</v>
      </c>
      <c r="E1218" s="5">
        <f t="shared" si="37"/>
        <v>-1.7883374848310734E-3</v>
      </c>
    </row>
    <row r="1219" spans="1:5" x14ac:dyDescent="0.25">
      <c r="A1219" t="s">
        <v>1223</v>
      </c>
      <c r="B1219">
        <v>59937</v>
      </c>
      <c r="C1219" s="5">
        <f t="shared" si="36"/>
        <v>-3.4908622494163113E-2</v>
      </c>
      <c r="D1219">
        <v>1244.82</v>
      </c>
      <c r="E1219" s="5">
        <f t="shared" si="37"/>
        <v>-4.3988738882845997E-3</v>
      </c>
    </row>
    <row r="1220" spans="1:5" x14ac:dyDescent="0.25">
      <c r="A1220" t="s">
        <v>1224</v>
      </c>
      <c r="B1220">
        <v>61021</v>
      </c>
      <c r="C1220" s="5">
        <f t="shared" si="36"/>
        <v>1.8085656606103076E-2</v>
      </c>
      <c r="D1220">
        <v>1246.04</v>
      </c>
      <c r="E1220" s="5">
        <f t="shared" si="37"/>
        <v>9.8006137433526716E-4</v>
      </c>
    </row>
    <row r="1221" spans="1:5" x14ac:dyDescent="0.25">
      <c r="A1221" t="s">
        <v>1225</v>
      </c>
      <c r="B1221">
        <v>60430</v>
      </c>
      <c r="C1221" s="5">
        <f t="shared" si="36"/>
        <v>-9.6851903443076967E-3</v>
      </c>
      <c r="D1221">
        <v>1231.8900000000001</v>
      </c>
      <c r="E1221" s="5">
        <f t="shared" si="37"/>
        <v>-1.1355975731116066E-2</v>
      </c>
    </row>
    <row r="1222" spans="1:5" x14ac:dyDescent="0.25">
      <c r="A1222" t="s">
        <v>1226</v>
      </c>
      <c r="B1222">
        <v>59049</v>
      </c>
      <c r="C1222" s="5">
        <f t="shared" ref="C1222:C1285" si="38">(B1222-B1221)/B1221</f>
        <v>-2.2852887638590103E-2</v>
      </c>
      <c r="D1222">
        <v>1218.57</v>
      </c>
      <c r="E1222" s="5">
        <f t="shared" ref="E1222:E1285" si="39">(D1222-D1221)/D1221</f>
        <v>-1.0812653727199801E-2</v>
      </c>
    </row>
    <row r="1223" spans="1:5" x14ac:dyDescent="0.25">
      <c r="A1223" t="s">
        <v>1227</v>
      </c>
      <c r="B1223">
        <v>58064</v>
      </c>
      <c r="C1223" s="5">
        <f t="shared" si="38"/>
        <v>-1.6681061491303831E-2</v>
      </c>
      <c r="D1223">
        <v>1217.1199999999999</v>
      </c>
      <c r="E1223" s="5">
        <f t="shared" si="39"/>
        <v>-1.18991933167569E-3</v>
      </c>
    </row>
    <row r="1224" spans="1:5" x14ac:dyDescent="0.25">
      <c r="A1224" t="s">
        <v>1228</v>
      </c>
      <c r="B1224">
        <v>56684</v>
      </c>
      <c r="C1224" s="5">
        <f t="shared" si="38"/>
        <v>-2.3766877927803801E-2</v>
      </c>
      <c r="D1224">
        <v>1205.1500000000001</v>
      </c>
      <c r="E1224" s="5">
        <f t="shared" si="39"/>
        <v>-9.8346917312999542E-3</v>
      </c>
    </row>
    <row r="1225" spans="1:5" x14ac:dyDescent="0.25">
      <c r="A1225" t="s">
        <v>1229</v>
      </c>
      <c r="B1225">
        <v>55993</v>
      </c>
      <c r="C1225" s="5">
        <f t="shared" si="38"/>
        <v>-1.2190388822242609E-2</v>
      </c>
      <c r="D1225">
        <v>1216.54</v>
      </c>
      <c r="E1225" s="5">
        <f t="shared" si="39"/>
        <v>9.4511056714930691E-3</v>
      </c>
    </row>
    <row r="1226" spans="1:5" x14ac:dyDescent="0.25">
      <c r="A1226" t="s">
        <v>1230</v>
      </c>
      <c r="B1226">
        <v>57866</v>
      </c>
      <c r="C1226" s="5">
        <f t="shared" si="38"/>
        <v>3.3450609897665781E-2</v>
      </c>
      <c r="D1226">
        <v>1228.33</v>
      </c>
      <c r="E1226" s="5">
        <f t="shared" si="39"/>
        <v>9.6914199286500767E-3</v>
      </c>
    </row>
    <row r="1227" spans="1:5" x14ac:dyDescent="0.25">
      <c r="A1227" t="s">
        <v>1231</v>
      </c>
      <c r="B1227">
        <v>58162</v>
      </c>
      <c r="C1227" s="5">
        <f t="shared" si="38"/>
        <v>5.1152663049113473E-3</v>
      </c>
      <c r="D1227">
        <v>1228.0999999999999</v>
      </c>
      <c r="E1227" s="5">
        <f t="shared" si="39"/>
        <v>-1.872460983612044E-4</v>
      </c>
    </row>
    <row r="1228" spans="1:5" x14ac:dyDescent="0.25">
      <c r="A1228" t="s">
        <v>1232</v>
      </c>
      <c r="B1228">
        <v>58162</v>
      </c>
      <c r="C1228" s="5">
        <f t="shared" si="38"/>
        <v>0</v>
      </c>
      <c r="D1228">
        <v>1234.7</v>
      </c>
      <c r="E1228" s="5">
        <f t="shared" si="39"/>
        <v>5.3741551990881334E-3</v>
      </c>
    </row>
    <row r="1229" spans="1:5" x14ac:dyDescent="0.25">
      <c r="A1229" t="s">
        <v>1233</v>
      </c>
      <c r="B1229">
        <v>59148</v>
      </c>
      <c r="C1229" s="5">
        <f t="shared" si="38"/>
        <v>1.6952649496234654E-2</v>
      </c>
      <c r="D1229">
        <v>1242.1300000000001</v>
      </c>
      <c r="E1229" s="5">
        <f t="shared" si="39"/>
        <v>6.0176561107961966E-3</v>
      </c>
    </row>
    <row r="1230" spans="1:5" x14ac:dyDescent="0.25">
      <c r="A1230" t="s">
        <v>1234</v>
      </c>
      <c r="B1230">
        <v>59345</v>
      </c>
      <c r="C1230" s="5">
        <f t="shared" si="38"/>
        <v>3.3306282545479135E-3</v>
      </c>
      <c r="D1230">
        <v>1241.97</v>
      </c>
      <c r="E1230" s="5">
        <f t="shared" si="39"/>
        <v>-1.2881099401840536E-4</v>
      </c>
    </row>
    <row r="1231" spans="1:5" x14ac:dyDescent="0.25">
      <c r="A1231" t="s">
        <v>1235</v>
      </c>
      <c r="B1231">
        <v>59148</v>
      </c>
      <c r="C1231" s="5">
        <f t="shared" si="38"/>
        <v>-3.3195719942707893E-3</v>
      </c>
      <c r="D1231">
        <v>1242.1099999999999</v>
      </c>
      <c r="E1231" s="5">
        <f t="shared" si="39"/>
        <v>1.1272413987445161E-4</v>
      </c>
    </row>
    <row r="1232" spans="1:5" x14ac:dyDescent="0.25">
      <c r="A1232" t="s">
        <v>1236</v>
      </c>
      <c r="B1232">
        <v>59641</v>
      </c>
      <c r="C1232" s="5">
        <f t="shared" si="38"/>
        <v>8.3350240075742207E-3</v>
      </c>
      <c r="D1232">
        <v>1250.46</v>
      </c>
      <c r="E1232" s="5">
        <f t="shared" si="39"/>
        <v>6.7224319907255694E-3</v>
      </c>
    </row>
    <row r="1233" spans="1:5" x14ac:dyDescent="0.25">
      <c r="A1233" t="s">
        <v>1237</v>
      </c>
      <c r="B1233">
        <v>59542</v>
      </c>
      <c r="C1233" s="5">
        <f t="shared" si="38"/>
        <v>-1.6599319260240438E-3</v>
      </c>
      <c r="D1233">
        <v>1251.21</v>
      </c>
      <c r="E1233" s="5">
        <f t="shared" si="39"/>
        <v>5.9977928122450933E-4</v>
      </c>
    </row>
    <row r="1234" spans="1:5" x14ac:dyDescent="0.25">
      <c r="A1234" t="s">
        <v>1238</v>
      </c>
      <c r="B1234">
        <v>58951</v>
      </c>
      <c r="C1234" s="5">
        <f t="shared" si="38"/>
        <v>-9.9257666857008493E-3</v>
      </c>
      <c r="D1234">
        <v>1249.83</v>
      </c>
      <c r="E1234" s="5">
        <f t="shared" si="39"/>
        <v>-1.1029323614741803E-3</v>
      </c>
    </row>
    <row r="1235" spans="1:5" x14ac:dyDescent="0.25">
      <c r="A1235" t="s">
        <v>1239</v>
      </c>
      <c r="B1235">
        <v>57275</v>
      </c>
      <c r="C1235" s="5">
        <f t="shared" si="38"/>
        <v>-2.8430391341961968E-2</v>
      </c>
      <c r="D1235">
        <v>1240.4100000000001</v>
      </c>
      <c r="E1235" s="5">
        <f t="shared" si="39"/>
        <v>-7.5370250354046915E-3</v>
      </c>
    </row>
    <row r="1236" spans="1:5" x14ac:dyDescent="0.25">
      <c r="A1236" t="s">
        <v>1240</v>
      </c>
      <c r="B1236">
        <v>60134</v>
      </c>
      <c r="C1236" s="5">
        <f t="shared" si="38"/>
        <v>4.9917066783064165E-2</v>
      </c>
      <c r="D1236">
        <v>1267.53</v>
      </c>
      <c r="E1236" s="5">
        <f t="shared" si="39"/>
        <v>2.1863738602558743E-2</v>
      </c>
    </row>
    <row r="1237" spans="1:5" x14ac:dyDescent="0.25">
      <c r="A1237" t="s">
        <v>1241</v>
      </c>
      <c r="B1237">
        <v>60232</v>
      </c>
      <c r="C1237" s="5">
        <f t="shared" si="38"/>
        <v>1.6296936841054977E-3</v>
      </c>
      <c r="D1237">
        <v>1270.1400000000001</v>
      </c>
      <c r="E1237" s="5">
        <f t="shared" si="39"/>
        <v>2.0591228609974734E-3</v>
      </c>
    </row>
    <row r="1238" spans="1:5" x14ac:dyDescent="0.25">
      <c r="A1238" t="s">
        <v>1242</v>
      </c>
      <c r="B1238">
        <v>60232</v>
      </c>
      <c r="C1238" s="5">
        <f t="shared" si="38"/>
        <v>0</v>
      </c>
      <c r="D1238">
        <v>1273.8399999999999</v>
      </c>
      <c r="E1238" s="5">
        <f t="shared" si="39"/>
        <v>2.9130647015288219E-3</v>
      </c>
    </row>
    <row r="1239" spans="1:5" x14ac:dyDescent="0.25">
      <c r="A1239" t="s">
        <v>1243</v>
      </c>
      <c r="B1239">
        <v>59937</v>
      </c>
      <c r="C1239" s="5">
        <f t="shared" si="38"/>
        <v>-4.8977287820427678E-3</v>
      </c>
      <c r="D1239">
        <v>1272.07</v>
      </c>
      <c r="E1239" s="5">
        <f t="shared" si="39"/>
        <v>-1.3894994661809818E-3</v>
      </c>
    </row>
    <row r="1240" spans="1:5" x14ac:dyDescent="0.25">
      <c r="A1240" t="s">
        <v>1244</v>
      </c>
      <c r="B1240">
        <v>59148</v>
      </c>
      <c r="C1240" s="5">
        <f t="shared" si="38"/>
        <v>-1.3163822013113769E-2</v>
      </c>
      <c r="D1240">
        <v>1268.8599999999999</v>
      </c>
      <c r="E1240" s="5">
        <f t="shared" si="39"/>
        <v>-2.5234460367747347E-3</v>
      </c>
    </row>
    <row r="1241" spans="1:5" x14ac:dyDescent="0.25">
      <c r="A1241" t="s">
        <v>1245</v>
      </c>
      <c r="B1241">
        <v>59148</v>
      </c>
      <c r="C1241" s="5">
        <f t="shared" si="38"/>
        <v>0</v>
      </c>
      <c r="D1241">
        <v>1267.3499999999999</v>
      </c>
      <c r="E1241" s="5">
        <f t="shared" si="39"/>
        <v>-1.1900446069700291E-3</v>
      </c>
    </row>
    <row r="1242" spans="1:5" x14ac:dyDescent="0.25">
      <c r="A1242" t="s">
        <v>1246</v>
      </c>
      <c r="B1242">
        <v>60134</v>
      </c>
      <c r="C1242" s="5">
        <f t="shared" si="38"/>
        <v>1.6670048015148441E-2</v>
      </c>
      <c r="D1242">
        <v>1262.57</v>
      </c>
      <c r="E1242" s="5">
        <f t="shared" si="39"/>
        <v>-3.7716495048723503E-3</v>
      </c>
    </row>
    <row r="1243" spans="1:5" x14ac:dyDescent="0.25">
      <c r="A1243" t="s">
        <v>1247</v>
      </c>
      <c r="B1243">
        <v>60134</v>
      </c>
      <c r="C1243" s="5">
        <f t="shared" si="38"/>
        <v>0</v>
      </c>
      <c r="D1243">
        <v>1263.79</v>
      </c>
      <c r="E1243" s="5">
        <f t="shared" si="39"/>
        <v>9.6628305757306715E-4</v>
      </c>
    </row>
    <row r="1244" spans="1:5" x14ac:dyDescent="0.25">
      <c r="A1244" t="s">
        <v>1248</v>
      </c>
      <c r="B1244">
        <v>59444</v>
      </c>
      <c r="C1244" s="5">
        <f t="shared" si="38"/>
        <v>-1.147437389829381E-2</v>
      </c>
      <c r="D1244">
        <v>1261.72</v>
      </c>
      <c r="E1244" s="5">
        <f t="shared" si="39"/>
        <v>-1.6379303523527931E-3</v>
      </c>
    </row>
    <row r="1245" spans="1:5" x14ac:dyDescent="0.25">
      <c r="A1245" t="s">
        <v>1249</v>
      </c>
      <c r="B1245">
        <v>59345</v>
      </c>
      <c r="C1245" s="5">
        <f t="shared" si="38"/>
        <v>-1.6654330125832717E-3</v>
      </c>
      <c r="D1245">
        <v>1266</v>
      </c>
      <c r="E1245" s="5">
        <f t="shared" si="39"/>
        <v>3.3921947817265102E-3</v>
      </c>
    </row>
    <row r="1246" spans="1:5" x14ac:dyDescent="0.25">
      <c r="A1246" t="s">
        <v>1250</v>
      </c>
      <c r="B1246">
        <v>58951</v>
      </c>
      <c r="C1246" s="5">
        <f t="shared" si="38"/>
        <v>-6.6391439885415786E-3</v>
      </c>
      <c r="D1246">
        <v>1254.67</v>
      </c>
      <c r="E1246" s="5">
        <f t="shared" si="39"/>
        <v>-8.9494470774091044E-3</v>
      </c>
    </row>
    <row r="1247" spans="1:5" x14ac:dyDescent="0.25">
      <c r="A1247" t="s">
        <v>1251</v>
      </c>
      <c r="B1247">
        <v>59739</v>
      </c>
      <c r="C1247" s="5">
        <f t="shared" si="38"/>
        <v>1.3367033638106224E-2</v>
      </c>
      <c r="D1247">
        <v>1257.5</v>
      </c>
      <c r="E1247" s="5">
        <f t="shared" si="39"/>
        <v>2.2555731786046748E-3</v>
      </c>
    </row>
    <row r="1248" spans="1:5" x14ac:dyDescent="0.25">
      <c r="A1248" t="s">
        <v>1252</v>
      </c>
      <c r="B1248">
        <v>60134</v>
      </c>
      <c r="C1248" s="5">
        <f t="shared" si="38"/>
        <v>6.6120959507189611E-3</v>
      </c>
      <c r="D1248">
        <v>1262.76</v>
      </c>
      <c r="E1248" s="5">
        <f t="shared" si="39"/>
        <v>4.1829025844930343E-3</v>
      </c>
    </row>
    <row r="1249" spans="1:5" x14ac:dyDescent="0.25">
      <c r="A1249" t="s">
        <v>1253</v>
      </c>
      <c r="B1249">
        <v>60430</v>
      </c>
      <c r="C1249" s="5">
        <f t="shared" si="38"/>
        <v>4.9223401070941563E-3</v>
      </c>
      <c r="D1249">
        <v>1260.3599999999999</v>
      </c>
      <c r="E1249" s="5">
        <f t="shared" si="39"/>
        <v>-1.9005986885869768E-3</v>
      </c>
    </row>
    <row r="1250" spans="1:5" x14ac:dyDescent="0.25">
      <c r="A1250" t="s">
        <v>1254</v>
      </c>
      <c r="B1250">
        <v>61317</v>
      </c>
      <c r="C1250" s="5">
        <f t="shared" si="38"/>
        <v>1.4678139996690386E-2</v>
      </c>
      <c r="D1250">
        <v>1274.04</v>
      </c>
      <c r="E1250" s="5">
        <f t="shared" si="39"/>
        <v>1.0854041702370802E-2</v>
      </c>
    </row>
    <row r="1251" spans="1:5" x14ac:dyDescent="0.25">
      <c r="A1251" t="s">
        <v>1255</v>
      </c>
      <c r="B1251">
        <v>60627</v>
      </c>
      <c r="C1251" s="5">
        <f t="shared" si="38"/>
        <v>-1.1252996721953129E-2</v>
      </c>
      <c r="D1251">
        <v>1272.8699999999999</v>
      </c>
      <c r="E1251" s="5">
        <f t="shared" si="39"/>
        <v>-9.1833851370449343E-4</v>
      </c>
    </row>
    <row r="1252" spans="1:5" x14ac:dyDescent="0.25">
      <c r="A1252" t="s">
        <v>1256</v>
      </c>
      <c r="B1252">
        <v>60528</v>
      </c>
      <c r="C1252" s="5">
        <f t="shared" si="38"/>
        <v>-1.6329358206739572E-3</v>
      </c>
      <c r="D1252">
        <v>1275.1400000000001</v>
      </c>
      <c r="E1252" s="5">
        <f t="shared" si="39"/>
        <v>1.7833714362033902E-3</v>
      </c>
    </row>
    <row r="1253" spans="1:5" x14ac:dyDescent="0.25">
      <c r="A1253" t="s">
        <v>1257</v>
      </c>
      <c r="B1253">
        <v>60134</v>
      </c>
      <c r="C1253" s="5">
        <f t="shared" si="38"/>
        <v>-6.5093840867036746E-3</v>
      </c>
      <c r="D1253">
        <v>1272.02</v>
      </c>
      <c r="E1253" s="5">
        <f t="shared" si="39"/>
        <v>-2.446790156375079E-3</v>
      </c>
    </row>
    <row r="1254" spans="1:5" x14ac:dyDescent="0.25">
      <c r="A1254" t="s">
        <v>1258</v>
      </c>
      <c r="B1254">
        <v>60134</v>
      </c>
      <c r="C1254" s="5">
        <f t="shared" si="38"/>
        <v>0</v>
      </c>
      <c r="D1254">
        <v>1266.78</v>
      </c>
      <c r="E1254" s="5">
        <f t="shared" si="39"/>
        <v>-4.1194320844011962E-3</v>
      </c>
    </row>
    <row r="1255" spans="1:5" x14ac:dyDescent="0.25">
      <c r="A1255" t="s">
        <v>1259</v>
      </c>
      <c r="B1255">
        <v>59739</v>
      </c>
      <c r="C1255" s="5">
        <f t="shared" si="38"/>
        <v>-6.5686633185884861E-3</v>
      </c>
      <c r="D1255">
        <v>1269.71</v>
      </c>
      <c r="E1255" s="5">
        <f t="shared" si="39"/>
        <v>2.3129509464943116E-3</v>
      </c>
    </row>
    <row r="1256" spans="1:5" x14ac:dyDescent="0.25">
      <c r="A1256" t="s">
        <v>1260</v>
      </c>
      <c r="B1256">
        <v>57768</v>
      </c>
      <c r="C1256" s="5">
        <f t="shared" si="38"/>
        <v>-3.2993521819916639E-2</v>
      </c>
      <c r="D1256">
        <v>1254.5899999999999</v>
      </c>
      <c r="E1256" s="5">
        <f t="shared" si="39"/>
        <v>-1.1908231013381102E-2</v>
      </c>
    </row>
    <row r="1257" spans="1:5" x14ac:dyDescent="0.25">
      <c r="A1257" t="s">
        <v>1261</v>
      </c>
      <c r="B1257">
        <v>56191</v>
      </c>
      <c r="C1257" s="5">
        <f t="shared" si="38"/>
        <v>-2.7298850574712645E-2</v>
      </c>
      <c r="D1257">
        <v>1246.3499999999999</v>
      </c>
      <c r="E1257" s="5">
        <f t="shared" si="39"/>
        <v>-6.5678827345985614E-3</v>
      </c>
    </row>
    <row r="1258" spans="1:5" x14ac:dyDescent="0.25">
      <c r="A1258" t="s">
        <v>1262</v>
      </c>
      <c r="B1258">
        <v>56289</v>
      </c>
      <c r="C1258" s="5">
        <f t="shared" si="38"/>
        <v>1.7440515385026072E-3</v>
      </c>
      <c r="D1258">
        <v>1246.95</v>
      </c>
      <c r="E1258" s="5">
        <f t="shared" si="39"/>
        <v>4.8140570465770969E-4</v>
      </c>
    </row>
    <row r="1259" spans="1:5" x14ac:dyDescent="0.25">
      <c r="A1259" t="s">
        <v>1263</v>
      </c>
      <c r="B1259">
        <v>57275</v>
      </c>
      <c r="C1259" s="5">
        <f t="shared" si="38"/>
        <v>1.7516743946419371E-2</v>
      </c>
      <c r="D1259">
        <v>1251.02</v>
      </c>
      <c r="E1259" s="5">
        <f t="shared" si="39"/>
        <v>3.26396407233645E-3</v>
      </c>
    </row>
    <row r="1260" spans="1:5" x14ac:dyDescent="0.25">
      <c r="A1260" t="s">
        <v>1264</v>
      </c>
      <c r="B1260">
        <v>56881</v>
      </c>
      <c r="C1260" s="5">
        <f t="shared" si="38"/>
        <v>-6.8790920995198601E-3</v>
      </c>
      <c r="D1260">
        <v>1245.77</v>
      </c>
      <c r="E1260" s="5">
        <f t="shared" si="39"/>
        <v>-4.1965755943150392E-3</v>
      </c>
    </row>
    <row r="1261" spans="1:5" x14ac:dyDescent="0.25">
      <c r="A1261" t="s">
        <v>1265</v>
      </c>
      <c r="B1261">
        <v>56684</v>
      </c>
      <c r="C1261" s="5">
        <f t="shared" si="38"/>
        <v>-3.4633708971361261E-3</v>
      </c>
      <c r="D1261">
        <v>1230.48</v>
      </c>
      <c r="E1261" s="5">
        <f t="shared" si="39"/>
        <v>-1.2273533637830389E-2</v>
      </c>
    </row>
    <row r="1262" spans="1:5" x14ac:dyDescent="0.25">
      <c r="A1262" t="s">
        <v>1266</v>
      </c>
      <c r="B1262">
        <v>56486</v>
      </c>
      <c r="C1262" s="5">
        <f t="shared" si="38"/>
        <v>-3.4930491849551903E-3</v>
      </c>
      <c r="D1262">
        <v>1235.6500000000001</v>
      </c>
      <c r="E1262" s="5">
        <f t="shared" si="39"/>
        <v>4.2016123789091024E-3</v>
      </c>
    </row>
    <row r="1263" spans="1:5" x14ac:dyDescent="0.25">
      <c r="A1263" t="s">
        <v>1267</v>
      </c>
      <c r="B1263">
        <v>56388</v>
      </c>
      <c r="C1263" s="5">
        <f t="shared" si="38"/>
        <v>-1.7349431717593739E-3</v>
      </c>
      <c r="D1263">
        <v>1229.07</v>
      </c>
      <c r="E1263" s="5">
        <f t="shared" si="39"/>
        <v>-5.3251325213451656E-3</v>
      </c>
    </row>
    <row r="1264" spans="1:5" x14ac:dyDescent="0.25">
      <c r="A1264" t="s">
        <v>1268</v>
      </c>
      <c r="B1264">
        <v>56486</v>
      </c>
      <c r="C1264" s="5">
        <f t="shared" si="38"/>
        <v>1.7379584308718167E-3</v>
      </c>
      <c r="D1264">
        <v>1236.18</v>
      </c>
      <c r="E1264" s="5">
        <f t="shared" si="39"/>
        <v>5.7848617247187933E-3</v>
      </c>
    </row>
    <row r="1265" spans="1:5" x14ac:dyDescent="0.25">
      <c r="A1265" t="s">
        <v>1269</v>
      </c>
      <c r="B1265">
        <v>56979</v>
      </c>
      <c r="C1265" s="5">
        <f t="shared" si="38"/>
        <v>8.7278263640548099E-3</v>
      </c>
      <c r="D1265">
        <v>1242.3599999999999</v>
      </c>
      <c r="E1265" s="5">
        <f t="shared" si="39"/>
        <v>4.9992719506866609E-3</v>
      </c>
    </row>
    <row r="1266" spans="1:5" x14ac:dyDescent="0.25">
      <c r="A1266" t="s">
        <v>1270</v>
      </c>
      <c r="B1266">
        <v>56881</v>
      </c>
      <c r="C1266" s="5">
        <f t="shared" si="38"/>
        <v>-1.7199319047368328E-3</v>
      </c>
      <c r="D1266">
        <v>1249.1099999999999</v>
      </c>
      <c r="E1266" s="5">
        <f t="shared" si="39"/>
        <v>5.4332077658649667E-3</v>
      </c>
    </row>
    <row r="1267" spans="1:5" x14ac:dyDescent="0.25">
      <c r="A1267" t="s">
        <v>1271</v>
      </c>
      <c r="B1267">
        <v>56684</v>
      </c>
      <c r="C1267" s="5">
        <f t="shared" si="38"/>
        <v>-3.4633708971361261E-3</v>
      </c>
      <c r="D1267">
        <v>1249.55</v>
      </c>
      <c r="E1267" s="5">
        <f t="shared" si="39"/>
        <v>3.5225080257147458E-4</v>
      </c>
    </row>
    <row r="1268" spans="1:5" x14ac:dyDescent="0.25">
      <c r="A1268" t="s">
        <v>1272</v>
      </c>
      <c r="B1268">
        <v>56881</v>
      </c>
      <c r="C1268" s="5">
        <f t="shared" si="38"/>
        <v>3.4754075224049112E-3</v>
      </c>
      <c r="D1268">
        <v>1246.0899999999999</v>
      </c>
      <c r="E1268" s="5">
        <f t="shared" si="39"/>
        <v>-2.7689968388620195E-3</v>
      </c>
    </row>
    <row r="1269" spans="1:5" x14ac:dyDescent="0.25">
      <c r="A1269" t="s">
        <v>1273</v>
      </c>
      <c r="B1269">
        <v>56585</v>
      </c>
      <c r="C1269" s="5">
        <f t="shared" si="38"/>
        <v>-5.2038466271690023E-3</v>
      </c>
      <c r="D1269">
        <v>1242.53</v>
      </c>
      <c r="E1269" s="5">
        <f t="shared" si="39"/>
        <v>-2.8569364973637101E-3</v>
      </c>
    </row>
    <row r="1270" spans="1:5" x14ac:dyDescent="0.25">
      <c r="A1270" t="s">
        <v>1274</v>
      </c>
      <c r="B1270">
        <v>58359</v>
      </c>
      <c r="C1270" s="5">
        <f t="shared" si="38"/>
        <v>3.1351064769815321E-2</v>
      </c>
      <c r="D1270">
        <v>1259.6300000000001</v>
      </c>
      <c r="E1270" s="5">
        <f t="shared" si="39"/>
        <v>1.3762243165155076E-2</v>
      </c>
    </row>
    <row r="1271" spans="1:5" x14ac:dyDescent="0.25">
      <c r="A1271" t="s">
        <v>1275</v>
      </c>
      <c r="B1271">
        <v>59247</v>
      </c>
      <c r="C1271" s="5">
        <f t="shared" si="38"/>
        <v>1.5216162031563256E-2</v>
      </c>
      <c r="D1271">
        <v>1265.05</v>
      </c>
      <c r="E1271" s="5">
        <f t="shared" si="39"/>
        <v>4.3028508371504683E-3</v>
      </c>
    </row>
    <row r="1272" spans="1:5" x14ac:dyDescent="0.25">
      <c r="A1272" t="s">
        <v>1276</v>
      </c>
      <c r="B1272">
        <v>58754</v>
      </c>
      <c r="C1272" s="5">
        <f t="shared" si="38"/>
        <v>-8.321096426823299E-3</v>
      </c>
      <c r="D1272">
        <v>1253.03</v>
      </c>
      <c r="E1272" s="5">
        <f t="shared" si="39"/>
        <v>-9.5016007272439688E-3</v>
      </c>
    </row>
    <row r="1273" spans="1:5" x14ac:dyDescent="0.25">
      <c r="A1273" t="s">
        <v>1277</v>
      </c>
      <c r="B1273">
        <v>58754</v>
      </c>
      <c r="C1273" s="5">
        <f t="shared" si="38"/>
        <v>0</v>
      </c>
      <c r="D1273">
        <v>1264.68</v>
      </c>
      <c r="E1273" s="5">
        <f t="shared" si="39"/>
        <v>9.2974629498097337E-3</v>
      </c>
    </row>
    <row r="1274" spans="1:5" x14ac:dyDescent="0.25">
      <c r="A1274" t="s">
        <v>1278</v>
      </c>
      <c r="B1274">
        <v>58557</v>
      </c>
      <c r="C1274" s="5">
        <f t="shared" si="38"/>
        <v>-3.3529632025053615E-3</v>
      </c>
      <c r="D1274">
        <v>1269.6099999999999</v>
      </c>
      <c r="E1274" s="5">
        <f t="shared" si="39"/>
        <v>3.8982193123951007E-3</v>
      </c>
    </row>
    <row r="1275" spans="1:5" x14ac:dyDescent="0.25">
      <c r="A1275" t="s">
        <v>1279</v>
      </c>
      <c r="B1275">
        <v>58261</v>
      </c>
      <c r="C1275" s="5">
        <f t="shared" si="38"/>
        <v>-5.0549037689772355E-3</v>
      </c>
      <c r="D1275">
        <v>1271.48</v>
      </c>
      <c r="E1275" s="5">
        <f t="shared" si="39"/>
        <v>1.4728932506833739E-3</v>
      </c>
    </row>
    <row r="1276" spans="1:5" x14ac:dyDescent="0.25">
      <c r="A1276" t="s">
        <v>1280</v>
      </c>
      <c r="B1276">
        <v>58064</v>
      </c>
      <c r="C1276" s="5">
        <f t="shared" si="38"/>
        <v>-3.3813357134275072E-3</v>
      </c>
      <c r="D1276">
        <v>1275.2</v>
      </c>
      <c r="E1276" s="5">
        <f t="shared" si="39"/>
        <v>2.9257243527228325E-3</v>
      </c>
    </row>
    <row r="1277" spans="1:5" x14ac:dyDescent="0.25">
      <c r="A1277" t="s">
        <v>1281</v>
      </c>
      <c r="B1277">
        <v>56585</v>
      </c>
      <c r="C1277" s="5">
        <f t="shared" si="38"/>
        <v>-2.5471893083494075E-2</v>
      </c>
      <c r="D1277">
        <v>1263.26</v>
      </c>
      <c r="E1277" s="5">
        <f t="shared" si="39"/>
        <v>-9.3632371392723141E-3</v>
      </c>
    </row>
    <row r="1278" spans="1:5" x14ac:dyDescent="0.25">
      <c r="A1278" t="s">
        <v>1282</v>
      </c>
      <c r="B1278">
        <v>55599</v>
      </c>
      <c r="C1278" s="5">
        <f t="shared" si="38"/>
        <v>-1.7425112662366352E-2</v>
      </c>
      <c r="D1278">
        <v>1268.45</v>
      </c>
      <c r="E1278" s="5">
        <f t="shared" si="39"/>
        <v>4.1084179028862263E-3</v>
      </c>
    </row>
    <row r="1279" spans="1:5" x14ac:dyDescent="0.25">
      <c r="A1279" t="s">
        <v>1283</v>
      </c>
      <c r="B1279">
        <v>55599</v>
      </c>
      <c r="C1279" s="5">
        <f t="shared" si="38"/>
        <v>0</v>
      </c>
      <c r="D1279">
        <v>1266.9100000000001</v>
      </c>
      <c r="E1279" s="5">
        <f t="shared" si="39"/>
        <v>-1.2140801765934514E-3</v>
      </c>
    </row>
    <row r="1280" spans="1:5" x14ac:dyDescent="0.25">
      <c r="A1280" t="s">
        <v>1284</v>
      </c>
      <c r="B1280">
        <v>54022</v>
      </c>
      <c r="C1280" s="5">
        <f t="shared" si="38"/>
        <v>-2.8363819493156351E-2</v>
      </c>
      <c r="D1280">
        <v>1270.3499999999999</v>
      </c>
      <c r="E1280" s="5">
        <f t="shared" si="39"/>
        <v>2.7152678564379687E-3</v>
      </c>
    </row>
    <row r="1281" spans="1:5" x14ac:dyDescent="0.25">
      <c r="A1281" t="s">
        <v>1285</v>
      </c>
      <c r="B1281">
        <v>54416</v>
      </c>
      <c r="C1281" s="5">
        <f t="shared" si="38"/>
        <v>7.2933249416904222E-3</v>
      </c>
      <c r="D1281">
        <v>1276.08</v>
      </c>
      <c r="E1281" s="5">
        <f t="shared" si="39"/>
        <v>4.5105679537135578E-3</v>
      </c>
    </row>
    <row r="1282" spans="1:5" x14ac:dyDescent="0.25">
      <c r="A1282" t="s">
        <v>1286</v>
      </c>
      <c r="B1282">
        <v>53332</v>
      </c>
      <c r="C1282" s="5">
        <f t="shared" si="38"/>
        <v>-1.9920611584827993E-2</v>
      </c>
      <c r="D1282">
        <v>1272.72</v>
      </c>
      <c r="E1282" s="5">
        <f t="shared" si="39"/>
        <v>-2.6330637577580561E-3</v>
      </c>
    </row>
    <row r="1283" spans="1:5" x14ac:dyDescent="0.25">
      <c r="A1283" t="s">
        <v>1287</v>
      </c>
      <c r="B1283">
        <v>53726</v>
      </c>
      <c r="C1283" s="5">
        <f t="shared" si="38"/>
        <v>7.387684692117303E-3</v>
      </c>
      <c r="D1283">
        <v>1278.1400000000001</v>
      </c>
      <c r="E1283" s="5">
        <f t="shared" si="39"/>
        <v>4.2585957634044191E-3</v>
      </c>
    </row>
    <row r="1284" spans="1:5" x14ac:dyDescent="0.25">
      <c r="A1284" t="s">
        <v>1288</v>
      </c>
      <c r="B1284">
        <v>55008</v>
      </c>
      <c r="C1284" s="5">
        <f t="shared" si="38"/>
        <v>2.3861817369616199E-2</v>
      </c>
      <c r="D1284">
        <v>1288.56</v>
      </c>
      <c r="E1284" s="5">
        <f t="shared" si="39"/>
        <v>8.152471560235847E-3</v>
      </c>
    </row>
    <row r="1285" spans="1:5" x14ac:dyDescent="0.25">
      <c r="A1285" t="s">
        <v>1289</v>
      </c>
      <c r="B1285">
        <v>55895</v>
      </c>
      <c r="C1285" s="5">
        <f t="shared" si="38"/>
        <v>1.6124927283304245E-2</v>
      </c>
      <c r="D1285">
        <v>1292.98</v>
      </c>
      <c r="E1285" s="5">
        <f t="shared" si="39"/>
        <v>3.4301856335755207E-3</v>
      </c>
    </row>
    <row r="1286" spans="1:5" x14ac:dyDescent="0.25">
      <c r="A1286" t="s">
        <v>1290</v>
      </c>
      <c r="B1286">
        <v>57275</v>
      </c>
      <c r="C1286" s="5">
        <f t="shared" ref="C1286:C1349" si="40">(B1286-B1285)/B1285</f>
        <v>2.4689149297790501E-2</v>
      </c>
      <c r="D1286">
        <v>1296.75</v>
      </c>
      <c r="E1286" s="5">
        <f t="shared" ref="E1286:E1349" si="41">(D1286-D1285)/D1285</f>
        <v>2.9157450231248601E-3</v>
      </c>
    </row>
    <row r="1287" spans="1:5" x14ac:dyDescent="0.25">
      <c r="A1287" t="s">
        <v>1291</v>
      </c>
      <c r="B1287">
        <v>57571</v>
      </c>
      <c r="C1287" s="5">
        <f t="shared" si="40"/>
        <v>5.1680488869489307E-3</v>
      </c>
      <c r="D1287">
        <v>1304.56</v>
      </c>
      <c r="E1287" s="5">
        <f t="shared" si="41"/>
        <v>6.0227491806438757E-3</v>
      </c>
    </row>
    <row r="1288" spans="1:5" x14ac:dyDescent="0.25">
      <c r="A1288" t="s">
        <v>1292</v>
      </c>
      <c r="B1288">
        <v>57472</v>
      </c>
      <c r="C1288" s="5">
        <f t="shared" si="40"/>
        <v>-1.7196157787775096E-3</v>
      </c>
      <c r="D1288">
        <v>1303.1600000000001</v>
      </c>
      <c r="E1288" s="5">
        <f t="shared" si="41"/>
        <v>-1.0731587661739312E-3</v>
      </c>
    </row>
    <row r="1289" spans="1:5" x14ac:dyDescent="0.25">
      <c r="A1289" t="s">
        <v>1293</v>
      </c>
      <c r="B1289">
        <v>57866</v>
      </c>
      <c r="C1289" s="5">
        <f t="shared" si="40"/>
        <v>6.8555122494432068E-3</v>
      </c>
      <c r="D1289">
        <v>1302.96</v>
      </c>
      <c r="E1289" s="5">
        <f t="shared" si="41"/>
        <v>-1.5347309616627695E-4</v>
      </c>
    </row>
    <row r="1290" spans="1:5" x14ac:dyDescent="0.25">
      <c r="A1290" t="s">
        <v>1294</v>
      </c>
      <c r="B1290">
        <v>57768</v>
      </c>
      <c r="C1290" s="5">
        <f t="shared" si="40"/>
        <v>-1.6935678982476757E-3</v>
      </c>
      <c r="D1290">
        <v>1307.8</v>
      </c>
      <c r="E1290" s="5">
        <f t="shared" si="41"/>
        <v>3.7146190213052728E-3</v>
      </c>
    </row>
    <row r="1291" spans="1:5" x14ac:dyDescent="0.25">
      <c r="A1291" t="s">
        <v>1295</v>
      </c>
      <c r="B1291">
        <v>57472</v>
      </c>
      <c r="C1291" s="5">
        <f t="shared" si="40"/>
        <v>-5.1239440520703507E-3</v>
      </c>
      <c r="D1291">
        <v>1305.3599999999999</v>
      </c>
      <c r="E1291" s="5">
        <f t="shared" si="41"/>
        <v>-1.8657287046949492E-3</v>
      </c>
    </row>
    <row r="1292" spans="1:5" x14ac:dyDescent="0.25">
      <c r="A1292" t="s">
        <v>1296</v>
      </c>
      <c r="B1292">
        <v>57965</v>
      </c>
      <c r="C1292" s="5">
        <f t="shared" si="40"/>
        <v>8.5780902004454346E-3</v>
      </c>
      <c r="D1292">
        <v>1309.3699999999999</v>
      </c>
      <c r="E1292" s="5">
        <f t="shared" si="41"/>
        <v>3.0719495005209225E-3</v>
      </c>
    </row>
    <row r="1293" spans="1:5" x14ac:dyDescent="0.25">
      <c r="A1293" t="s">
        <v>1297</v>
      </c>
      <c r="B1293">
        <v>58655</v>
      </c>
      <c r="C1293" s="5">
        <f t="shared" si="40"/>
        <v>1.1903735012507547E-2</v>
      </c>
      <c r="D1293">
        <v>1311.91</v>
      </c>
      <c r="E1293" s="5">
        <f t="shared" si="41"/>
        <v>1.9398642095054806E-3</v>
      </c>
    </row>
    <row r="1294" spans="1:5" x14ac:dyDescent="0.25">
      <c r="A1294" t="s">
        <v>1298</v>
      </c>
      <c r="B1294">
        <v>58754</v>
      </c>
      <c r="C1294" s="5">
        <f t="shared" si="40"/>
        <v>1.6878356491347711E-3</v>
      </c>
      <c r="D1294">
        <v>1304.71</v>
      </c>
      <c r="E1294" s="5">
        <f t="shared" si="41"/>
        <v>-5.4881813539038845E-3</v>
      </c>
    </row>
    <row r="1295" spans="1:5" x14ac:dyDescent="0.25">
      <c r="A1295" t="s">
        <v>1299</v>
      </c>
      <c r="B1295">
        <v>61021</v>
      </c>
      <c r="C1295" s="5">
        <f t="shared" si="40"/>
        <v>3.8584607005480477E-2</v>
      </c>
      <c r="D1295">
        <v>1318.22</v>
      </c>
      <c r="E1295" s="5">
        <f t="shared" si="41"/>
        <v>1.035479148623065E-2</v>
      </c>
    </row>
    <row r="1296" spans="1:5" x14ac:dyDescent="0.25">
      <c r="A1296" t="s">
        <v>1300</v>
      </c>
      <c r="B1296">
        <v>61021</v>
      </c>
      <c r="C1296" s="5">
        <f t="shared" si="40"/>
        <v>0</v>
      </c>
      <c r="D1296">
        <v>1326.05</v>
      </c>
      <c r="E1296" s="5">
        <f t="shared" si="41"/>
        <v>5.9398279498110535E-3</v>
      </c>
    </row>
    <row r="1297" spans="1:5" x14ac:dyDescent="0.25">
      <c r="A1297" t="s">
        <v>1301</v>
      </c>
      <c r="B1297">
        <v>61317</v>
      </c>
      <c r="C1297" s="5">
        <f t="shared" si="40"/>
        <v>4.8507890726143463E-3</v>
      </c>
      <c r="D1297">
        <v>1330.28</v>
      </c>
      <c r="E1297" s="5">
        <f t="shared" si="41"/>
        <v>3.1899249651219925E-3</v>
      </c>
    </row>
    <row r="1298" spans="1:5" x14ac:dyDescent="0.25">
      <c r="A1298" t="s">
        <v>1302</v>
      </c>
      <c r="B1298">
        <v>62105</v>
      </c>
      <c r="C1298" s="5">
        <f t="shared" si="40"/>
        <v>1.28512484302885E-2</v>
      </c>
      <c r="D1298">
        <v>1332.54</v>
      </c>
      <c r="E1298" s="5">
        <f t="shared" si="41"/>
        <v>1.6988904591514499E-3</v>
      </c>
    </row>
    <row r="1299" spans="1:5" x14ac:dyDescent="0.25">
      <c r="A1299" t="s">
        <v>1303</v>
      </c>
      <c r="B1299">
        <v>61810</v>
      </c>
      <c r="C1299" s="5">
        <f t="shared" si="40"/>
        <v>-4.7500201272039286E-3</v>
      </c>
      <c r="D1299">
        <v>1334.41</v>
      </c>
      <c r="E1299" s="5">
        <f t="shared" si="41"/>
        <v>1.4033349843157565E-3</v>
      </c>
    </row>
    <row r="1300" spans="1:5" x14ac:dyDescent="0.25">
      <c r="A1300" t="s">
        <v>1304</v>
      </c>
      <c r="B1300">
        <v>60627</v>
      </c>
      <c r="C1300" s="5">
        <f t="shared" si="40"/>
        <v>-1.913929784824462E-2</v>
      </c>
      <c r="D1300">
        <v>1326.27</v>
      </c>
      <c r="E1300" s="5">
        <f t="shared" si="41"/>
        <v>-6.1000741900915758E-3</v>
      </c>
    </row>
    <row r="1301" spans="1:5" x14ac:dyDescent="0.25">
      <c r="A1301" t="s">
        <v>1305</v>
      </c>
      <c r="B1301">
        <v>60627</v>
      </c>
      <c r="C1301" s="5">
        <f t="shared" si="40"/>
        <v>0</v>
      </c>
      <c r="D1301">
        <v>1326.15</v>
      </c>
      <c r="E1301" s="5">
        <f t="shared" si="41"/>
        <v>-9.0479314166716323E-5</v>
      </c>
    </row>
    <row r="1302" spans="1:5" x14ac:dyDescent="0.25">
      <c r="A1302" t="s">
        <v>1306</v>
      </c>
      <c r="B1302">
        <v>61120</v>
      </c>
      <c r="C1302" s="5">
        <f t="shared" si="40"/>
        <v>8.1316905009319283E-3</v>
      </c>
      <c r="D1302">
        <v>1336.26</v>
      </c>
      <c r="E1302" s="5">
        <f t="shared" si="41"/>
        <v>7.6235719941182365E-3</v>
      </c>
    </row>
    <row r="1303" spans="1:5" x14ac:dyDescent="0.25">
      <c r="A1303" t="s">
        <v>1307</v>
      </c>
      <c r="B1303">
        <v>60922</v>
      </c>
      <c r="C1303" s="5">
        <f t="shared" si="40"/>
        <v>-3.2395287958115184E-3</v>
      </c>
      <c r="D1303">
        <v>1330.97</v>
      </c>
      <c r="E1303" s="5">
        <f t="shared" si="41"/>
        <v>-3.9588104111475042E-3</v>
      </c>
    </row>
    <row r="1304" spans="1:5" x14ac:dyDescent="0.25">
      <c r="A1304" t="s">
        <v>1308</v>
      </c>
      <c r="B1304">
        <v>58655</v>
      </c>
      <c r="C1304" s="5">
        <f t="shared" si="40"/>
        <v>-3.7211516365188275E-2</v>
      </c>
      <c r="D1304">
        <v>1324.63</v>
      </c>
      <c r="E1304" s="5">
        <f t="shared" si="41"/>
        <v>-4.7634432030773935E-3</v>
      </c>
    </row>
    <row r="1305" spans="1:5" x14ac:dyDescent="0.25">
      <c r="A1305" t="s">
        <v>1309</v>
      </c>
      <c r="B1305">
        <v>59148</v>
      </c>
      <c r="C1305" s="5">
        <f t="shared" si="40"/>
        <v>8.405080555792345E-3</v>
      </c>
      <c r="D1305">
        <v>1323.93</v>
      </c>
      <c r="E1305" s="5">
        <f t="shared" si="41"/>
        <v>-5.2844945380977736E-4</v>
      </c>
    </row>
    <row r="1306" spans="1:5" x14ac:dyDescent="0.25">
      <c r="A1306" t="s">
        <v>1310</v>
      </c>
      <c r="B1306">
        <v>59444</v>
      </c>
      <c r="C1306" s="5">
        <f t="shared" si="40"/>
        <v>5.0043957530263071E-3</v>
      </c>
      <c r="D1306">
        <v>1321.88</v>
      </c>
      <c r="E1306" s="5">
        <f t="shared" si="41"/>
        <v>-1.5484202336981218E-3</v>
      </c>
    </row>
    <row r="1307" spans="1:5" x14ac:dyDescent="0.25">
      <c r="A1307" t="s">
        <v>1311</v>
      </c>
      <c r="B1307">
        <v>59444</v>
      </c>
      <c r="C1307" s="5">
        <f t="shared" si="40"/>
        <v>0</v>
      </c>
      <c r="D1307">
        <v>1330.32</v>
      </c>
      <c r="E1307" s="5">
        <f t="shared" si="41"/>
        <v>6.3848458256421355E-3</v>
      </c>
    </row>
    <row r="1308" spans="1:5" x14ac:dyDescent="0.25">
      <c r="A1308" t="s">
        <v>1312</v>
      </c>
      <c r="B1308">
        <v>59641</v>
      </c>
      <c r="C1308" s="5">
        <f t="shared" si="40"/>
        <v>3.3140434694838841E-3</v>
      </c>
      <c r="D1308">
        <v>1331.92</v>
      </c>
      <c r="E1308" s="5">
        <f t="shared" si="41"/>
        <v>1.2027181430032897E-3</v>
      </c>
    </row>
    <row r="1309" spans="1:5" x14ac:dyDescent="0.25">
      <c r="A1309" t="s">
        <v>1313</v>
      </c>
      <c r="B1309">
        <v>59937</v>
      </c>
      <c r="C1309" s="5">
        <f t="shared" si="40"/>
        <v>4.9630287889203739E-3</v>
      </c>
      <c r="D1309">
        <v>1326.09</v>
      </c>
      <c r="E1309" s="5">
        <f t="shared" si="41"/>
        <v>-4.3771397681543591E-3</v>
      </c>
    </row>
    <row r="1310" spans="1:5" x14ac:dyDescent="0.25">
      <c r="A1310" t="s">
        <v>1314</v>
      </c>
      <c r="B1310">
        <v>59542</v>
      </c>
      <c r="C1310" s="5">
        <f t="shared" si="40"/>
        <v>-6.5902530990873754E-3</v>
      </c>
      <c r="D1310">
        <v>1323.81</v>
      </c>
      <c r="E1310" s="5">
        <f t="shared" si="41"/>
        <v>-1.7193403162681061E-3</v>
      </c>
    </row>
    <row r="1311" spans="1:5" x14ac:dyDescent="0.25">
      <c r="A1311" t="s">
        <v>1315</v>
      </c>
      <c r="B1311">
        <v>58951</v>
      </c>
      <c r="C1311" s="5">
        <f t="shared" si="40"/>
        <v>-9.9257666857008493E-3</v>
      </c>
      <c r="D1311">
        <v>1317.46</v>
      </c>
      <c r="E1311" s="5">
        <f t="shared" si="41"/>
        <v>-4.7967608644744406E-3</v>
      </c>
    </row>
    <row r="1312" spans="1:5" x14ac:dyDescent="0.25">
      <c r="A1312" t="s">
        <v>1316</v>
      </c>
      <c r="B1312">
        <v>58162</v>
      </c>
      <c r="C1312" s="5">
        <f t="shared" si="40"/>
        <v>-1.3383996878763718E-2</v>
      </c>
      <c r="D1312">
        <v>1306.8599999999999</v>
      </c>
      <c r="E1312" s="5">
        <f t="shared" si="41"/>
        <v>-8.0457850712736152E-3</v>
      </c>
    </row>
    <row r="1313" spans="1:5" x14ac:dyDescent="0.25">
      <c r="A1313" t="s">
        <v>1317</v>
      </c>
      <c r="B1313">
        <v>57768</v>
      </c>
      <c r="C1313" s="5">
        <f t="shared" si="40"/>
        <v>-6.7741824558990409E-3</v>
      </c>
      <c r="D1313">
        <v>1317.33</v>
      </c>
      <c r="E1313" s="5">
        <f t="shared" si="41"/>
        <v>8.0115697167256073E-3</v>
      </c>
    </row>
    <row r="1314" spans="1:5" x14ac:dyDescent="0.25">
      <c r="A1314" t="s">
        <v>1318</v>
      </c>
      <c r="B1314">
        <v>57965</v>
      </c>
      <c r="C1314" s="5">
        <f t="shared" si="40"/>
        <v>3.4101924941143886E-3</v>
      </c>
      <c r="D1314">
        <v>1317.83</v>
      </c>
      <c r="E1314" s="5">
        <f t="shared" si="41"/>
        <v>3.7955561628445419E-4</v>
      </c>
    </row>
    <row r="1315" spans="1:5" x14ac:dyDescent="0.25">
      <c r="A1315" t="s">
        <v>1319</v>
      </c>
      <c r="B1315">
        <v>53923</v>
      </c>
      <c r="C1315" s="5">
        <f t="shared" si="40"/>
        <v>-6.9731734667471748E-2</v>
      </c>
      <c r="D1315">
        <v>1229.8399999999999</v>
      </c>
      <c r="E1315" s="5">
        <f t="shared" si="41"/>
        <v>-6.6768854859883306E-2</v>
      </c>
    </row>
    <row r="1316" spans="1:5" x14ac:dyDescent="0.25">
      <c r="A1316" t="s">
        <v>1320</v>
      </c>
      <c r="B1316">
        <v>52050</v>
      </c>
      <c r="C1316" s="5">
        <f t="shared" si="40"/>
        <v>-3.473471431485637E-2</v>
      </c>
      <c r="D1316">
        <v>1210.67</v>
      </c>
      <c r="E1316" s="5">
        <f t="shared" si="41"/>
        <v>-1.5587393482078845E-2</v>
      </c>
    </row>
    <row r="1317" spans="1:5" x14ac:dyDescent="0.25">
      <c r="A1317" t="s">
        <v>1321</v>
      </c>
      <c r="B1317">
        <v>48452</v>
      </c>
      <c r="C1317" s="5">
        <f t="shared" si="40"/>
        <v>-6.912584053794428E-2</v>
      </c>
      <c r="D1317">
        <v>1132.79</v>
      </c>
      <c r="E1317" s="5">
        <f t="shared" si="41"/>
        <v>-6.4328016718015732E-2</v>
      </c>
    </row>
    <row r="1318" spans="1:5" x14ac:dyDescent="0.25">
      <c r="A1318" t="s">
        <v>1322</v>
      </c>
      <c r="B1318">
        <v>45593</v>
      </c>
      <c r="C1318" s="5">
        <f t="shared" si="40"/>
        <v>-5.9006852142326427E-2</v>
      </c>
      <c r="D1318">
        <v>1094.3</v>
      </c>
      <c r="E1318" s="5">
        <f t="shared" si="41"/>
        <v>-3.397805418480037E-2</v>
      </c>
    </row>
    <row r="1319" spans="1:5" x14ac:dyDescent="0.25">
      <c r="A1319" t="s">
        <v>1323</v>
      </c>
      <c r="B1319">
        <v>48748</v>
      </c>
      <c r="C1319" s="5">
        <f t="shared" si="40"/>
        <v>6.9199219178382648E-2</v>
      </c>
      <c r="D1319">
        <v>1168.3399999999999</v>
      </c>
      <c r="E1319" s="5">
        <f t="shared" si="41"/>
        <v>6.7659691126747662E-2</v>
      </c>
    </row>
    <row r="1320" spans="1:5" x14ac:dyDescent="0.25">
      <c r="A1320" t="s">
        <v>1324</v>
      </c>
      <c r="B1320">
        <v>52149</v>
      </c>
      <c r="C1320" s="5">
        <f t="shared" si="40"/>
        <v>6.9766964798555833E-2</v>
      </c>
      <c r="D1320">
        <v>1222.46</v>
      </c>
      <c r="E1320" s="5">
        <f t="shared" si="41"/>
        <v>4.632213225602147E-2</v>
      </c>
    </row>
    <row r="1321" spans="1:5" x14ac:dyDescent="0.25">
      <c r="A1321" t="s">
        <v>1325</v>
      </c>
      <c r="B1321">
        <v>55796</v>
      </c>
      <c r="C1321" s="5">
        <f t="shared" si="40"/>
        <v>6.9934226926690823E-2</v>
      </c>
      <c r="D1321">
        <v>1241.44</v>
      </c>
      <c r="E1321" s="5">
        <f t="shared" si="41"/>
        <v>1.5526070382671023E-2</v>
      </c>
    </row>
    <row r="1322" spans="1:5" x14ac:dyDescent="0.25">
      <c r="A1322" t="s">
        <v>1326</v>
      </c>
      <c r="B1322">
        <v>56289</v>
      </c>
      <c r="C1322" s="5">
        <f t="shared" si="40"/>
        <v>8.8357588357588362E-3</v>
      </c>
      <c r="D1322">
        <v>1227.79</v>
      </c>
      <c r="E1322" s="5">
        <f t="shared" si="41"/>
        <v>-1.0995295785539446E-2</v>
      </c>
    </row>
    <row r="1323" spans="1:5" x14ac:dyDescent="0.25">
      <c r="A1323" t="s">
        <v>1327</v>
      </c>
      <c r="B1323">
        <v>55993</v>
      </c>
      <c r="C1323" s="5">
        <f t="shared" si="40"/>
        <v>-5.2585762760041926E-3</v>
      </c>
      <c r="D1323">
        <v>1210.3</v>
      </c>
      <c r="E1323" s="5">
        <f t="shared" si="41"/>
        <v>-1.4245107062282646E-2</v>
      </c>
    </row>
    <row r="1324" spans="1:5" x14ac:dyDescent="0.25">
      <c r="A1324" t="s">
        <v>1328</v>
      </c>
      <c r="B1324">
        <v>55993</v>
      </c>
      <c r="C1324" s="5">
        <f t="shared" si="40"/>
        <v>0</v>
      </c>
      <c r="D1324">
        <v>1217.25</v>
      </c>
      <c r="E1324" s="5">
        <f t="shared" si="41"/>
        <v>5.7423779228290882E-3</v>
      </c>
    </row>
    <row r="1325" spans="1:5" x14ac:dyDescent="0.25">
      <c r="A1325" t="s">
        <v>1329</v>
      </c>
      <c r="B1325">
        <v>55402</v>
      </c>
      <c r="C1325" s="5">
        <f t="shared" si="40"/>
        <v>-1.0554890789920168E-2</v>
      </c>
      <c r="D1325">
        <v>1219.1199999999999</v>
      </c>
      <c r="E1325" s="5">
        <f t="shared" si="41"/>
        <v>1.5362497432736832E-3</v>
      </c>
    </row>
    <row r="1326" spans="1:5" x14ac:dyDescent="0.25">
      <c r="A1326" t="s">
        <v>1330</v>
      </c>
      <c r="B1326">
        <v>54810</v>
      </c>
      <c r="C1326" s="5">
        <f t="shared" si="40"/>
        <v>-1.068553481823761E-2</v>
      </c>
      <c r="D1326">
        <v>1207.07</v>
      </c>
      <c r="E1326" s="5">
        <f t="shared" si="41"/>
        <v>-9.8841787518865708E-3</v>
      </c>
    </row>
    <row r="1327" spans="1:5" x14ac:dyDescent="0.25">
      <c r="A1327" t="s">
        <v>1331</v>
      </c>
      <c r="B1327">
        <v>56486</v>
      </c>
      <c r="C1327" s="5">
        <f t="shared" si="40"/>
        <v>3.0578361612844371E-2</v>
      </c>
      <c r="D1327">
        <v>1197.1300000000001</v>
      </c>
      <c r="E1327" s="5">
        <f t="shared" si="41"/>
        <v>-8.2348165392229344E-3</v>
      </c>
    </row>
    <row r="1328" spans="1:5" x14ac:dyDescent="0.25">
      <c r="A1328" t="s">
        <v>1332</v>
      </c>
      <c r="B1328">
        <v>57965</v>
      </c>
      <c r="C1328" s="5">
        <f t="shared" si="40"/>
        <v>2.6183479092164431E-2</v>
      </c>
      <c r="D1328">
        <v>1211</v>
      </c>
      <c r="E1328" s="5">
        <f t="shared" si="41"/>
        <v>1.1586043286860984E-2</v>
      </c>
    </row>
    <row r="1329" spans="1:5" x14ac:dyDescent="0.25">
      <c r="A1329" t="s">
        <v>1333</v>
      </c>
      <c r="B1329">
        <v>58852</v>
      </c>
      <c r="C1329" s="5">
        <f t="shared" si="40"/>
        <v>1.5302337617527818E-2</v>
      </c>
      <c r="D1329">
        <v>1223.3499999999999</v>
      </c>
      <c r="E1329" s="5">
        <f t="shared" si="41"/>
        <v>1.0198183319570528E-2</v>
      </c>
    </row>
    <row r="1330" spans="1:5" x14ac:dyDescent="0.25">
      <c r="A1330" t="s">
        <v>1334</v>
      </c>
      <c r="B1330">
        <v>59641</v>
      </c>
      <c r="C1330" s="5">
        <f t="shared" si="40"/>
        <v>1.34065112485557E-2</v>
      </c>
      <c r="D1330">
        <v>1229.23</v>
      </c>
      <c r="E1330" s="5">
        <f t="shared" si="41"/>
        <v>4.8064740262395138E-3</v>
      </c>
    </row>
    <row r="1331" spans="1:5" x14ac:dyDescent="0.25">
      <c r="A1331" t="s">
        <v>1335</v>
      </c>
      <c r="B1331">
        <v>60035</v>
      </c>
      <c r="C1331" s="5">
        <f t="shared" si="40"/>
        <v>6.6061937257926593E-3</v>
      </c>
      <c r="D1331">
        <v>1226.8</v>
      </c>
      <c r="E1331" s="5">
        <f t="shared" si="41"/>
        <v>-1.9768472946479205E-3</v>
      </c>
    </row>
    <row r="1332" spans="1:5" x14ac:dyDescent="0.25">
      <c r="A1332" t="s">
        <v>1336</v>
      </c>
      <c r="B1332">
        <v>59937</v>
      </c>
      <c r="C1332" s="5">
        <f t="shared" si="40"/>
        <v>-1.6323811110185724E-3</v>
      </c>
      <c r="D1332">
        <v>1226.3</v>
      </c>
      <c r="E1332" s="5">
        <f t="shared" si="41"/>
        <v>-4.0756439517443757E-4</v>
      </c>
    </row>
    <row r="1333" spans="1:5" x14ac:dyDescent="0.25">
      <c r="A1333" t="s">
        <v>1337</v>
      </c>
      <c r="B1333">
        <v>60134</v>
      </c>
      <c r="C1333" s="5">
        <f t="shared" si="40"/>
        <v>3.2867844570131973E-3</v>
      </c>
      <c r="D1333">
        <v>1240.05</v>
      </c>
      <c r="E1333" s="5">
        <f t="shared" si="41"/>
        <v>1.1212590720052189E-2</v>
      </c>
    </row>
    <row r="1334" spans="1:5" x14ac:dyDescent="0.25">
      <c r="A1334" t="s">
        <v>1338</v>
      </c>
      <c r="B1334">
        <v>59641</v>
      </c>
      <c r="C1334" s="5">
        <f t="shared" si="40"/>
        <v>-8.1983570026939838E-3</v>
      </c>
      <c r="D1334">
        <v>1241.95</v>
      </c>
      <c r="E1334" s="5">
        <f t="shared" si="41"/>
        <v>1.5321962824080407E-3</v>
      </c>
    </row>
    <row r="1335" spans="1:5" x14ac:dyDescent="0.25">
      <c r="A1335" t="s">
        <v>1339</v>
      </c>
      <c r="B1335">
        <v>59247</v>
      </c>
      <c r="C1335" s="5">
        <f t="shared" si="40"/>
        <v>-6.6061937257926593E-3</v>
      </c>
      <c r="D1335">
        <v>1250.3699999999999</v>
      </c>
      <c r="E1335" s="5">
        <f t="shared" si="41"/>
        <v>6.7796610169490274E-3</v>
      </c>
    </row>
    <row r="1336" spans="1:5" x14ac:dyDescent="0.25">
      <c r="A1336" t="s">
        <v>1340</v>
      </c>
      <c r="B1336">
        <v>59444</v>
      </c>
      <c r="C1336" s="5">
        <f t="shared" si="40"/>
        <v>3.3250628723817239E-3</v>
      </c>
      <c r="D1336">
        <v>1269.8</v>
      </c>
      <c r="E1336" s="5">
        <f t="shared" si="41"/>
        <v>1.5539400337500153E-2</v>
      </c>
    </row>
    <row r="1337" spans="1:5" x14ac:dyDescent="0.25">
      <c r="A1337" t="s">
        <v>1341</v>
      </c>
      <c r="B1337">
        <v>59542</v>
      </c>
      <c r="C1337" s="5">
        <f t="shared" si="40"/>
        <v>1.6486104569006124E-3</v>
      </c>
      <c r="D1337">
        <v>1267.3</v>
      </c>
      <c r="E1337" s="5">
        <f t="shared" si="41"/>
        <v>-1.9688139864545598E-3</v>
      </c>
    </row>
    <row r="1338" spans="1:5" x14ac:dyDescent="0.25">
      <c r="A1338" t="s">
        <v>1342</v>
      </c>
      <c r="B1338">
        <v>59937</v>
      </c>
      <c r="C1338" s="5">
        <f t="shared" si="40"/>
        <v>6.6339726579557291E-3</v>
      </c>
      <c r="D1338">
        <v>1283.26</v>
      </c>
      <c r="E1338" s="5">
        <f t="shared" si="41"/>
        <v>1.2593703148425816E-2</v>
      </c>
    </row>
    <row r="1339" spans="1:5" x14ac:dyDescent="0.25">
      <c r="A1339" t="s">
        <v>1343</v>
      </c>
      <c r="B1339">
        <v>62598</v>
      </c>
      <c r="C1339" s="5">
        <f t="shared" si="40"/>
        <v>4.4396616447269631E-2</v>
      </c>
      <c r="D1339">
        <v>1293.43</v>
      </c>
      <c r="E1339" s="5">
        <f t="shared" si="41"/>
        <v>7.925128189143333E-3</v>
      </c>
    </row>
    <row r="1340" spans="1:5" x14ac:dyDescent="0.25">
      <c r="A1340" t="s">
        <v>1344</v>
      </c>
      <c r="B1340">
        <v>63091</v>
      </c>
      <c r="C1340" s="5">
        <f t="shared" si="40"/>
        <v>7.8756509792645129E-3</v>
      </c>
      <c r="D1340">
        <v>1309.73</v>
      </c>
      <c r="E1340" s="5">
        <f t="shared" si="41"/>
        <v>1.2602150870166884E-2</v>
      </c>
    </row>
    <row r="1341" spans="1:5" x14ac:dyDescent="0.25">
      <c r="A1341" t="s">
        <v>1345</v>
      </c>
      <c r="B1341">
        <v>63387</v>
      </c>
      <c r="C1341" s="5">
        <f t="shared" si="40"/>
        <v>4.6916358910145664E-3</v>
      </c>
      <c r="D1341">
        <v>1313.2</v>
      </c>
      <c r="E1341" s="5">
        <f t="shared" si="41"/>
        <v>2.6494010215846221E-3</v>
      </c>
    </row>
    <row r="1342" spans="1:5" x14ac:dyDescent="0.25">
      <c r="A1342" t="s">
        <v>1346</v>
      </c>
      <c r="B1342">
        <v>62894</v>
      </c>
      <c r="C1342" s="5">
        <f t="shared" si="40"/>
        <v>-7.7776200167226717E-3</v>
      </c>
      <c r="D1342">
        <v>1301.3900000000001</v>
      </c>
      <c r="E1342" s="5">
        <f t="shared" si="41"/>
        <v>-8.9932988120620967E-3</v>
      </c>
    </row>
    <row r="1343" spans="1:5" x14ac:dyDescent="0.25">
      <c r="A1343" t="s">
        <v>1347</v>
      </c>
      <c r="B1343">
        <v>62795</v>
      </c>
      <c r="C1343" s="5">
        <f t="shared" si="40"/>
        <v>-1.5740770184755302E-3</v>
      </c>
      <c r="D1343">
        <v>1296.29</v>
      </c>
      <c r="E1343" s="5">
        <f t="shared" si="41"/>
        <v>-3.9188867288054586E-3</v>
      </c>
    </row>
    <row r="1344" spans="1:5" x14ac:dyDescent="0.25">
      <c r="A1344" t="s">
        <v>1348</v>
      </c>
      <c r="B1344">
        <v>63781</v>
      </c>
      <c r="C1344" s="5">
        <f t="shared" si="40"/>
        <v>1.5701887092921411E-2</v>
      </c>
      <c r="D1344">
        <v>1315.15</v>
      </c>
      <c r="E1344" s="5">
        <f t="shared" si="41"/>
        <v>1.4549213524751504E-2</v>
      </c>
    </row>
    <row r="1345" spans="1:5" x14ac:dyDescent="0.25">
      <c r="A1345" t="s">
        <v>1349</v>
      </c>
      <c r="B1345">
        <v>63387</v>
      </c>
      <c r="C1345" s="5">
        <f t="shared" si="40"/>
        <v>-6.1773882504194038E-3</v>
      </c>
      <c r="D1345">
        <v>1323.05</v>
      </c>
      <c r="E1345" s="5">
        <f t="shared" si="41"/>
        <v>6.0069193628102214E-3</v>
      </c>
    </row>
    <row r="1346" spans="1:5" x14ac:dyDescent="0.25">
      <c r="A1346" t="s">
        <v>1350</v>
      </c>
      <c r="B1346">
        <v>63387</v>
      </c>
      <c r="C1346" s="5">
        <f t="shared" si="40"/>
        <v>0</v>
      </c>
      <c r="D1346">
        <v>1313.84</v>
      </c>
      <c r="E1346" s="5">
        <f t="shared" si="41"/>
        <v>-6.9611881637126616E-3</v>
      </c>
    </row>
    <row r="1347" spans="1:5" x14ac:dyDescent="0.25">
      <c r="A1347" t="s">
        <v>1351</v>
      </c>
      <c r="B1347">
        <v>63288</v>
      </c>
      <c r="C1347" s="5">
        <f t="shared" si="40"/>
        <v>-1.5618344455487719E-3</v>
      </c>
      <c r="D1347">
        <v>1314.46</v>
      </c>
      <c r="E1347" s="5">
        <f t="shared" si="41"/>
        <v>4.7189916580414533E-4</v>
      </c>
    </row>
    <row r="1348" spans="1:5" x14ac:dyDescent="0.25">
      <c r="A1348" t="s">
        <v>1352</v>
      </c>
      <c r="B1348">
        <v>63584</v>
      </c>
      <c r="C1348" s="5">
        <f t="shared" si="40"/>
        <v>4.6770319807862473E-3</v>
      </c>
      <c r="D1348">
        <v>1332.51</v>
      </c>
      <c r="E1348" s="5">
        <f t="shared" si="41"/>
        <v>1.3731874686182885E-2</v>
      </c>
    </row>
    <row r="1349" spans="1:5" x14ac:dyDescent="0.25">
      <c r="A1349" t="s">
        <v>1353</v>
      </c>
      <c r="B1349">
        <v>63387</v>
      </c>
      <c r="C1349" s="5">
        <f t="shared" si="40"/>
        <v>-3.0982637141419227E-3</v>
      </c>
      <c r="D1349">
        <v>1339.81</v>
      </c>
      <c r="E1349" s="5">
        <f t="shared" si="41"/>
        <v>5.4783829014416058E-3</v>
      </c>
    </row>
    <row r="1350" spans="1:5" x14ac:dyDescent="0.25">
      <c r="A1350" t="s">
        <v>1354</v>
      </c>
      <c r="B1350">
        <v>63486</v>
      </c>
      <c r="C1350" s="5">
        <f t="shared" ref="C1350:C1413" si="42">(B1350-B1349)/B1349</f>
        <v>1.5618344455487719E-3</v>
      </c>
      <c r="D1350">
        <v>1341.87</v>
      </c>
      <c r="E1350" s="5">
        <f t="shared" ref="E1350:E1413" si="43">(D1350-D1349)/D1349</f>
        <v>1.5375314410251792E-3</v>
      </c>
    </row>
    <row r="1351" spans="1:5" x14ac:dyDescent="0.25">
      <c r="A1351" t="s">
        <v>1355</v>
      </c>
      <c r="B1351">
        <v>63387</v>
      </c>
      <c r="C1351" s="5">
        <f t="shared" si="42"/>
        <v>-1.5593989225971081E-3</v>
      </c>
      <c r="D1351">
        <v>1341.86</v>
      </c>
      <c r="E1351" s="5">
        <f t="shared" si="43"/>
        <v>-7.4522867341776069E-6</v>
      </c>
    </row>
    <row r="1352" spans="1:5" x14ac:dyDescent="0.25">
      <c r="A1352" t="s">
        <v>1356</v>
      </c>
      <c r="B1352">
        <v>61218</v>
      </c>
      <c r="C1352" s="5">
        <f t="shared" si="42"/>
        <v>-3.4218372852477634E-2</v>
      </c>
      <c r="D1352">
        <v>1332.6</v>
      </c>
      <c r="E1352" s="5">
        <f t="shared" si="43"/>
        <v>-6.9008689431088125E-3</v>
      </c>
    </row>
    <row r="1353" spans="1:5" x14ac:dyDescent="0.25">
      <c r="A1353" t="s">
        <v>1357</v>
      </c>
      <c r="B1353">
        <v>60134</v>
      </c>
      <c r="C1353" s="5">
        <f t="shared" si="42"/>
        <v>-1.7707210297624881E-2</v>
      </c>
      <c r="D1353">
        <v>1336.3</v>
      </c>
      <c r="E1353" s="5">
        <f t="shared" si="43"/>
        <v>2.7765270898994789E-3</v>
      </c>
    </row>
    <row r="1354" spans="1:5" x14ac:dyDescent="0.25">
      <c r="A1354" t="s">
        <v>1358</v>
      </c>
      <c r="B1354">
        <v>61514</v>
      </c>
      <c r="C1354" s="5">
        <f t="shared" si="42"/>
        <v>2.2948747796587621E-2</v>
      </c>
      <c r="D1354">
        <v>1347.25</v>
      </c>
      <c r="E1354" s="5">
        <f t="shared" si="43"/>
        <v>8.194267754246835E-3</v>
      </c>
    </row>
    <row r="1355" spans="1:5" x14ac:dyDescent="0.25">
      <c r="A1355" t="s">
        <v>1359</v>
      </c>
      <c r="B1355">
        <v>60430</v>
      </c>
      <c r="C1355" s="5">
        <f t="shared" si="42"/>
        <v>-1.7622004746886886E-2</v>
      </c>
      <c r="D1355">
        <v>1345.74</v>
      </c>
      <c r="E1355" s="5">
        <f t="shared" si="43"/>
        <v>-1.1208016329560147E-3</v>
      </c>
    </row>
    <row r="1356" spans="1:5" x14ac:dyDescent="0.25">
      <c r="A1356" t="s">
        <v>1360</v>
      </c>
      <c r="B1356">
        <v>60824</v>
      </c>
      <c r="C1356" s="5">
        <f t="shared" si="42"/>
        <v>6.519940426940261E-3</v>
      </c>
      <c r="D1356">
        <v>1342.09</v>
      </c>
      <c r="E1356" s="5">
        <f t="shared" si="43"/>
        <v>-2.7122623983831134E-3</v>
      </c>
    </row>
    <row r="1357" spans="1:5" x14ac:dyDescent="0.25">
      <c r="A1357" t="s">
        <v>1361</v>
      </c>
      <c r="B1357">
        <v>59641</v>
      </c>
      <c r="C1357" s="5">
        <f t="shared" si="42"/>
        <v>-1.9449559384453505E-2</v>
      </c>
      <c r="D1357">
        <v>1329.89</v>
      </c>
      <c r="E1357" s="5">
        <f t="shared" si="43"/>
        <v>-9.0902994583074298E-3</v>
      </c>
    </row>
    <row r="1358" spans="1:5" x14ac:dyDescent="0.25">
      <c r="A1358" t="s">
        <v>1362</v>
      </c>
      <c r="B1358">
        <v>59641</v>
      </c>
      <c r="C1358" s="5">
        <f t="shared" si="42"/>
        <v>0</v>
      </c>
      <c r="D1358">
        <v>1310.57</v>
      </c>
      <c r="E1358" s="5">
        <f t="shared" si="43"/>
        <v>-1.4527517313462138E-2</v>
      </c>
    </row>
    <row r="1359" spans="1:5" x14ac:dyDescent="0.25">
      <c r="A1359" t="s">
        <v>1363</v>
      </c>
      <c r="B1359">
        <v>60627</v>
      </c>
      <c r="C1359" s="5">
        <f t="shared" si="42"/>
        <v>1.6532251303633408E-2</v>
      </c>
      <c r="D1359">
        <v>1316.23</v>
      </c>
      <c r="E1359" s="5">
        <f t="shared" si="43"/>
        <v>4.3187315442899518E-3</v>
      </c>
    </row>
    <row r="1360" spans="1:5" x14ac:dyDescent="0.25">
      <c r="A1360" t="s">
        <v>1364</v>
      </c>
      <c r="B1360">
        <v>61021</v>
      </c>
      <c r="C1360" s="5">
        <f t="shared" si="42"/>
        <v>6.4987546802579713E-3</v>
      </c>
      <c r="D1360">
        <v>1315.2</v>
      </c>
      <c r="E1360" s="5">
        <f t="shared" si="43"/>
        <v>-7.8253800627547823E-4</v>
      </c>
    </row>
    <row r="1361" spans="1:5" x14ac:dyDescent="0.25">
      <c r="A1361" t="s">
        <v>1365</v>
      </c>
      <c r="B1361">
        <v>62598</v>
      </c>
      <c r="C1361" s="5">
        <f t="shared" si="42"/>
        <v>2.5843562052408186E-2</v>
      </c>
      <c r="D1361">
        <v>1322.99</v>
      </c>
      <c r="E1361" s="5">
        <f t="shared" si="43"/>
        <v>5.9230535279805076E-3</v>
      </c>
    </row>
    <row r="1362" spans="1:5" x14ac:dyDescent="0.25">
      <c r="A1362" t="s">
        <v>1366</v>
      </c>
      <c r="B1362">
        <v>62303</v>
      </c>
      <c r="C1362" s="5">
        <f t="shared" si="42"/>
        <v>-4.7126106265375891E-3</v>
      </c>
      <c r="D1362">
        <v>1315.49</v>
      </c>
      <c r="E1362" s="5">
        <f t="shared" si="43"/>
        <v>-5.6689770897739213E-3</v>
      </c>
    </row>
    <row r="1363" spans="1:5" x14ac:dyDescent="0.25">
      <c r="A1363" t="s">
        <v>1367</v>
      </c>
      <c r="B1363">
        <v>63387</v>
      </c>
      <c r="C1363" s="5">
        <f t="shared" si="42"/>
        <v>1.7398841147296278E-2</v>
      </c>
      <c r="D1363">
        <v>1338.11</v>
      </c>
      <c r="E1363" s="5">
        <f t="shared" si="43"/>
        <v>1.7195113607857065E-2</v>
      </c>
    </row>
    <row r="1364" spans="1:5" x14ac:dyDescent="0.25">
      <c r="A1364" t="s">
        <v>1368</v>
      </c>
      <c r="B1364">
        <v>63486</v>
      </c>
      <c r="C1364" s="5">
        <f t="shared" si="42"/>
        <v>1.5618344455487719E-3</v>
      </c>
      <c r="D1364">
        <v>1347.69</v>
      </c>
      <c r="E1364" s="5">
        <f t="shared" si="43"/>
        <v>7.1593516228113949E-3</v>
      </c>
    </row>
    <row r="1365" spans="1:5" x14ac:dyDescent="0.25">
      <c r="A1365" t="s">
        <v>1369</v>
      </c>
      <c r="B1365">
        <v>62795</v>
      </c>
      <c r="C1365" s="5">
        <f t="shared" si="42"/>
        <v>-1.0884289449642441E-2</v>
      </c>
      <c r="D1365">
        <v>1346.83</v>
      </c>
      <c r="E1365" s="5">
        <f t="shared" si="43"/>
        <v>-6.3812894656792535E-4</v>
      </c>
    </row>
    <row r="1366" spans="1:5" x14ac:dyDescent="0.25">
      <c r="A1366" t="s">
        <v>1370</v>
      </c>
      <c r="B1366">
        <v>63091</v>
      </c>
      <c r="C1366" s="5">
        <f t="shared" si="42"/>
        <v>4.7137510948323915E-3</v>
      </c>
      <c r="D1366">
        <v>1352.04</v>
      </c>
      <c r="E1366" s="5">
        <f t="shared" si="43"/>
        <v>3.8683427010090632E-3</v>
      </c>
    </row>
    <row r="1367" spans="1:5" x14ac:dyDescent="0.25">
      <c r="A1367" t="s">
        <v>1371</v>
      </c>
      <c r="B1367">
        <v>63190</v>
      </c>
      <c r="C1367" s="5">
        <f t="shared" si="42"/>
        <v>1.5691620040893313E-3</v>
      </c>
      <c r="D1367">
        <v>1349.35</v>
      </c>
      <c r="E1367" s="5">
        <f t="shared" si="43"/>
        <v>-1.989586106919954E-3</v>
      </c>
    </row>
    <row r="1368" spans="1:5" x14ac:dyDescent="0.25">
      <c r="A1368" t="s">
        <v>1372</v>
      </c>
      <c r="B1368">
        <v>64077</v>
      </c>
      <c r="C1368" s="5">
        <f t="shared" si="42"/>
        <v>1.4037031175818959E-2</v>
      </c>
      <c r="D1368">
        <v>1358.18</v>
      </c>
      <c r="E1368" s="5">
        <f t="shared" si="43"/>
        <v>6.5438915033165269E-3</v>
      </c>
    </row>
    <row r="1369" spans="1:5" x14ac:dyDescent="0.25">
      <c r="A1369" t="s">
        <v>1373</v>
      </c>
      <c r="B1369">
        <v>63978</v>
      </c>
      <c r="C1369" s="5">
        <f t="shared" si="42"/>
        <v>-1.5450161524415936E-3</v>
      </c>
      <c r="D1369">
        <v>1366.77</v>
      </c>
      <c r="E1369" s="5">
        <f t="shared" si="43"/>
        <v>6.3246403274970315E-3</v>
      </c>
    </row>
    <row r="1370" spans="1:5" x14ac:dyDescent="0.25">
      <c r="A1370" t="s">
        <v>1374</v>
      </c>
      <c r="B1370">
        <v>64077</v>
      </c>
      <c r="C1370" s="5">
        <f t="shared" si="42"/>
        <v>1.5474069211291381E-3</v>
      </c>
      <c r="D1370">
        <v>1366.75</v>
      </c>
      <c r="E1370" s="5">
        <f t="shared" si="43"/>
        <v>-1.4633039940869211E-5</v>
      </c>
    </row>
    <row r="1371" spans="1:5" x14ac:dyDescent="0.25">
      <c r="A1371" t="s">
        <v>1375</v>
      </c>
      <c r="B1371">
        <v>63584</v>
      </c>
      <c r="C1371" s="5">
        <f t="shared" si="42"/>
        <v>-7.6938683146838957E-3</v>
      </c>
      <c r="D1371">
        <v>1365.67</v>
      </c>
      <c r="E1371" s="5">
        <f t="shared" si="43"/>
        <v>-7.9019571977313133E-4</v>
      </c>
    </row>
    <row r="1372" spans="1:5" x14ac:dyDescent="0.25">
      <c r="A1372" t="s">
        <v>1376</v>
      </c>
      <c r="B1372">
        <v>64866</v>
      </c>
      <c r="C1372" s="5">
        <f t="shared" si="42"/>
        <v>2.0162304982385505E-2</v>
      </c>
      <c r="D1372">
        <v>1371.44</v>
      </c>
      <c r="E1372" s="5">
        <f t="shared" si="43"/>
        <v>4.2250324016782836E-3</v>
      </c>
    </row>
    <row r="1373" spans="1:5" x14ac:dyDescent="0.25">
      <c r="A1373" t="s">
        <v>1377</v>
      </c>
      <c r="B1373">
        <v>64569.999999999993</v>
      </c>
      <c r="C1373" s="5">
        <f t="shared" si="42"/>
        <v>-4.5632534763976086E-3</v>
      </c>
      <c r="D1373">
        <v>1376.07</v>
      </c>
      <c r="E1373" s="5">
        <f t="shared" si="43"/>
        <v>3.3760135332204701E-3</v>
      </c>
    </row>
    <row r="1374" spans="1:5" x14ac:dyDescent="0.25">
      <c r="A1374" t="s">
        <v>1378</v>
      </c>
      <c r="B1374">
        <v>63584</v>
      </c>
      <c r="C1374" s="5">
        <f t="shared" si="42"/>
        <v>-1.5270249341799486E-2</v>
      </c>
      <c r="D1374">
        <v>1377.84</v>
      </c>
      <c r="E1374" s="5">
        <f t="shared" si="43"/>
        <v>1.286271773964974E-3</v>
      </c>
    </row>
    <row r="1375" spans="1:5" x14ac:dyDescent="0.25">
      <c r="A1375" t="s">
        <v>1379</v>
      </c>
      <c r="B1375">
        <v>63880</v>
      </c>
      <c r="C1375" s="5">
        <f t="shared" si="42"/>
        <v>4.6552591847005536E-3</v>
      </c>
      <c r="D1375">
        <v>1384.59</v>
      </c>
      <c r="E1375" s="5">
        <f t="shared" si="43"/>
        <v>4.8989723044765721E-3</v>
      </c>
    </row>
    <row r="1376" spans="1:5" x14ac:dyDescent="0.25">
      <c r="A1376" t="s">
        <v>1380</v>
      </c>
      <c r="B1376">
        <v>64471</v>
      </c>
      <c r="C1376" s="5">
        <f t="shared" si="42"/>
        <v>9.2517219787100809E-3</v>
      </c>
      <c r="D1376">
        <v>1381.96</v>
      </c>
      <c r="E1376" s="5">
        <f t="shared" si="43"/>
        <v>-1.8994792682309435E-3</v>
      </c>
    </row>
    <row r="1377" spans="1:5" x14ac:dyDescent="0.25">
      <c r="A1377" t="s">
        <v>1381</v>
      </c>
      <c r="B1377">
        <v>65358.999999999993</v>
      </c>
      <c r="C1377" s="5">
        <f t="shared" si="42"/>
        <v>1.3773634657442769E-2</v>
      </c>
      <c r="D1377">
        <v>1386.97</v>
      </c>
      <c r="E1377" s="5">
        <f t="shared" si="43"/>
        <v>3.6252858259283849E-3</v>
      </c>
    </row>
    <row r="1378" spans="1:5" x14ac:dyDescent="0.25">
      <c r="A1378" t="s">
        <v>1382</v>
      </c>
      <c r="B1378">
        <v>65556</v>
      </c>
      <c r="C1378" s="5">
        <f t="shared" si="42"/>
        <v>3.0141220030907344E-3</v>
      </c>
      <c r="D1378">
        <v>1402.06</v>
      </c>
      <c r="E1378" s="5">
        <f t="shared" si="43"/>
        <v>1.0879831575304382E-2</v>
      </c>
    </row>
    <row r="1379" spans="1:5" x14ac:dyDescent="0.25">
      <c r="A1379" t="s">
        <v>1383</v>
      </c>
      <c r="B1379">
        <v>66246</v>
      </c>
      <c r="C1379" s="5">
        <f t="shared" si="42"/>
        <v>1.0525352370492404E-2</v>
      </c>
      <c r="D1379">
        <v>1415.46</v>
      </c>
      <c r="E1379" s="5">
        <f t="shared" si="43"/>
        <v>9.5573655906309937E-3</v>
      </c>
    </row>
    <row r="1380" spans="1:5" x14ac:dyDescent="0.25">
      <c r="A1380" t="s">
        <v>1384</v>
      </c>
      <c r="B1380">
        <v>66739</v>
      </c>
      <c r="C1380" s="5">
        <f t="shared" si="42"/>
        <v>7.4419587597741753E-3</v>
      </c>
      <c r="D1380">
        <v>1431.32</v>
      </c>
      <c r="E1380" s="5">
        <f t="shared" si="43"/>
        <v>1.1204838003193237E-2</v>
      </c>
    </row>
    <row r="1381" spans="1:5" x14ac:dyDescent="0.25">
      <c r="A1381" t="s">
        <v>1385</v>
      </c>
      <c r="B1381">
        <v>67034</v>
      </c>
      <c r="C1381" s="5">
        <f t="shared" si="42"/>
        <v>4.4202040785747462E-3</v>
      </c>
      <c r="D1381">
        <v>1445.64</v>
      </c>
      <c r="E1381" s="5">
        <f t="shared" si="43"/>
        <v>1.0004750859346732E-2</v>
      </c>
    </row>
    <row r="1382" spans="1:5" x14ac:dyDescent="0.25">
      <c r="A1382" t="s">
        <v>1386</v>
      </c>
      <c r="B1382">
        <v>66936</v>
      </c>
      <c r="C1382" s="5">
        <f t="shared" si="42"/>
        <v>-1.4619446847868246E-3</v>
      </c>
      <c r="D1382">
        <v>1457.76</v>
      </c>
      <c r="E1382" s="5">
        <f t="shared" si="43"/>
        <v>8.3838299991698412E-3</v>
      </c>
    </row>
    <row r="1383" spans="1:5" x14ac:dyDescent="0.25">
      <c r="A1383" t="s">
        <v>1387</v>
      </c>
      <c r="B1383">
        <v>68020</v>
      </c>
      <c r="C1383" s="5">
        <f t="shared" si="42"/>
        <v>1.6194573921357716E-2</v>
      </c>
      <c r="D1383">
        <v>1470.42</v>
      </c>
      <c r="E1383" s="5">
        <f t="shared" si="43"/>
        <v>8.6845571287455289E-3</v>
      </c>
    </row>
    <row r="1384" spans="1:5" x14ac:dyDescent="0.25">
      <c r="A1384" t="s">
        <v>1388</v>
      </c>
      <c r="B1384">
        <v>68316</v>
      </c>
      <c r="C1384" s="5">
        <f t="shared" si="42"/>
        <v>4.3516612760952662E-3</v>
      </c>
      <c r="D1384">
        <v>1460.65</v>
      </c>
      <c r="E1384" s="5">
        <f t="shared" si="43"/>
        <v>-6.6443601147971199E-3</v>
      </c>
    </row>
    <row r="1385" spans="1:5" x14ac:dyDescent="0.25">
      <c r="A1385" t="s">
        <v>1389</v>
      </c>
      <c r="B1385">
        <v>69006</v>
      </c>
      <c r="C1385" s="5">
        <f t="shared" si="42"/>
        <v>1.0100122958018619E-2</v>
      </c>
      <c r="D1385">
        <v>1475.47</v>
      </c>
      <c r="E1385" s="5">
        <f t="shared" si="43"/>
        <v>1.0146167802005912E-2</v>
      </c>
    </row>
    <row r="1386" spans="1:5" x14ac:dyDescent="0.25">
      <c r="A1386" t="s">
        <v>1390</v>
      </c>
      <c r="B1386">
        <v>69499</v>
      </c>
      <c r="C1386" s="5">
        <f t="shared" si="42"/>
        <v>7.1443062922064747E-3</v>
      </c>
      <c r="D1386">
        <v>1490.01</v>
      </c>
      <c r="E1386" s="5">
        <f t="shared" si="43"/>
        <v>9.8544870448060377E-3</v>
      </c>
    </row>
    <row r="1387" spans="1:5" x14ac:dyDescent="0.25">
      <c r="A1387" t="s">
        <v>1391</v>
      </c>
      <c r="B1387">
        <v>69696</v>
      </c>
      <c r="C1387" s="5">
        <f t="shared" si="42"/>
        <v>2.8345731593260337E-3</v>
      </c>
      <c r="D1387">
        <v>1497.28</v>
      </c>
      <c r="E1387" s="5">
        <f t="shared" si="43"/>
        <v>4.8791618848195526E-3</v>
      </c>
    </row>
    <row r="1388" spans="1:5" x14ac:dyDescent="0.25">
      <c r="A1388" t="s">
        <v>1392</v>
      </c>
      <c r="B1388">
        <v>69006</v>
      </c>
      <c r="C1388" s="5">
        <f t="shared" si="42"/>
        <v>-9.9001377410468314E-3</v>
      </c>
      <c r="D1388">
        <v>1485.05</v>
      </c>
      <c r="E1388" s="5">
        <f t="shared" si="43"/>
        <v>-8.168144902757012E-3</v>
      </c>
    </row>
    <row r="1389" spans="1:5" x14ac:dyDescent="0.25">
      <c r="A1389" t="s">
        <v>1393</v>
      </c>
      <c r="B1389">
        <v>69400</v>
      </c>
      <c r="C1389" s="5">
        <f t="shared" si="42"/>
        <v>5.7096484363678519E-3</v>
      </c>
      <c r="D1389">
        <v>1509.54</v>
      </c>
      <c r="E1389" s="5">
        <f t="shared" si="43"/>
        <v>1.6491027238140138E-2</v>
      </c>
    </row>
    <row r="1390" spans="1:5" x14ac:dyDescent="0.25">
      <c r="A1390" t="s">
        <v>1394</v>
      </c>
      <c r="B1390">
        <v>69499</v>
      </c>
      <c r="C1390" s="5">
        <f t="shared" si="42"/>
        <v>1.4265129682997119E-3</v>
      </c>
      <c r="D1390">
        <v>1512.31</v>
      </c>
      <c r="E1390" s="5">
        <f t="shared" si="43"/>
        <v>1.8349960915245583E-3</v>
      </c>
    </row>
    <row r="1391" spans="1:5" x14ac:dyDescent="0.25">
      <c r="A1391" t="s">
        <v>1395</v>
      </c>
      <c r="B1391">
        <v>69500</v>
      </c>
      <c r="C1391" s="5">
        <f t="shared" si="42"/>
        <v>1.4388696240233673E-5</v>
      </c>
      <c r="D1391">
        <v>1521.02</v>
      </c>
      <c r="E1391" s="5">
        <f t="shared" si="43"/>
        <v>5.7594011809748245E-3</v>
      </c>
    </row>
    <row r="1392" spans="1:5" x14ac:dyDescent="0.25">
      <c r="A1392" t="s">
        <v>1396</v>
      </c>
      <c r="B1392">
        <v>70100</v>
      </c>
      <c r="C1392" s="5">
        <f t="shared" si="42"/>
        <v>8.6330935251798559E-3</v>
      </c>
      <c r="D1392">
        <v>1531.13</v>
      </c>
      <c r="E1392" s="5">
        <f t="shared" si="43"/>
        <v>6.6468553996660972E-3</v>
      </c>
    </row>
    <row r="1393" spans="1:5" x14ac:dyDescent="0.25">
      <c r="A1393" t="s">
        <v>1397</v>
      </c>
      <c r="B1393">
        <v>70200</v>
      </c>
      <c r="C1393" s="5">
        <f t="shared" si="42"/>
        <v>1.4265335235378032E-3</v>
      </c>
      <c r="D1393">
        <v>1557.42</v>
      </c>
      <c r="E1393" s="5">
        <f t="shared" si="43"/>
        <v>1.7170325184667507E-2</v>
      </c>
    </row>
    <row r="1394" spans="1:5" x14ac:dyDescent="0.25">
      <c r="A1394" t="s">
        <v>1398</v>
      </c>
      <c r="B1394">
        <v>66600</v>
      </c>
      <c r="C1394" s="5">
        <f t="shared" si="42"/>
        <v>-5.128205128205128E-2</v>
      </c>
      <c r="D1394">
        <v>1493.41</v>
      </c>
      <c r="E1394" s="5">
        <f t="shared" si="43"/>
        <v>-4.1100024399327084E-2</v>
      </c>
    </row>
    <row r="1395" spans="1:5" x14ac:dyDescent="0.25">
      <c r="A1395" t="s">
        <v>1399</v>
      </c>
      <c r="B1395">
        <v>67100</v>
      </c>
      <c r="C1395" s="5">
        <f t="shared" si="42"/>
        <v>7.5075075075075074E-3</v>
      </c>
      <c r="D1395">
        <v>1507.63</v>
      </c>
      <c r="E1395" s="5">
        <f t="shared" si="43"/>
        <v>9.521832584487867E-3</v>
      </c>
    </row>
    <row r="1396" spans="1:5" x14ac:dyDescent="0.25">
      <c r="A1396" t="s">
        <v>1400</v>
      </c>
      <c r="B1396">
        <v>65300</v>
      </c>
      <c r="C1396" s="5">
        <f t="shared" si="42"/>
        <v>-2.6825633383010434E-2</v>
      </c>
      <c r="D1396">
        <v>1502.52</v>
      </c>
      <c r="E1396" s="5">
        <f t="shared" si="43"/>
        <v>-3.3894257874943633E-3</v>
      </c>
    </row>
    <row r="1397" spans="1:5" x14ac:dyDescent="0.25">
      <c r="A1397" t="s">
        <v>1401</v>
      </c>
      <c r="B1397">
        <v>65200</v>
      </c>
      <c r="C1397" s="5">
        <f t="shared" si="42"/>
        <v>-1.5313935681470138E-3</v>
      </c>
      <c r="D1397">
        <v>1495.21</v>
      </c>
      <c r="E1397" s="5">
        <f t="shared" si="43"/>
        <v>-4.8651598647604993E-3</v>
      </c>
    </row>
    <row r="1398" spans="1:5" x14ac:dyDescent="0.25">
      <c r="A1398" t="s">
        <v>1402</v>
      </c>
      <c r="B1398">
        <v>67000</v>
      </c>
      <c r="C1398" s="5">
        <f t="shared" si="42"/>
        <v>2.7607361963190184E-2</v>
      </c>
      <c r="D1398">
        <v>1528.19</v>
      </c>
      <c r="E1398" s="5">
        <f t="shared" si="43"/>
        <v>2.2057102346827548E-2</v>
      </c>
    </row>
    <row r="1399" spans="1:5" x14ac:dyDescent="0.25">
      <c r="A1399" t="s">
        <v>1403</v>
      </c>
      <c r="B1399">
        <v>69300</v>
      </c>
      <c r="C1399" s="5">
        <f t="shared" si="42"/>
        <v>3.4328358208955224E-2</v>
      </c>
      <c r="D1399">
        <v>1547.15</v>
      </c>
      <c r="E1399" s="5">
        <f t="shared" si="43"/>
        <v>1.2406834228728127E-2</v>
      </c>
    </row>
    <row r="1400" spans="1:5" x14ac:dyDescent="0.25">
      <c r="A1400" t="s">
        <v>1404</v>
      </c>
      <c r="B1400">
        <v>72400</v>
      </c>
      <c r="C1400" s="5">
        <f t="shared" si="42"/>
        <v>4.4733044733044736E-2</v>
      </c>
      <c r="D1400">
        <v>1573.71</v>
      </c>
      <c r="E1400" s="5">
        <f t="shared" si="43"/>
        <v>1.7167049090262704E-2</v>
      </c>
    </row>
    <row r="1401" spans="1:5" x14ac:dyDescent="0.25">
      <c r="A1401" t="s">
        <v>1405</v>
      </c>
      <c r="B1401">
        <v>72400</v>
      </c>
      <c r="C1401" s="5">
        <f t="shared" si="42"/>
        <v>0</v>
      </c>
      <c r="D1401">
        <v>1581.81</v>
      </c>
      <c r="E1401" s="5">
        <f t="shared" si="43"/>
        <v>5.1470728406122533E-3</v>
      </c>
    </row>
    <row r="1402" spans="1:5" x14ac:dyDescent="0.25">
      <c r="A1402" t="s">
        <v>1406</v>
      </c>
      <c r="B1402">
        <v>72000</v>
      </c>
      <c r="C1402" s="5">
        <f t="shared" si="42"/>
        <v>-5.5248618784530384E-3</v>
      </c>
      <c r="D1402">
        <v>1584.95</v>
      </c>
      <c r="E1402" s="5">
        <f t="shared" si="43"/>
        <v>1.9850677388561838E-3</v>
      </c>
    </row>
    <row r="1403" spans="1:5" x14ac:dyDescent="0.25">
      <c r="A1403" t="s">
        <v>1407</v>
      </c>
      <c r="B1403">
        <v>72100</v>
      </c>
      <c r="C1403" s="5">
        <f t="shared" si="42"/>
        <v>1.3888888888888889E-3</v>
      </c>
      <c r="D1403">
        <v>1596.86</v>
      </c>
      <c r="E1403" s="5">
        <f t="shared" si="43"/>
        <v>7.514432631944133E-3</v>
      </c>
    </row>
    <row r="1404" spans="1:5" x14ac:dyDescent="0.25">
      <c r="A1404" t="s">
        <v>1408</v>
      </c>
      <c r="B1404">
        <v>72200</v>
      </c>
      <c r="C1404" s="5">
        <f t="shared" si="42"/>
        <v>1.3869625520110957E-3</v>
      </c>
      <c r="D1404">
        <v>1608.22</v>
      </c>
      <c r="E1404" s="5">
        <f t="shared" si="43"/>
        <v>7.1139611487545107E-3</v>
      </c>
    </row>
    <row r="1405" spans="1:5" x14ac:dyDescent="0.25">
      <c r="A1405" t="s">
        <v>1409</v>
      </c>
      <c r="B1405">
        <v>70900</v>
      </c>
      <c r="C1405" s="5">
        <f t="shared" si="42"/>
        <v>-1.8005540166204988E-2</v>
      </c>
      <c r="D1405">
        <v>1611.6</v>
      </c>
      <c r="E1405" s="5">
        <f t="shared" si="43"/>
        <v>2.1017025033887664E-3</v>
      </c>
    </row>
    <row r="1406" spans="1:5" x14ac:dyDescent="0.25">
      <c r="A1406" t="s">
        <v>1410</v>
      </c>
      <c r="B1406">
        <v>71900</v>
      </c>
      <c r="C1406" s="5">
        <f t="shared" si="42"/>
        <v>1.4104372355430184E-2</v>
      </c>
      <c r="D1406">
        <v>1640.69</v>
      </c>
      <c r="E1406" s="5">
        <f t="shared" si="43"/>
        <v>1.8050384710846454E-2</v>
      </c>
    </row>
    <row r="1407" spans="1:5" x14ac:dyDescent="0.25">
      <c r="A1407" t="s">
        <v>1411</v>
      </c>
      <c r="B1407">
        <v>70500</v>
      </c>
      <c r="C1407" s="5">
        <f t="shared" si="42"/>
        <v>-1.9471488178025034E-2</v>
      </c>
      <c r="D1407">
        <v>1630</v>
      </c>
      <c r="E1407" s="5">
        <f t="shared" si="43"/>
        <v>-6.5155513838690152E-3</v>
      </c>
    </row>
    <row r="1408" spans="1:5" x14ac:dyDescent="0.25">
      <c r="A1408" t="s">
        <v>1412</v>
      </c>
      <c r="B1408">
        <v>70000</v>
      </c>
      <c r="C1408" s="5">
        <f t="shared" si="42"/>
        <v>-7.0921985815602835E-3</v>
      </c>
      <c r="D1408">
        <v>1636.37</v>
      </c>
      <c r="E1408" s="5">
        <f t="shared" si="43"/>
        <v>3.907975460122632E-3</v>
      </c>
    </row>
    <row r="1409" spans="1:5" x14ac:dyDescent="0.25">
      <c r="A1409" t="s">
        <v>1413</v>
      </c>
      <c r="B1409">
        <v>68000</v>
      </c>
      <c r="C1409" s="5">
        <f t="shared" si="42"/>
        <v>-2.8571428571428571E-2</v>
      </c>
      <c r="D1409">
        <v>1654.2</v>
      </c>
      <c r="E1409" s="5">
        <f t="shared" si="43"/>
        <v>1.089606873751056E-2</v>
      </c>
    </row>
    <row r="1410" spans="1:5" x14ac:dyDescent="0.25">
      <c r="A1410" t="s">
        <v>1414</v>
      </c>
      <c r="B1410">
        <v>69400</v>
      </c>
      <c r="C1410" s="5">
        <f t="shared" si="42"/>
        <v>2.0588235294117647E-2</v>
      </c>
      <c r="D1410">
        <v>1664.36</v>
      </c>
      <c r="E1410" s="5">
        <f t="shared" si="43"/>
        <v>6.1419417240961517E-3</v>
      </c>
    </row>
    <row r="1411" spans="1:5" x14ac:dyDescent="0.25">
      <c r="A1411" t="s">
        <v>1415</v>
      </c>
      <c r="B1411">
        <v>71000</v>
      </c>
      <c r="C1411" s="5">
        <f t="shared" si="42"/>
        <v>2.3054755043227664E-2</v>
      </c>
      <c r="D1411">
        <v>1688</v>
      </c>
      <c r="E1411" s="5">
        <f t="shared" si="43"/>
        <v>1.4203657862481735E-2</v>
      </c>
    </row>
    <row r="1412" spans="1:5" x14ac:dyDescent="0.25">
      <c r="A1412" t="s">
        <v>1416</v>
      </c>
      <c r="B1412">
        <v>70300</v>
      </c>
      <c r="C1412" s="5">
        <f t="shared" si="42"/>
        <v>-9.8591549295774655E-3</v>
      </c>
      <c r="D1412">
        <v>1645.47</v>
      </c>
      <c r="E1412" s="5">
        <f t="shared" si="43"/>
        <v>-2.5195497630331739E-2</v>
      </c>
    </row>
    <row r="1413" spans="1:5" x14ac:dyDescent="0.25">
      <c r="A1413" t="s">
        <v>1417</v>
      </c>
      <c r="B1413">
        <v>68800</v>
      </c>
      <c r="C1413" s="5">
        <f t="shared" si="42"/>
        <v>-2.1337126600284494E-2</v>
      </c>
      <c r="D1413">
        <v>1614.03</v>
      </c>
      <c r="E1413" s="5">
        <f t="shared" si="43"/>
        <v>-1.9107002862404087E-2</v>
      </c>
    </row>
    <row r="1414" spans="1:5" x14ac:dyDescent="0.25">
      <c r="A1414" t="s">
        <v>1418</v>
      </c>
      <c r="B1414">
        <v>73600</v>
      </c>
      <c r="C1414" s="5">
        <f t="shared" ref="C1414:C1477" si="44">(B1414-B1413)/B1413</f>
        <v>6.9767441860465115E-2</v>
      </c>
      <c r="D1414">
        <v>1667.63</v>
      </c>
      <c r="E1414" s="5">
        <f t="shared" ref="E1414:E1477" si="45">(D1414-D1413)/D1413</f>
        <v>3.320880033208809E-2</v>
      </c>
    </row>
    <row r="1415" spans="1:5" x14ac:dyDescent="0.25">
      <c r="A1415" t="s">
        <v>1419</v>
      </c>
      <c r="B1415">
        <v>75000</v>
      </c>
      <c r="C1415" s="5">
        <f t="shared" si="44"/>
        <v>1.9021739130434784E-2</v>
      </c>
      <c r="D1415">
        <v>1672.78</v>
      </c>
      <c r="E1415" s="5">
        <f t="shared" si="45"/>
        <v>3.088215011723142E-3</v>
      </c>
    </row>
    <row r="1416" spans="1:5" x14ac:dyDescent="0.25">
      <c r="A1416" t="s">
        <v>1420</v>
      </c>
      <c r="B1416">
        <v>77300</v>
      </c>
      <c r="C1416" s="5">
        <f t="shared" si="44"/>
        <v>3.0666666666666665E-2</v>
      </c>
      <c r="D1416">
        <v>1680.86</v>
      </c>
      <c r="E1416" s="5">
        <f t="shared" si="45"/>
        <v>4.8302825237030141E-3</v>
      </c>
    </row>
    <row r="1417" spans="1:5" x14ac:dyDescent="0.25">
      <c r="A1417" t="s">
        <v>1421</v>
      </c>
      <c r="B1417">
        <v>78000</v>
      </c>
      <c r="C1417" s="5">
        <f t="shared" si="44"/>
        <v>9.0556274256144882E-3</v>
      </c>
      <c r="D1417">
        <v>1682.21</v>
      </c>
      <c r="E1417" s="5">
        <f t="shared" si="45"/>
        <v>8.0316028699602376E-4</v>
      </c>
    </row>
    <row r="1418" spans="1:5" x14ac:dyDescent="0.25">
      <c r="A1418" t="s">
        <v>1422</v>
      </c>
      <c r="B1418">
        <v>75800</v>
      </c>
      <c r="C1418" s="5">
        <f t="shared" si="44"/>
        <v>-2.8205128205128206E-2</v>
      </c>
      <c r="D1418">
        <v>1681.3</v>
      </c>
      <c r="E1418" s="5">
        <f t="shared" si="45"/>
        <v>-5.4095505317414702E-4</v>
      </c>
    </row>
    <row r="1419" spans="1:5" x14ac:dyDescent="0.25">
      <c r="A1419" t="s">
        <v>1423</v>
      </c>
      <c r="B1419">
        <v>77500</v>
      </c>
      <c r="C1419" s="5">
        <f t="shared" si="44"/>
        <v>2.2427440633245383E-2</v>
      </c>
      <c r="D1419">
        <v>1696.29</v>
      </c>
      <c r="E1419" s="5">
        <f t="shared" si="45"/>
        <v>8.9157199785880031E-3</v>
      </c>
    </row>
    <row r="1420" spans="1:5" x14ac:dyDescent="0.25">
      <c r="A1420" t="s">
        <v>1424</v>
      </c>
      <c r="B1420">
        <v>75000</v>
      </c>
      <c r="C1420" s="5">
        <f t="shared" si="44"/>
        <v>-3.2258064516129031E-2</v>
      </c>
      <c r="D1420">
        <v>1666.97</v>
      </c>
      <c r="E1420" s="5">
        <f t="shared" si="45"/>
        <v>-1.7284780314686721E-2</v>
      </c>
    </row>
    <row r="1421" spans="1:5" x14ac:dyDescent="0.25">
      <c r="A1421" t="s">
        <v>1425</v>
      </c>
      <c r="B1421">
        <v>74000</v>
      </c>
      <c r="C1421" s="5">
        <f t="shared" si="44"/>
        <v>-1.3333333333333334E-2</v>
      </c>
      <c r="D1421">
        <v>1624.53</v>
      </c>
      <c r="E1421" s="5">
        <f t="shared" si="45"/>
        <v>-2.5459366395316086E-2</v>
      </c>
    </row>
    <row r="1422" spans="1:5" x14ac:dyDescent="0.25">
      <c r="A1422" t="s">
        <v>1426</v>
      </c>
      <c r="B1422">
        <v>76000</v>
      </c>
      <c r="C1422" s="5">
        <f t="shared" si="44"/>
        <v>2.7027027027027029E-2</v>
      </c>
      <c r="D1422">
        <v>1637.32</v>
      </c>
      <c r="E1422" s="5">
        <f t="shared" si="45"/>
        <v>7.8730463580235291E-3</v>
      </c>
    </row>
    <row r="1423" spans="1:5" x14ac:dyDescent="0.25">
      <c r="A1423" t="s">
        <v>1427</v>
      </c>
      <c r="B1423">
        <v>75500</v>
      </c>
      <c r="C1423" s="5">
        <f t="shared" si="44"/>
        <v>-6.5789473684210523E-3</v>
      </c>
      <c r="D1423">
        <v>1643.26</v>
      </c>
      <c r="E1423" s="5">
        <f t="shared" si="45"/>
        <v>3.6278797058608304E-3</v>
      </c>
    </row>
    <row r="1424" spans="1:5" x14ac:dyDescent="0.25">
      <c r="A1424" t="s">
        <v>1428</v>
      </c>
      <c r="B1424">
        <v>78800</v>
      </c>
      <c r="C1424" s="5">
        <f t="shared" si="44"/>
        <v>4.3708609271523181E-2</v>
      </c>
      <c r="D1424">
        <v>1657.75</v>
      </c>
      <c r="E1424" s="5">
        <f t="shared" si="45"/>
        <v>8.8178377128391178E-3</v>
      </c>
    </row>
    <row r="1425" spans="1:5" x14ac:dyDescent="0.25">
      <c r="A1425" t="s">
        <v>1429</v>
      </c>
      <c r="B1425">
        <v>79000</v>
      </c>
      <c r="C1425" s="5">
        <f t="shared" si="44"/>
        <v>2.5380710659898475E-3</v>
      </c>
      <c r="D1425">
        <v>1667.26</v>
      </c>
      <c r="E1425" s="5">
        <f t="shared" si="45"/>
        <v>5.7366912984466844E-3</v>
      </c>
    </row>
    <row r="1426" spans="1:5" x14ac:dyDescent="0.25">
      <c r="A1426" t="s">
        <v>1430</v>
      </c>
      <c r="B1426">
        <v>79500</v>
      </c>
      <c r="C1426" s="5">
        <f t="shared" si="44"/>
        <v>6.3291139240506328E-3</v>
      </c>
      <c r="D1426">
        <v>1684.9</v>
      </c>
      <c r="E1426" s="5">
        <f t="shared" si="45"/>
        <v>1.0580233436896526E-2</v>
      </c>
    </row>
    <row r="1427" spans="1:5" x14ac:dyDescent="0.25">
      <c r="A1427" t="s">
        <v>1431</v>
      </c>
      <c r="B1427">
        <v>80300</v>
      </c>
      <c r="C1427" s="5">
        <f t="shared" si="44"/>
        <v>1.0062893081761006E-2</v>
      </c>
      <c r="D1427">
        <v>1680.9</v>
      </c>
      <c r="E1427" s="5">
        <f t="shared" si="45"/>
        <v>-2.3740281322333669E-3</v>
      </c>
    </row>
    <row r="1428" spans="1:5" x14ac:dyDescent="0.25">
      <c r="A1428" t="s">
        <v>1432</v>
      </c>
      <c r="B1428">
        <v>78000</v>
      </c>
      <c r="C1428" s="5">
        <f t="shared" si="44"/>
        <v>-2.8642590286425903E-2</v>
      </c>
      <c r="D1428">
        <v>1670.97</v>
      </c>
      <c r="E1428" s="5">
        <f t="shared" si="45"/>
        <v>-5.9075495270391239E-3</v>
      </c>
    </row>
    <row r="1429" spans="1:5" x14ac:dyDescent="0.25">
      <c r="A1429" t="s">
        <v>1433</v>
      </c>
      <c r="B1429">
        <v>78500</v>
      </c>
      <c r="C1429" s="5">
        <f t="shared" si="44"/>
        <v>6.41025641025641E-3</v>
      </c>
      <c r="D1429">
        <v>1665.18</v>
      </c>
      <c r="E1429" s="5">
        <f t="shared" si="45"/>
        <v>-3.4650532325535251E-3</v>
      </c>
    </row>
    <row r="1430" spans="1:5" x14ac:dyDescent="0.25">
      <c r="A1430" t="s">
        <v>1434</v>
      </c>
      <c r="B1430">
        <v>78600</v>
      </c>
      <c r="C1430" s="5">
        <f t="shared" si="44"/>
        <v>1.2738853503184713E-3</v>
      </c>
      <c r="D1430">
        <v>1658.62</v>
      </c>
      <c r="E1430" s="5">
        <f t="shared" si="45"/>
        <v>-3.9395140465296082E-3</v>
      </c>
    </row>
    <row r="1431" spans="1:5" x14ac:dyDescent="0.25">
      <c r="A1431" t="s">
        <v>1435</v>
      </c>
      <c r="B1431">
        <v>76500</v>
      </c>
      <c r="C1431" s="5">
        <f t="shared" si="44"/>
        <v>-2.6717557251908396E-2</v>
      </c>
      <c r="D1431">
        <v>1634.45</v>
      </c>
      <c r="E1431" s="5">
        <f t="shared" si="45"/>
        <v>-1.4572355331540585E-2</v>
      </c>
    </row>
    <row r="1432" spans="1:5" x14ac:dyDescent="0.25">
      <c r="A1432" t="s">
        <v>1436</v>
      </c>
      <c r="B1432">
        <v>77800</v>
      </c>
      <c r="C1432" s="5">
        <f t="shared" si="44"/>
        <v>1.699346405228758E-2</v>
      </c>
      <c r="D1432">
        <v>1635.26</v>
      </c>
      <c r="E1432" s="5">
        <f t="shared" si="45"/>
        <v>4.9557955275471592E-4</v>
      </c>
    </row>
    <row r="1433" spans="1:5" x14ac:dyDescent="0.25">
      <c r="A1433" t="s">
        <v>1437</v>
      </c>
      <c r="B1433">
        <v>79200</v>
      </c>
      <c r="C1433" s="5">
        <f t="shared" si="44"/>
        <v>1.7994858611825194E-2</v>
      </c>
      <c r="D1433">
        <v>1657.46</v>
      </c>
      <c r="E1433" s="5">
        <f t="shared" si="45"/>
        <v>1.3575822804936246E-2</v>
      </c>
    </row>
    <row r="1434" spans="1:5" x14ac:dyDescent="0.25">
      <c r="A1434" t="s">
        <v>1438</v>
      </c>
      <c r="B1434">
        <v>79000</v>
      </c>
      <c r="C1434" s="5">
        <f t="shared" si="44"/>
        <v>-2.5252525252525255E-3</v>
      </c>
      <c r="D1434">
        <v>1666.09</v>
      </c>
      <c r="E1434" s="5">
        <f t="shared" si="45"/>
        <v>5.206762154139395E-3</v>
      </c>
    </row>
    <row r="1435" spans="1:5" x14ac:dyDescent="0.25">
      <c r="A1435" t="s">
        <v>1439</v>
      </c>
      <c r="B1435">
        <v>77900</v>
      </c>
      <c r="C1435" s="5">
        <f t="shared" si="44"/>
        <v>-1.3924050632911392E-2</v>
      </c>
      <c r="D1435">
        <v>1660.7</v>
      </c>
      <c r="E1435" s="5">
        <f t="shared" si="45"/>
        <v>-3.2351193512954722E-3</v>
      </c>
    </row>
    <row r="1436" spans="1:5" x14ac:dyDescent="0.25">
      <c r="A1436" t="s">
        <v>1440</v>
      </c>
      <c r="B1436">
        <v>77000</v>
      </c>
      <c r="C1436" s="5">
        <f t="shared" si="44"/>
        <v>-1.1553273427471117E-2</v>
      </c>
      <c r="D1436">
        <v>1666.48</v>
      </c>
      <c r="E1436" s="5">
        <f t="shared" si="45"/>
        <v>3.4804600469681294E-3</v>
      </c>
    </row>
    <row r="1437" spans="1:5" x14ac:dyDescent="0.25">
      <c r="A1437" t="s">
        <v>1441</v>
      </c>
      <c r="B1437">
        <v>77700</v>
      </c>
      <c r="C1437" s="5">
        <f t="shared" si="44"/>
        <v>9.0909090909090905E-3</v>
      </c>
      <c r="D1437">
        <v>1661.7</v>
      </c>
      <c r="E1437" s="5">
        <f t="shared" si="45"/>
        <v>-2.8683212519802054E-3</v>
      </c>
    </row>
    <row r="1438" spans="1:5" x14ac:dyDescent="0.25">
      <c r="A1438" t="s">
        <v>1442</v>
      </c>
      <c r="B1438">
        <v>77700</v>
      </c>
      <c r="C1438" s="5">
        <f t="shared" si="44"/>
        <v>0</v>
      </c>
      <c r="D1438">
        <v>1665.05</v>
      </c>
      <c r="E1438" s="5">
        <f t="shared" si="45"/>
        <v>2.0160077029547506E-3</v>
      </c>
    </row>
    <row r="1439" spans="1:5" x14ac:dyDescent="0.25">
      <c r="A1439" t="s">
        <v>1443</v>
      </c>
      <c r="B1439">
        <v>77100</v>
      </c>
      <c r="C1439" s="5">
        <f t="shared" si="44"/>
        <v>-7.7220077220077222E-3</v>
      </c>
      <c r="D1439">
        <v>1652.71</v>
      </c>
      <c r="E1439" s="5">
        <f t="shared" si="45"/>
        <v>-7.4111888531875432E-3</v>
      </c>
    </row>
    <row r="1440" spans="1:5" x14ac:dyDescent="0.25">
      <c r="A1440" t="s">
        <v>1444</v>
      </c>
      <c r="B1440">
        <v>77000</v>
      </c>
      <c r="C1440" s="5">
        <f t="shared" si="44"/>
        <v>-1.2970168612191958E-3</v>
      </c>
      <c r="D1440">
        <v>1645.82</v>
      </c>
      <c r="E1440" s="5">
        <f t="shared" si="45"/>
        <v>-4.1689104561599436E-3</v>
      </c>
    </row>
    <row r="1441" spans="1:5" x14ac:dyDescent="0.25">
      <c r="A1441" t="s">
        <v>1445</v>
      </c>
      <c r="B1441">
        <v>77600</v>
      </c>
      <c r="C1441" s="5">
        <f t="shared" si="44"/>
        <v>7.7922077922077922E-3</v>
      </c>
      <c r="D1441">
        <v>1695.5</v>
      </c>
      <c r="E1441" s="5">
        <f t="shared" si="45"/>
        <v>3.0185560996949887E-2</v>
      </c>
    </row>
    <row r="1442" spans="1:5" x14ac:dyDescent="0.25">
      <c r="A1442" t="s">
        <v>1446</v>
      </c>
      <c r="B1442">
        <v>78000</v>
      </c>
      <c r="C1442" s="5">
        <f t="shared" si="44"/>
        <v>5.1546391752577319E-3</v>
      </c>
      <c r="D1442">
        <v>1685.3</v>
      </c>
      <c r="E1442" s="5">
        <f t="shared" si="45"/>
        <v>-6.0159245060454414E-3</v>
      </c>
    </row>
    <row r="1443" spans="1:5" x14ac:dyDescent="0.25">
      <c r="A1443" t="s">
        <v>1447</v>
      </c>
      <c r="B1443">
        <v>80800</v>
      </c>
      <c r="C1443" s="5">
        <f t="shared" si="44"/>
        <v>3.5897435897435895E-2</v>
      </c>
      <c r="D1443">
        <v>1697.83</v>
      </c>
      <c r="E1443" s="5">
        <f t="shared" si="45"/>
        <v>7.4348780632528177E-3</v>
      </c>
    </row>
    <row r="1444" spans="1:5" x14ac:dyDescent="0.25">
      <c r="A1444" t="s">
        <v>1448</v>
      </c>
      <c r="B1444">
        <v>81500</v>
      </c>
      <c r="C1444" s="5">
        <f t="shared" si="44"/>
        <v>8.6633663366336641E-3</v>
      </c>
      <c r="D1444">
        <v>1716.47</v>
      </c>
      <c r="E1444" s="5">
        <f t="shared" si="45"/>
        <v>1.0978719895395946E-2</v>
      </c>
    </row>
    <row r="1445" spans="1:5" x14ac:dyDescent="0.25">
      <c r="A1445" t="s">
        <v>1449</v>
      </c>
      <c r="B1445">
        <v>82000</v>
      </c>
      <c r="C1445" s="5">
        <f t="shared" si="44"/>
        <v>6.1349693251533744E-3</v>
      </c>
      <c r="D1445">
        <v>1747.55</v>
      </c>
      <c r="E1445" s="5">
        <f t="shared" si="45"/>
        <v>1.8106928754944698E-2</v>
      </c>
    </row>
    <row r="1446" spans="1:5" x14ac:dyDescent="0.25">
      <c r="A1446" t="s">
        <v>1450</v>
      </c>
      <c r="B1446">
        <v>83000</v>
      </c>
      <c r="C1446" s="5">
        <f t="shared" si="44"/>
        <v>1.2195121951219513E-2</v>
      </c>
      <c r="D1446">
        <v>1765.12</v>
      </c>
      <c r="E1446" s="5">
        <f t="shared" si="45"/>
        <v>1.0054075705988347E-2</v>
      </c>
    </row>
    <row r="1447" spans="1:5" x14ac:dyDescent="0.25">
      <c r="A1447" t="s">
        <v>1451</v>
      </c>
      <c r="B1447">
        <v>84200</v>
      </c>
      <c r="C1447" s="5">
        <f t="shared" si="44"/>
        <v>1.4457831325301205E-2</v>
      </c>
      <c r="D1447">
        <v>1761.06</v>
      </c>
      <c r="E1447" s="5">
        <f t="shared" si="45"/>
        <v>-2.3001269035532687E-3</v>
      </c>
    </row>
    <row r="1448" spans="1:5" x14ac:dyDescent="0.25">
      <c r="A1448" t="s">
        <v>1452</v>
      </c>
      <c r="B1448">
        <v>83300</v>
      </c>
      <c r="C1448" s="5">
        <f t="shared" si="44"/>
        <v>-1.0688836104513063E-2</v>
      </c>
      <c r="D1448">
        <v>1757.95</v>
      </c>
      <c r="E1448" s="5">
        <f t="shared" si="45"/>
        <v>-1.7659818518391765E-3</v>
      </c>
    </row>
    <row r="1449" spans="1:5" x14ac:dyDescent="0.25">
      <c r="A1449" t="s">
        <v>1453</v>
      </c>
      <c r="B1449">
        <v>84500</v>
      </c>
      <c r="C1449" s="5">
        <f t="shared" si="44"/>
        <v>1.4405762304921969E-2</v>
      </c>
      <c r="D1449">
        <v>1766.85</v>
      </c>
      <c r="E1449" s="5">
        <f t="shared" si="45"/>
        <v>5.0627150942858801E-3</v>
      </c>
    </row>
    <row r="1450" spans="1:5" x14ac:dyDescent="0.25">
      <c r="A1450" t="s">
        <v>1454</v>
      </c>
      <c r="B1450">
        <v>84500</v>
      </c>
      <c r="C1450" s="5">
        <f t="shared" si="44"/>
        <v>0</v>
      </c>
      <c r="D1450">
        <v>1731.19</v>
      </c>
      <c r="E1450" s="5">
        <f t="shared" si="45"/>
        <v>-2.0182811217703742E-2</v>
      </c>
    </row>
    <row r="1451" spans="1:5" x14ac:dyDescent="0.25">
      <c r="A1451" t="s">
        <v>1455</v>
      </c>
      <c r="B1451">
        <v>80900</v>
      </c>
      <c r="C1451" s="5">
        <f t="shared" si="44"/>
        <v>-4.2603550295857988E-2</v>
      </c>
      <c r="D1451">
        <v>1636.43</v>
      </c>
      <c r="E1451" s="5">
        <f t="shared" si="45"/>
        <v>-5.4736915069980754E-2</v>
      </c>
    </row>
    <row r="1452" spans="1:5" x14ac:dyDescent="0.25">
      <c r="A1452" t="s">
        <v>1456</v>
      </c>
      <c r="B1452">
        <v>83000</v>
      </c>
      <c r="C1452" s="5">
        <f t="shared" si="44"/>
        <v>2.595797280593325E-2</v>
      </c>
      <c r="D1452">
        <v>1663.43</v>
      </c>
      <c r="E1452" s="5">
        <f t="shared" si="45"/>
        <v>1.649933086047066E-2</v>
      </c>
    </row>
    <row r="1453" spans="1:5" x14ac:dyDescent="0.25">
      <c r="A1453" t="s">
        <v>1457</v>
      </c>
      <c r="B1453">
        <v>84500</v>
      </c>
      <c r="C1453" s="5">
        <f t="shared" si="44"/>
        <v>1.8072289156626505E-2</v>
      </c>
      <c r="D1453">
        <v>1678.5</v>
      </c>
      <c r="E1453" s="5">
        <f t="shared" si="45"/>
        <v>9.0595937310256128E-3</v>
      </c>
    </row>
    <row r="1454" spans="1:5" x14ac:dyDescent="0.25">
      <c r="A1454" t="s">
        <v>1458</v>
      </c>
      <c r="B1454">
        <v>85700</v>
      </c>
      <c r="C1454" s="5">
        <f t="shared" si="44"/>
        <v>1.4201183431952662E-2</v>
      </c>
      <c r="D1454">
        <v>1687.06</v>
      </c>
      <c r="E1454" s="5">
        <f t="shared" si="45"/>
        <v>5.099791480488499E-3</v>
      </c>
    </row>
    <row r="1455" spans="1:5" x14ac:dyDescent="0.25">
      <c r="A1455" t="s">
        <v>1459</v>
      </c>
      <c r="B1455">
        <v>85700</v>
      </c>
      <c r="C1455" s="5">
        <f t="shared" si="44"/>
        <v>0</v>
      </c>
      <c r="D1455">
        <v>1683.18</v>
      </c>
      <c r="E1455" s="5">
        <f t="shared" si="45"/>
        <v>-2.2998589261792003E-3</v>
      </c>
    </row>
    <row r="1456" spans="1:5" x14ac:dyDescent="0.25">
      <c r="A1456" t="s">
        <v>1460</v>
      </c>
      <c r="B1456">
        <v>81000</v>
      </c>
      <c r="C1456" s="5">
        <f t="shared" si="44"/>
        <v>-5.4842473745624273E-2</v>
      </c>
      <c r="D1456">
        <v>1652.54</v>
      </c>
      <c r="E1456" s="5">
        <f t="shared" si="45"/>
        <v>-1.820363835121621E-2</v>
      </c>
    </row>
    <row r="1457" spans="1:5" x14ac:dyDescent="0.25">
      <c r="A1457" t="s">
        <v>1461</v>
      </c>
      <c r="B1457">
        <v>84200</v>
      </c>
      <c r="C1457" s="5">
        <f t="shared" si="44"/>
        <v>3.9506172839506172E-2</v>
      </c>
      <c r="D1457">
        <v>1680.5</v>
      </c>
      <c r="E1457" s="5">
        <f t="shared" si="45"/>
        <v>1.6919408909920507E-2</v>
      </c>
    </row>
    <row r="1458" spans="1:5" x14ac:dyDescent="0.25">
      <c r="A1458" t="s">
        <v>1462</v>
      </c>
      <c r="B1458">
        <v>84100</v>
      </c>
      <c r="C1458" s="5">
        <f t="shared" si="44"/>
        <v>-1.1876484560570072E-3</v>
      </c>
      <c r="D1458">
        <v>1685.83</v>
      </c>
      <c r="E1458" s="5">
        <f t="shared" si="45"/>
        <v>3.1716750966973681E-3</v>
      </c>
    </row>
    <row r="1459" spans="1:5" x14ac:dyDescent="0.25">
      <c r="A1459" t="s">
        <v>1463</v>
      </c>
      <c r="B1459">
        <v>83900</v>
      </c>
      <c r="C1459" s="5">
        <f t="shared" si="44"/>
        <v>-2.3781212841854932E-3</v>
      </c>
      <c r="D1459">
        <v>1669.57</v>
      </c>
      <c r="E1459" s="5">
        <f t="shared" si="45"/>
        <v>-9.6451006329226503E-3</v>
      </c>
    </row>
    <row r="1460" spans="1:5" x14ac:dyDescent="0.25">
      <c r="A1460" t="s">
        <v>1464</v>
      </c>
      <c r="B1460">
        <v>82600</v>
      </c>
      <c r="C1460" s="5">
        <f t="shared" si="44"/>
        <v>-1.5494636471990465E-2</v>
      </c>
      <c r="D1460">
        <v>1639.65</v>
      </c>
      <c r="E1460" s="5">
        <f t="shared" si="45"/>
        <v>-1.7920781997759809E-2</v>
      </c>
    </row>
    <row r="1461" spans="1:5" x14ac:dyDescent="0.25">
      <c r="A1461" t="s">
        <v>1465</v>
      </c>
      <c r="B1461">
        <v>81000</v>
      </c>
      <c r="C1461" s="5">
        <f t="shared" si="44"/>
        <v>-1.9370460048426151E-2</v>
      </c>
      <c r="D1461">
        <v>1617</v>
      </c>
      <c r="E1461" s="5">
        <f t="shared" si="45"/>
        <v>-1.3813923703229402E-2</v>
      </c>
    </row>
    <row r="1462" spans="1:5" x14ac:dyDescent="0.25">
      <c r="A1462" t="s">
        <v>1466</v>
      </c>
      <c r="B1462">
        <v>81800</v>
      </c>
      <c r="C1462" s="5">
        <f t="shared" si="44"/>
        <v>9.876543209876543E-3</v>
      </c>
      <c r="D1462">
        <v>1651.98</v>
      </c>
      <c r="E1462" s="5">
        <f t="shared" si="45"/>
        <v>2.1632653061224499E-2</v>
      </c>
    </row>
    <row r="1463" spans="1:5" x14ac:dyDescent="0.25">
      <c r="A1463" t="s">
        <v>1467</v>
      </c>
      <c r="B1463">
        <v>80200</v>
      </c>
      <c r="C1463" s="5">
        <f t="shared" si="44"/>
        <v>-1.9559902200488997E-2</v>
      </c>
      <c r="D1463">
        <v>1654.89</v>
      </c>
      <c r="E1463" s="5">
        <f t="shared" si="45"/>
        <v>1.7615225365925022E-3</v>
      </c>
    </row>
    <row r="1464" spans="1:5" x14ac:dyDescent="0.25">
      <c r="A1464" t="s">
        <v>1468</v>
      </c>
      <c r="B1464">
        <v>80300</v>
      </c>
      <c r="C1464" s="5">
        <f t="shared" si="44"/>
        <v>1.2468827930174563E-3</v>
      </c>
      <c r="D1464">
        <v>1642.64</v>
      </c>
      <c r="E1464" s="5">
        <f t="shared" si="45"/>
        <v>-7.4023046849035282E-3</v>
      </c>
    </row>
    <row r="1465" spans="1:5" x14ac:dyDescent="0.25">
      <c r="A1465" t="s">
        <v>1469</v>
      </c>
      <c r="B1465">
        <v>76500</v>
      </c>
      <c r="C1465" s="5">
        <f t="shared" si="44"/>
        <v>-4.7322540473225407E-2</v>
      </c>
      <c r="D1465">
        <v>1599.1</v>
      </c>
      <c r="E1465" s="5">
        <f t="shared" si="45"/>
        <v>-2.6506112112209729E-2</v>
      </c>
    </row>
    <row r="1466" spans="1:5" x14ac:dyDescent="0.25">
      <c r="A1466" t="s">
        <v>1470</v>
      </c>
      <c r="B1466">
        <v>76800</v>
      </c>
      <c r="C1466" s="5">
        <f t="shared" si="44"/>
        <v>3.9215686274509803E-3</v>
      </c>
      <c r="D1466">
        <v>1580.54</v>
      </c>
      <c r="E1466" s="5">
        <f t="shared" si="45"/>
        <v>-1.1606528672378179E-2</v>
      </c>
    </row>
    <row r="1467" spans="1:5" x14ac:dyDescent="0.25">
      <c r="A1467" t="s">
        <v>1471</v>
      </c>
      <c r="B1467">
        <v>78000</v>
      </c>
      <c r="C1467" s="5">
        <f t="shared" si="44"/>
        <v>1.5625E-2</v>
      </c>
      <c r="D1467">
        <v>1593.61</v>
      </c>
      <c r="E1467" s="5">
        <f t="shared" si="45"/>
        <v>8.2693256735039515E-3</v>
      </c>
    </row>
    <row r="1468" spans="1:5" x14ac:dyDescent="0.25">
      <c r="A1468" t="s">
        <v>1472</v>
      </c>
      <c r="B1468">
        <v>80500</v>
      </c>
      <c r="C1468" s="5">
        <f t="shared" si="44"/>
        <v>3.2051282051282048E-2</v>
      </c>
      <c r="D1468">
        <v>1631.86</v>
      </c>
      <c r="E1468" s="5">
        <f t="shared" si="45"/>
        <v>2.4002108420504389E-2</v>
      </c>
    </row>
    <row r="1469" spans="1:5" x14ac:dyDescent="0.25">
      <c r="A1469" t="s">
        <v>1473</v>
      </c>
      <c r="B1469">
        <v>80100</v>
      </c>
      <c r="C1469" s="5">
        <f t="shared" si="44"/>
        <v>-4.9689440993788822E-3</v>
      </c>
      <c r="D1469">
        <v>1631.44</v>
      </c>
      <c r="E1469" s="5">
        <f t="shared" si="45"/>
        <v>-2.5737501991582941E-4</v>
      </c>
    </row>
    <row r="1470" spans="1:5" x14ac:dyDescent="0.25">
      <c r="A1470" t="s">
        <v>1474</v>
      </c>
      <c r="B1470">
        <v>81400</v>
      </c>
      <c r="C1470" s="5">
        <f t="shared" si="44"/>
        <v>1.6229712858926344E-2</v>
      </c>
      <c r="D1470">
        <v>1635.46</v>
      </c>
      <c r="E1470" s="5">
        <f t="shared" si="45"/>
        <v>2.4640808120433371E-3</v>
      </c>
    </row>
    <row r="1471" spans="1:5" x14ac:dyDescent="0.25">
      <c r="A1471" t="s">
        <v>1475</v>
      </c>
      <c r="B1471">
        <v>82400</v>
      </c>
      <c r="C1471" s="5">
        <f t="shared" si="44"/>
        <v>1.2285012285012284E-2</v>
      </c>
      <c r="D1471">
        <v>1654.42</v>
      </c>
      <c r="E1471" s="5">
        <f t="shared" si="45"/>
        <v>1.1593068616780621E-2</v>
      </c>
    </row>
    <row r="1472" spans="1:5" x14ac:dyDescent="0.25">
      <c r="A1472" t="s">
        <v>1476</v>
      </c>
      <c r="B1472">
        <v>83000</v>
      </c>
      <c r="C1472" s="5">
        <f t="shared" si="44"/>
        <v>7.2815533980582527E-3</v>
      </c>
      <c r="D1472">
        <v>1659.92</v>
      </c>
      <c r="E1472" s="5">
        <f t="shared" si="45"/>
        <v>3.3244278961811389E-3</v>
      </c>
    </row>
    <row r="1473" spans="1:5" x14ac:dyDescent="0.25">
      <c r="A1473" t="s">
        <v>1477</v>
      </c>
      <c r="B1473">
        <v>82400</v>
      </c>
      <c r="C1473" s="5">
        <f t="shared" si="44"/>
        <v>-7.2289156626506026E-3</v>
      </c>
      <c r="D1473">
        <v>1649</v>
      </c>
      <c r="E1473" s="5">
        <f t="shared" si="45"/>
        <v>-6.5786302954359685E-3</v>
      </c>
    </row>
    <row r="1474" spans="1:5" x14ac:dyDescent="0.25">
      <c r="A1474" t="s">
        <v>1478</v>
      </c>
      <c r="B1474">
        <v>81000</v>
      </c>
      <c r="C1474" s="5">
        <f t="shared" si="44"/>
        <v>-1.6990291262135922E-2</v>
      </c>
      <c r="D1474">
        <v>1655.99</v>
      </c>
      <c r="E1474" s="5">
        <f t="shared" si="45"/>
        <v>4.2389326864766584E-3</v>
      </c>
    </row>
    <row r="1475" spans="1:5" x14ac:dyDescent="0.25">
      <c r="A1475" t="s">
        <v>1479</v>
      </c>
      <c r="B1475">
        <v>80000</v>
      </c>
      <c r="C1475" s="5">
        <f t="shared" si="44"/>
        <v>-1.2345679012345678E-2</v>
      </c>
      <c r="D1475">
        <v>1654.93</v>
      </c>
      <c r="E1475" s="5">
        <f t="shared" si="45"/>
        <v>-6.401004836985401E-4</v>
      </c>
    </row>
    <row r="1476" spans="1:5" x14ac:dyDescent="0.25">
      <c r="A1476" t="s">
        <v>1480</v>
      </c>
      <c r="B1476">
        <v>79300</v>
      </c>
      <c r="C1476" s="5">
        <f t="shared" si="44"/>
        <v>-8.7500000000000008E-3</v>
      </c>
      <c r="D1476">
        <v>1667.98</v>
      </c>
      <c r="E1476" s="5">
        <f t="shared" si="45"/>
        <v>7.8855299015668061E-3</v>
      </c>
    </row>
    <row r="1477" spans="1:5" x14ac:dyDescent="0.25">
      <c r="A1477" t="s">
        <v>1481</v>
      </c>
      <c r="B1477">
        <v>78500</v>
      </c>
      <c r="C1477" s="5">
        <f t="shared" si="44"/>
        <v>-1.0088272383354351E-2</v>
      </c>
      <c r="D1477">
        <v>1660.36</v>
      </c>
      <c r="E1477" s="5">
        <f t="shared" si="45"/>
        <v>-4.5684001007207028E-3</v>
      </c>
    </row>
    <row r="1478" spans="1:5" x14ac:dyDescent="0.25">
      <c r="A1478" t="s">
        <v>1482</v>
      </c>
      <c r="B1478">
        <v>80200</v>
      </c>
      <c r="C1478" s="5">
        <f t="shared" ref="C1478:C1541" si="46">(B1478-B1477)/B1477</f>
        <v>2.1656050955414011E-2</v>
      </c>
      <c r="D1478">
        <v>1680.36</v>
      </c>
      <c r="E1478" s="5">
        <f t="shared" ref="E1478:E1541" si="47">(D1478-D1477)/D1477</f>
        <v>1.2045580476523165E-2</v>
      </c>
    </row>
    <row r="1479" spans="1:5" x14ac:dyDescent="0.25">
      <c r="A1479" t="s">
        <v>1483</v>
      </c>
      <c r="B1479">
        <v>80000</v>
      </c>
      <c r="C1479" s="5">
        <f t="shared" si="46"/>
        <v>-2.4937655860349127E-3</v>
      </c>
      <c r="D1479">
        <v>1684.32</v>
      </c>
      <c r="E1479" s="5">
        <f t="shared" si="47"/>
        <v>2.3566378633150258E-3</v>
      </c>
    </row>
    <row r="1480" spans="1:5" x14ac:dyDescent="0.25">
      <c r="A1480" t="s">
        <v>1484</v>
      </c>
      <c r="B1480">
        <v>79900</v>
      </c>
      <c r="C1480" s="5">
        <f t="shared" si="46"/>
        <v>-1.25E-3</v>
      </c>
      <c r="D1480">
        <v>1690.99</v>
      </c>
      <c r="E1480" s="5">
        <f t="shared" si="47"/>
        <v>3.9600550964187763E-3</v>
      </c>
    </row>
    <row r="1481" spans="1:5" x14ac:dyDescent="0.25">
      <c r="A1481" t="s">
        <v>1485</v>
      </c>
      <c r="B1481">
        <v>80000</v>
      </c>
      <c r="C1481" s="5">
        <f t="shared" si="46"/>
        <v>1.2515644555694619E-3</v>
      </c>
      <c r="D1481">
        <v>1701.67</v>
      </c>
      <c r="E1481" s="5">
        <f t="shared" si="47"/>
        <v>6.3158268233402112E-3</v>
      </c>
    </row>
    <row r="1482" spans="1:5" x14ac:dyDescent="0.25">
      <c r="A1482" t="s">
        <v>1486</v>
      </c>
      <c r="B1482">
        <v>80000</v>
      </c>
      <c r="C1482" s="5">
        <f t="shared" si="46"/>
        <v>0</v>
      </c>
      <c r="D1482">
        <v>1717.06</v>
      </c>
      <c r="E1482" s="5">
        <f t="shared" si="47"/>
        <v>9.044056720750716E-3</v>
      </c>
    </row>
    <row r="1483" spans="1:5" x14ac:dyDescent="0.25">
      <c r="A1483" t="s">
        <v>1487</v>
      </c>
      <c r="B1483">
        <v>84700</v>
      </c>
      <c r="C1483" s="5">
        <f t="shared" si="46"/>
        <v>5.8749999999999997E-2</v>
      </c>
      <c r="D1483">
        <v>1731.77</v>
      </c>
      <c r="E1483" s="5">
        <f t="shared" si="47"/>
        <v>8.5669691216381707E-3</v>
      </c>
    </row>
    <row r="1484" spans="1:5" x14ac:dyDescent="0.25">
      <c r="A1484" t="s">
        <v>1488</v>
      </c>
      <c r="B1484">
        <v>85800</v>
      </c>
      <c r="C1484" s="5">
        <f t="shared" si="46"/>
        <v>1.2987012987012988E-2</v>
      </c>
      <c r="D1484">
        <v>1737.24</v>
      </c>
      <c r="E1484" s="5">
        <f t="shared" si="47"/>
        <v>3.15861806128991E-3</v>
      </c>
    </row>
    <row r="1485" spans="1:5" x14ac:dyDescent="0.25">
      <c r="A1485" t="s">
        <v>1489</v>
      </c>
      <c r="B1485">
        <v>85100</v>
      </c>
      <c r="C1485" s="5">
        <f t="shared" si="46"/>
        <v>-8.1585081585081581E-3</v>
      </c>
      <c r="D1485">
        <v>1741.32</v>
      </c>
      <c r="E1485" s="5">
        <f t="shared" si="47"/>
        <v>2.3485528769772324E-3</v>
      </c>
    </row>
    <row r="1486" spans="1:5" x14ac:dyDescent="0.25">
      <c r="A1486" t="s">
        <v>1490</v>
      </c>
      <c r="B1486">
        <v>84900</v>
      </c>
      <c r="C1486" s="5">
        <f t="shared" si="46"/>
        <v>-2.3501762632197414E-3</v>
      </c>
      <c r="D1486">
        <v>1753.74</v>
      </c>
      <c r="E1486" s="5">
        <f t="shared" si="47"/>
        <v>7.1325201571222248E-3</v>
      </c>
    </row>
    <row r="1487" spans="1:5" x14ac:dyDescent="0.25">
      <c r="A1487" t="s">
        <v>1491</v>
      </c>
      <c r="B1487">
        <v>84000</v>
      </c>
      <c r="C1487" s="5">
        <f t="shared" si="46"/>
        <v>-1.0600706713780919E-2</v>
      </c>
      <c r="D1487">
        <v>1747.17</v>
      </c>
      <c r="E1487" s="5">
        <f t="shared" si="47"/>
        <v>-3.7462793800677047E-3</v>
      </c>
    </row>
    <row r="1488" spans="1:5" x14ac:dyDescent="0.25">
      <c r="A1488" t="s">
        <v>1492</v>
      </c>
      <c r="B1488">
        <v>83000</v>
      </c>
      <c r="C1488" s="5">
        <f t="shared" si="46"/>
        <v>-1.1904761904761904E-2</v>
      </c>
      <c r="D1488">
        <v>1718.98</v>
      </c>
      <c r="E1488" s="5">
        <f t="shared" si="47"/>
        <v>-1.6134663484377625E-2</v>
      </c>
    </row>
    <row r="1489" spans="1:5" x14ac:dyDescent="0.25">
      <c r="A1489" t="s">
        <v>1493</v>
      </c>
      <c r="B1489">
        <v>82300</v>
      </c>
      <c r="C1489" s="5">
        <f t="shared" si="46"/>
        <v>-8.4337349397590362E-3</v>
      </c>
      <c r="D1489">
        <v>1698.9</v>
      </c>
      <c r="E1489" s="5">
        <f t="shared" si="47"/>
        <v>-1.1681345914437589E-2</v>
      </c>
    </row>
    <row r="1490" spans="1:5" x14ac:dyDescent="0.25">
      <c r="A1490" t="s">
        <v>1494</v>
      </c>
      <c r="B1490">
        <v>78500</v>
      </c>
      <c r="C1490" s="5">
        <f t="shared" si="46"/>
        <v>-4.6172539489671933E-2</v>
      </c>
      <c r="D1490">
        <v>1646.89</v>
      </c>
      <c r="E1490" s="5">
        <f t="shared" si="47"/>
        <v>-3.0613926658426032E-2</v>
      </c>
    </row>
    <row r="1491" spans="1:5" x14ac:dyDescent="0.25">
      <c r="A1491" t="s">
        <v>1495</v>
      </c>
      <c r="B1491">
        <v>77700</v>
      </c>
      <c r="C1491" s="5">
        <f t="shared" si="46"/>
        <v>-1.019108280254777E-2</v>
      </c>
      <c r="D1491">
        <v>1646.01</v>
      </c>
      <c r="E1491" s="5">
        <f t="shared" si="47"/>
        <v>-5.3434048418540955E-4</v>
      </c>
    </row>
    <row r="1492" spans="1:5" x14ac:dyDescent="0.25">
      <c r="A1492" t="s">
        <v>1496</v>
      </c>
      <c r="B1492">
        <v>82000</v>
      </c>
      <c r="C1492" s="5">
        <f t="shared" si="46"/>
        <v>5.5341055341055344E-2</v>
      </c>
      <c r="D1492">
        <v>1679.18</v>
      </c>
      <c r="E1492" s="5">
        <f t="shared" si="47"/>
        <v>2.0151760924903294E-2</v>
      </c>
    </row>
    <row r="1493" spans="1:5" x14ac:dyDescent="0.25">
      <c r="A1493" t="s">
        <v>1497</v>
      </c>
      <c r="B1493">
        <v>81900</v>
      </c>
      <c r="C1493" s="5">
        <f t="shared" si="46"/>
        <v>-1.2195121951219512E-3</v>
      </c>
      <c r="D1493">
        <v>1673.66</v>
      </c>
      <c r="E1493" s="5">
        <f t="shared" si="47"/>
        <v>-3.2873188103717181E-3</v>
      </c>
    </row>
    <row r="1494" spans="1:5" x14ac:dyDescent="0.25">
      <c r="A1494" t="s">
        <v>1498</v>
      </c>
      <c r="B1494">
        <v>81600</v>
      </c>
      <c r="C1494" s="5">
        <f t="shared" si="46"/>
        <v>-3.663003663003663E-3</v>
      </c>
      <c r="D1494">
        <v>1676.98</v>
      </c>
      <c r="E1494" s="5">
        <f t="shared" si="47"/>
        <v>1.9836764934335147E-3</v>
      </c>
    </row>
    <row r="1495" spans="1:5" x14ac:dyDescent="0.25">
      <c r="A1495" t="s">
        <v>1499</v>
      </c>
      <c r="B1495">
        <v>82900</v>
      </c>
      <c r="C1495" s="5">
        <f t="shared" si="46"/>
        <v>1.5931372549019607E-2</v>
      </c>
      <c r="D1495">
        <v>1704.31</v>
      </c>
      <c r="E1495" s="5">
        <f t="shared" si="47"/>
        <v>1.6297153215899966E-2</v>
      </c>
    </row>
    <row r="1496" spans="1:5" x14ac:dyDescent="0.25">
      <c r="A1496" t="s">
        <v>1500</v>
      </c>
      <c r="B1496">
        <v>85000</v>
      </c>
      <c r="C1496" s="5">
        <f t="shared" si="46"/>
        <v>2.5331724969843185E-2</v>
      </c>
      <c r="D1496">
        <v>1751.03</v>
      </c>
      <c r="E1496" s="5">
        <f t="shared" si="47"/>
        <v>2.7412853295468564E-2</v>
      </c>
    </row>
    <row r="1497" spans="1:5" x14ac:dyDescent="0.25">
      <c r="A1497" t="s">
        <v>1501</v>
      </c>
      <c r="B1497">
        <v>87500</v>
      </c>
      <c r="C1497" s="5">
        <f t="shared" si="46"/>
        <v>2.9411764705882353E-2</v>
      </c>
      <c r="D1497">
        <v>1772.15</v>
      </c>
      <c r="E1497" s="5">
        <f t="shared" si="47"/>
        <v>1.2061472390535923E-2</v>
      </c>
    </row>
    <row r="1498" spans="1:5" x14ac:dyDescent="0.25">
      <c r="A1498" t="s">
        <v>1502</v>
      </c>
      <c r="B1498">
        <v>88000</v>
      </c>
      <c r="C1498" s="5">
        <f t="shared" si="46"/>
        <v>5.7142857142857143E-3</v>
      </c>
      <c r="D1498">
        <v>1782.82</v>
      </c>
      <c r="E1498" s="5">
        <f t="shared" si="47"/>
        <v>6.0209350224302936E-3</v>
      </c>
    </row>
    <row r="1499" spans="1:5" x14ac:dyDescent="0.25">
      <c r="A1499" t="s">
        <v>1503</v>
      </c>
      <c r="B1499">
        <v>86000</v>
      </c>
      <c r="C1499" s="5">
        <f t="shared" si="46"/>
        <v>-2.2727272727272728E-2</v>
      </c>
      <c r="D1499">
        <v>1742.85</v>
      </c>
      <c r="E1499" s="5">
        <f t="shared" si="47"/>
        <v>-2.2419537586520249E-2</v>
      </c>
    </row>
    <row r="1500" spans="1:5" x14ac:dyDescent="0.25">
      <c r="A1500" t="s">
        <v>1504</v>
      </c>
      <c r="B1500">
        <v>87000</v>
      </c>
      <c r="C1500" s="5">
        <f t="shared" si="46"/>
        <v>1.1627906976744186E-2</v>
      </c>
      <c r="D1500">
        <v>1729.8</v>
      </c>
      <c r="E1500" s="5">
        <f t="shared" si="47"/>
        <v>-7.4877356054737672E-3</v>
      </c>
    </row>
    <row r="1501" spans="1:5" x14ac:dyDescent="0.25">
      <c r="A1501" t="s">
        <v>1505</v>
      </c>
      <c r="B1501">
        <v>87100</v>
      </c>
      <c r="C1501" s="5">
        <f t="shared" si="46"/>
        <v>1.1494252873563218E-3</v>
      </c>
      <c r="D1501">
        <v>1754.84</v>
      </c>
      <c r="E1501" s="5">
        <f t="shared" si="47"/>
        <v>1.4475661926234226E-2</v>
      </c>
    </row>
    <row r="1502" spans="1:5" x14ac:dyDescent="0.25">
      <c r="A1502" t="s">
        <v>1506</v>
      </c>
      <c r="B1502">
        <v>88500</v>
      </c>
      <c r="C1502" s="5">
        <f t="shared" si="46"/>
        <v>1.6073478760045924E-2</v>
      </c>
      <c r="D1502">
        <v>1766.9</v>
      </c>
      <c r="E1502" s="5">
        <f t="shared" si="47"/>
        <v>6.8724214173372915E-3</v>
      </c>
    </row>
    <row r="1503" spans="1:5" x14ac:dyDescent="0.25">
      <c r="A1503" t="s">
        <v>1507</v>
      </c>
      <c r="B1503">
        <v>88400</v>
      </c>
      <c r="C1503" s="5">
        <f t="shared" si="46"/>
        <v>-1.1299435028248588E-3</v>
      </c>
      <c r="D1503">
        <v>1784.49</v>
      </c>
      <c r="E1503" s="5">
        <f t="shared" si="47"/>
        <v>9.955288924104317E-3</v>
      </c>
    </row>
    <row r="1504" spans="1:5" x14ac:dyDescent="0.25">
      <c r="A1504" t="s">
        <v>1508</v>
      </c>
      <c r="B1504">
        <v>87400</v>
      </c>
      <c r="C1504" s="5">
        <f t="shared" si="46"/>
        <v>-1.1312217194570135E-2</v>
      </c>
      <c r="D1504">
        <v>1788.4</v>
      </c>
      <c r="E1504" s="5">
        <f t="shared" si="47"/>
        <v>2.1911022196818598E-3</v>
      </c>
    </row>
    <row r="1505" spans="1:5" x14ac:dyDescent="0.25">
      <c r="A1505" t="s">
        <v>1509</v>
      </c>
      <c r="B1505">
        <v>88800</v>
      </c>
      <c r="C1505" s="5">
        <f t="shared" si="46"/>
        <v>1.6018306636155607E-2</v>
      </c>
      <c r="D1505">
        <v>1816.27</v>
      </c>
      <c r="E1505" s="5">
        <f t="shared" si="47"/>
        <v>1.5583762021918971E-2</v>
      </c>
    </row>
    <row r="1506" spans="1:5" x14ac:dyDescent="0.25">
      <c r="A1506" t="s">
        <v>1510</v>
      </c>
      <c r="B1506">
        <v>89800</v>
      </c>
      <c r="C1506" s="5">
        <f t="shared" si="46"/>
        <v>1.1261261261261261E-2</v>
      </c>
      <c r="D1506">
        <v>1861.58</v>
      </c>
      <c r="E1506" s="5">
        <f t="shared" si="47"/>
        <v>2.4946731488159769E-2</v>
      </c>
    </row>
    <row r="1507" spans="1:5" x14ac:dyDescent="0.25">
      <c r="A1507" t="s">
        <v>1511</v>
      </c>
      <c r="B1507">
        <v>87500</v>
      </c>
      <c r="C1507" s="5">
        <f t="shared" si="46"/>
        <v>-2.5612472160356347E-2</v>
      </c>
      <c r="D1507">
        <v>1855.56</v>
      </c>
      <c r="E1507" s="5">
        <f t="shared" si="47"/>
        <v>-3.2338121380762483E-3</v>
      </c>
    </row>
    <row r="1508" spans="1:5" x14ac:dyDescent="0.25">
      <c r="A1508" t="s">
        <v>1512</v>
      </c>
      <c r="B1508">
        <v>86000</v>
      </c>
      <c r="C1508" s="5">
        <f t="shared" si="46"/>
        <v>-1.7142857142857144E-2</v>
      </c>
      <c r="D1508">
        <v>1867.9</v>
      </c>
      <c r="E1508" s="5">
        <f t="shared" si="47"/>
        <v>6.6502834723749949E-3</v>
      </c>
    </row>
    <row r="1509" spans="1:5" x14ac:dyDescent="0.25">
      <c r="A1509" t="s">
        <v>1513</v>
      </c>
      <c r="B1509">
        <v>87500</v>
      </c>
      <c r="C1509" s="5">
        <f t="shared" si="46"/>
        <v>1.7441860465116279E-2</v>
      </c>
      <c r="D1509">
        <v>1877.33</v>
      </c>
      <c r="E1509" s="5">
        <f t="shared" si="47"/>
        <v>5.0484501311632507E-3</v>
      </c>
    </row>
    <row r="1510" spans="1:5" x14ac:dyDescent="0.25">
      <c r="A1510" t="s">
        <v>1514</v>
      </c>
      <c r="B1510">
        <v>87100</v>
      </c>
      <c r="C1510" s="5">
        <f t="shared" si="46"/>
        <v>-4.5714285714285718E-3</v>
      </c>
      <c r="D1510">
        <v>1902.93</v>
      </c>
      <c r="E1510" s="5">
        <f t="shared" si="47"/>
        <v>1.3636387848700089E-2</v>
      </c>
    </row>
    <row r="1511" spans="1:5" x14ac:dyDescent="0.25">
      <c r="A1511" t="s">
        <v>1515</v>
      </c>
      <c r="B1511">
        <v>86000</v>
      </c>
      <c r="C1511" s="5">
        <f t="shared" si="46"/>
        <v>-1.2629161882893225E-2</v>
      </c>
      <c r="D1511">
        <v>1894.44</v>
      </c>
      <c r="E1511" s="5">
        <f t="shared" si="47"/>
        <v>-4.4615408869480271E-3</v>
      </c>
    </row>
    <row r="1512" spans="1:5" x14ac:dyDescent="0.25">
      <c r="A1512" t="s">
        <v>1516</v>
      </c>
      <c r="B1512">
        <v>84000</v>
      </c>
      <c r="C1512" s="5">
        <f t="shared" si="46"/>
        <v>-2.3255813953488372E-2</v>
      </c>
      <c r="D1512">
        <v>1864.8</v>
      </c>
      <c r="E1512" s="5">
        <f t="shared" si="47"/>
        <v>-1.5645784506239362E-2</v>
      </c>
    </row>
    <row r="1513" spans="1:5" x14ac:dyDescent="0.25">
      <c r="A1513" t="s">
        <v>1517</v>
      </c>
      <c r="B1513">
        <v>87000</v>
      </c>
      <c r="C1513" s="5">
        <f t="shared" si="46"/>
        <v>3.5714285714285712E-2</v>
      </c>
      <c r="D1513">
        <v>1879.13</v>
      </c>
      <c r="E1513" s="5">
        <f t="shared" si="47"/>
        <v>7.6844701844702677E-3</v>
      </c>
    </row>
    <row r="1514" spans="1:5" x14ac:dyDescent="0.25">
      <c r="A1514" t="s">
        <v>1518</v>
      </c>
      <c r="B1514">
        <v>86700</v>
      </c>
      <c r="C1514" s="5">
        <f t="shared" si="46"/>
        <v>-3.4482758620689655E-3</v>
      </c>
      <c r="D1514">
        <v>1896.59</v>
      </c>
      <c r="E1514" s="5">
        <f t="shared" si="47"/>
        <v>9.2915338481104597E-3</v>
      </c>
    </row>
    <row r="1515" spans="1:5" x14ac:dyDescent="0.25">
      <c r="A1515" t="s">
        <v>1519</v>
      </c>
      <c r="B1515">
        <v>86000</v>
      </c>
      <c r="C1515" s="5">
        <f t="shared" si="46"/>
        <v>-8.0738177623990767E-3</v>
      </c>
      <c r="D1515">
        <v>1893.78</v>
      </c>
      <c r="E1515" s="5">
        <f t="shared" si="47"/>
        <v>-1.4816064621240993E-3</v>
      </c>
    </row>
    <row r="1516" spans="1:5" x14ac:dyDescent="0.25">
      <c r="A1516" t="s">
        <v>1520</v>
      </c>
      <c r="B1516">
        <v>85400</v>
      </c>
      <c r="C1516" s="5">
        <f t="shared" si="46"/>
        <v>-6.9767441860465115E-3</v>
      </c>
      <c r="D1516">
        <v>1885.44</v>
      </c>
      <c r="E1516" s="5">
        <f t="shared" si="47"/>
        <v>-4.4038906314354982E-3</v>
      </c>
    </row>
    <row r="1517" spans="1:5" x14ac:dyDescent="0.25">
      <c r="A1517" t="s">
        <v>1521</v>
      </c>
      <c r="B1517">
        <v>86500</v>
      </c>
      <c r="C1517" s="5">
        <f t="shared" si="46"/>
        <v>1.288056206088993E-2</v>
      </c>
      <c r="D1517">
        <v>1882.73</v>
      </c>
      <c r="E1517" s="5">
        <f t="shared" si="47"/>
        <v>-1.4373302783435358E-3</v>
      </c>
    </row>
    <row r="1518" spans="1:5" x14ac:dyDescent="0.25">
      <c r="A1518" t="s">
        <v>1522</v>
      </c>
      <c r="B1518">
        <v>85800</v>
      </c>
      <c r="C1518" s="5">
        <f t="shared" si="46"/>
        <v>-8.0924855491329474E-3</v>
      </c>
      <c r="D1518">
        <v>1870.79</v>
      </c>
      <c r="E1518" s="5">
        <f t="shared" si="47"/>
        <v>-6.341854647241003E-3</v>
      </c>
    </row>
    <row r="1519" spans="1:5" x14ac:dyDescent="0.25">
      <c r="A1519" t="s">
        <v>1523</v>
      </c>
      <c r="B1519">
        <v>84100</v>
      </c>
      <c r="C1519" s="5">
        <f t="shared" si="46"/>
        <v>-1.9813519813519812E-2</v>
      </c>
      <c r="D1519">
        <v>1843.72</v>
      </c>
      <c r="E1519" s="5">
        <f t="shared" si="47"/>
        <v>-1.4469822909038393E-2</v>
      </c>
    </row>
    <row r="1520" spans="1:5" x14ac:dyDescent="0.25">
      <c r="A1520" t="s">
        <v>1524</v>
      </c>
      <c r="B1520">
        <v>85000</v>
      </c>
      <c r="C1520" s="5">
        <f t="shared" si="46"/>
        <v>1.070154577883472E-2</v>
      </c>
      <c r="D1520">
        <v>1830.5</v>
      </c>
      <c r="E1520" s="5">
        <f t="shared" si="47"/>
        <v>-7.1702861605883903E-3</v>
      </c>
    </row>
    <row r="1521" spans="1:5" x14ac:dyDescent="0.25">
      <c r="A1521" t="s">
        <v>1525</v>
      </c>
      <c r="B1521">
        <v>85500</v>
      </c>
      <c r="C1521" s="5">
        <f t="shared" si="46"/>
        <v>5.8823529411764705E-3</v>
      </c>
      <c r="D1521">
        <v>1802.91</v>
      </c>
      <c r="E1521" s="5">
        <f t="shared" si="47"/>
        <v>-1.5072384594373078E-2</v>
      </c>
    </row>
    <row r="1522" spans="1:5" x14ac:dyDescent="0.25">
      <c r="A1522" t="s">
        <v>1526</v>
      </c>
      <c r="B1522">
        <v>89500</v>
      </c>
      <c r="C1522" s="5">
        <f t="shared" si="46"/>
        <v>4.6783625730994149E-2</v>
      </c>
      <c r="D1522">
        <v>1814.98</v>
      </c>
      <c r="E1522" s="5">
        <f t="shared" si="47"/>
        <v>6.694732404834371E-3</v>
      </c>
    </row>
    <row r="1523" spans="1:5" x14ac:dyDescent="0.25">
      <c r="A1523" t="s">
        <v>1527</v>
      </c>
      <c r="B1523">
        <v>92900</v>
      </c>
      <c r="C1523" s="5">
        <f t="shared" si="46"/>
        <v>3.798882681564246E-2</v>
      </c>
      <c r="D1523">
        <v>1829.04</v>
      </c>
      <c r="E1523" s="5">
        <f t="shared" si="47"/>
        <v>7.7466418362736478E-3</v>
      </c>
    </row>
    <row r="1524" spans="1:5" x14ac:dyDescent="0.25">
      <c r="A1524" t="s">
        <v>1528</v>
      </c>
      <c r="B1524">
        <v>93700</v>
      </c>
      <c r="C1524" s="5">
        <f t="shared" si="46"/>
        <v>8.6114101184068884E-3</v>
      </c>
      <c r="D1524">
        <v>1806.5</v>
      </c>
      <c r="E1524" s="5">
        <f t="shared" si="47"/>
        <v>-1.2323404627564167E-2</v>
      </c>
    </row>
    <row r="1525" spans="1:5" x14ac:dyDescent="0.25">
      <c r="A1525" t="s">
        <v>1529</v>
      </c>
      <c r="B1525">
        <v>91500</v>
      </c>
      <c r="C1525" s="5">
        <f t="shared" si="46"/>
        <v>-2.3479188900747065E-2</v>
      </c>
      <c r="D1525">
        <v>1813.4</v>
      </c>
      <c r="E1525" s="5">
        <f t="shared" si="47"/>
        <v>3.8195405480210853E-3</v>
      </c>
    </row>
    <row r="1526" spans="1:5" x14ac:dyDescent="0.25">
      <c r="A1526" t="s">
        <v>1530</v>
      </c>
      <c r="B1526">
        <v>91800</v>
      </c>
      <c r="C1526" s="5">
        <f t="shared" si="46"/>
        <v>3.2786885245901639E-3</v>
      </c>
      <c r="D1526">
        <v>1791.43</v>
      </c>
      <c r="E1526" s="5">
        <f t="shared" si="47"/>
        <v>-1.2115363405757156E-2</v>
      </c>
    </row>
    <row r="1527" spans="1:5" x14ac:dyDescent="0.25">
      <c r="A1527" t="s">
        <v>1531</v>
      </c>
      <c r="B1527">
        <v>90200</v>
      </c>
      <c r="C1527" s="5">
        <f t="shared" si="46"/>
        <v>-1.7429193899782137E-2</v>
      </c>
      <c r="D1527">
        <v>1782.56</v>
      </c>
      <c r="E1527" s="5">
        <f t="shared" si="47"/>
        <v>-4.9513517134357008E-3</v>
      </c>
    </row>
    <row r="1528" spans="1:5" x14ac:dyDescent="0.25">
      <c r="A1528" t="s">
        <v>1532</v>
      </c>
      <c r="B1528">
        <v>88400</v>
      </c>
      <c r="C1528" s="5">
        <f t="shared" si="46"/>
        <v>-1.9955654101995565E-2</v>
      </c>
      <c r="D1528">
        <v>1755.49</v>
      </c>
      <c r="E1528" s="5">
        <f t="shared" si="47"/>
        <v>-1.5186024593842528E-2</v>
      </c>
    </row>
    <row r="1529" spans="1:5" x14ac:dyDescent="0.25">
      <c r="A1529" t="s">
        <v>1533</v>
      </c>
      <c r="B1529">
        <v>89300</v>
      </c>
      <c r="C1529" s="5">
        <f t="shared" si="46"/>
        <v>1.0180995475113122E-2</v>
      </c>
      <c r="D1529">
        <v>1754.82</v>
      </c>
      <c r="E1529" s="5">
        <f t="shared" si="47"/>
        <v>-3.8165982147438766E-4</v>
      </c>
    </row>
    <row r="1530" spans="1:5" x14ac:dyDescent="0.25">
      <c r="A1530" t="s">
        <v>1534</v>
      </c>
      <c r="B1530">
        <v>89300</v>
      </c>
      <c r="C1530" s="5">
        <f t="shared" si="46"/>
        <v>0</v>
      </c>
      <c r="D1530">
        <v>1754.03</v>
      </c>
      <c r="E1530" s="5">
        <f t="shared" si="47"/>
        <v>-4.5018862333456633E-4</v>
      </c>
    </row>
    <row r="1531" spans="1:5" x14ac:dyDescent="0.25">
      <c r="A1531" t="s">
        <v>1535</v>
      </c>
      <c r="B1531">
        <v>91900</v>
      </c>
      <c r="C1531" s="5">
        <f t="shared" si="46"/>
        <v>2.9115341545352745E-2</v>
      </c>
      <c r="D1531">
        <v>1796.85</v>
      </c>
      <c r="E1531" s="5">
        <f t="shared" si="47"/>
        <v>2.4412353266477733E-2</v>
      </c>
    </row>
    <row r="1532" spans="1:5" x14ac:dyDescent="0.25">
      <c r="A1532" t="s">
        <v>1536</v>
      </c>
      <c r="B1532">
        <v>92900</v>
      </c>
      <c r="C1532" s="5">
        <f t="shared" si="46"/>
        <v>1.088139281828074E-2</v>
      </c>
      <c r="D1532">
        <v>1814.09</v>
      </c>
      <c r="E1532" s="5">
        <f t="shared" si="47"/>
        <v>9.5945682722542291E-3</v>
      </c>
    </row>
    <row r="1533" spans="1:5" x14ac:dyDescent="0.25">
      <c r="A1533" t="s">
        <v>1537</v>
      </c>
      <c r="B1533">
        <v>92800</v>
      </c>
      <c r="C1533" s="5">
        <f t="shared" si="46"/>
        <v>-1.076426264800861E-3</v>
      </c>
      <c r="D1533">
        <v>1824.09</v>
      </c>
      <c r="E1533" s="5">
        <f t="shared" si="47"/>
        <v>5.5124056689579903E-3</v>
      </c>
    </row>
    <row r="1534" spans="1:5" x14ac:dyDescent="0.25">
      <c r="A1534" t="s">
        <v>1538</v>
      </c>
      <c r="B1534">
        <v>92000</v>
      </c>
      <c r="C1534" s="5">
        <f t="shared" si="46"/>
        <v>-8.6206896551724137E-3</v>
      </c>
      <c r="D1534">
        <v>1860.14</v>
      </c>
      <c r="E1534" s="5">
        <f t="shared" si="47"/>
        <v>1.9763279224161188E-2</v>
      </c>
    </row>
    <row r="1535" spans="1:5" x14ac:dyDescent="0.25">
      <c r="A1535" t="s">
        <v>1539</v>
      </c>
      <c r="B1535">
        <v>92200</v>
      </c>
      <c r="C1535" s="5">
        <f t="shared" si="46"/>
        <v>2.1739130434782609E-3</v>
      </c>
      <c r="D1535">
        <v>1867.62</v>
      </c>
      <c r="E1535" s="5">
        <f t="shared" si="47"/>
        <v>4.0212027051726162E-3</v>
      </c>
    </row>
    <row r="1536" spans="1:5" x14ac:dyDescent="0.25">
      <c r="A1536" t="s">
        <v>1540</v>
      </c>
      <c r="B1536">
        <v>93000</v>
      </c>
      <c r="C1536" s="5">
        <f t="shared" si="46"/>
        <v>8.6767895878524948E-3</v>
      </c>
      <c r="D1536">
        <v>1860.91</v>
      </c>
      <c r="E1536" s="5">
        <f t="shared" si="47"/>
        <v>-3.5928079587923718E-3</v>
      </c>
    </row>
    <row r="1537" spans="1:5" x14ac:dyDescent="0.25">
      <c r="A1537" t="s">
        <v>1541</v>
      </c>
      <c r="B1537">
        <v>93600</v>
      </c>
      <c r="C1537" s="5">
        <f t="shared" si="46"/>
        <v>6.4516129032258064E-3</v>
      </c>
      <c r="D1537">
        <v>1879.64</v>
      </c>
      <c r="E1537" s="5">
        <f t="shared" si="47"/>
        <v>1.0064968214475722E-2</v>
      </c>
    </row>
    <row r="1538" spans="1:5" x14ac:dyDescent="0.25">
      <c r="A1538" t="s">
        <v>1542</v>
      </c>
      <c r="B1538">
        <v>93100</v>
      </c>
      <c r="C1538" s="5">
        <f t="shared" si="46"/>
        <v>-5.341880341880342E-3</v>
      </c>
      <c r="D1538">
        <v>1880.33</v>
      </c>
      <c r="E1538" s="5">
        <f t="shared" si="47"/>
        <v>3.6709157072621732E-4</v>
      </c>
    </row>
    <row r="1539" spans="1:5" x14ac:dyDescent="0.25">
      <c r="A1539" t="s">
        <v>1543</v>
      </c>
      <c r="B1539">
        <v>90000</v>
      </c>
      <c r="C1539" s="5">
        <f t="shared" si="46"/>
        <v>-3.3297529538131039E-2</v>
      </c>
      <c r="D1539">
        <v>1846.1</v>
      </c>
      <c r="E1539" s="5">
        <f t="shared" si="47"/>
        <v>-1.8204251381406467E-2</v>
      </c>
    </row>
    <row r="1540" spans="1:5" x14ac:dyDescent="0.25">
      <c r="A1540" t="s">
        <v>1544</v>
      </c>
      <c r="B1540">
        <v>88200</v>
      </c>
      <c r="C1540" s="5">
        <f t="shared" si="46"/>
        <v>-0.02</v>
      </c>
      <c r="D1540">
        <v>1813.14</v>
      </c>
      <c r="E1540" s="5">
        <f t="shared" si="47"/>
        <v>-1.7853854070743629E-2</v>
      </c>
    </row>
    <row r="1541" spans="1:5" x14ac:dyDescent="0.25">
      <c r="A1541" t="s">
        <v>1545</v>
      </c>
      <c r="B1541">
        <v>88800</v>
      </c>
      <c r="C1541" s="5">
        <f t="shared" si="46"/>
        <v>6.8027210884353739E-3</v>
      </c>
      <c r="D1541">
        <v>1818.27</v>
      </c>
      <c r="E1541" s="5">
        <f t="shared" si="47"/>
        <v>2.8293457758363288E-3</v>
      </c>
    </row>
    <row r="1542" spans="1:5" x14ac:dyDescent="0.25">
      <c r="A1542" t="s">
        <v>1546</v>
      </c>
      <c r="B1542">
        <v>85200</v>
      </c>
      <c r="C1542" s="5">
        <f t="shared" ref="C1542:C1605" si="48">(B1542-B1541)/B1541</f>
        <v>-4.0540540540540543E-2</v>
      </c>
      <c r="D1542">
        <v>1808.51</v>
      </c>
      <c r="E1542" s="5">
        <f t="shared" ref="E1542:E1605" si="49">(D1542-D1541)/D1541</f>
        <v>-5.367739664626261E-3</v>
      </c>
    </row>
    <row r="1543" spans="1:5" x14ac:dyDescent="0.25">
      <c r="A1543" t="s">
        <v>1547</v>
      </c>
      <c r="B1543">
        <v>82700</v>
      </c>
      <c r="C1543" s="5">
        <f t="shared" si="48"/>
        <v>-2.9342723004694836E-2</v>
      </c>
      <c r="D1543">
        <v>1767.84</v>
      </c>
      <c r="E1543" s="5">
        <f t="shared" si="49"/>
        <v>-2.2488125584044363E-2</v>
      </c>
    </row>
    <row r="1544" spans="1:5" x14ac:dyDescent="0.25">
      <c r="A1544" t="s">
        <v>1548</v>
      </c>
      <c r="B1544">
        <v>77000</v>
      </c>
      <c r="C1544" s="5">
        <f t="shared" si="48"/>
        <v>-6.8923821039903271E-2</v>
      </c>
      <c r="D1544">
        <v>1652.79</v>
      </c>
      <c r="E1544" s="5">
        <f t="shared" si="49"/>
        <v>-6.5079418951941331E-2</v>
      </c>
    </row>
    <row r="1545" spans="1:5" x14ac:dyDescent="0.25">
      <c r="A1545" t="s">
        <v>1549</v>
      </c>
      <c r="B1545">
        <v>81000</v>
      </c>
      <c r="C1545" s="5">
        <f t="shared" si="48"/>
        <v>5.1948051948051951E-2</v>
      </c>
      <c r="D1545">
        <v>1676.73</v>
      </c>
      <c r="E1545" s="5">
        <f t="shared" si="49"/>
        <v>1.4484598769353672E-2</v>
      </c>
    </row>
    <row r="1546" spans="1:5" x14ac:dyDescent="0.25">
      <c r="A1546" t="s">
        <v>1550</v>
      </c>
      <c r="B1546">
        <v>86500</v>
      </c>
      <c r="C1546" s="5">
        <f t="shared" si="48"/>
        <v>6.7901234567901231E-2</v>
      </c>
      <c r="D1546">
        <v>1728.34</v>
      </c>
      <c r="E1546" s="5">
        <f t="shared" si="49"/>
        <v>3.0780149457575103E-2</v>
      </c>
    </row>
    <row r="1547" spans="1:5" x14ac:dyDescent="0.25">
      <c r="A1547" t="s">
        <v>1551</v>
      </c>
      <c r="B1547">
        <v>84600</v>
      </c>
      <c r="C1547" s="5">
        <f t="shared" si="48"/>
        <v>-2.1965317919075144E-2</v>
      </c>
      <c r="D1547">
        <v>1709.61</v>
      </c>
      <c r="E1547" s="5">
        <f t="shared" si="49"/>
        <v>-1.0836988092620676E-2</v>
      </c>
    </row>
    <row r="1548" spans="1:5" x14ac:dyDescent="0.25">
      <c r="A1548" t="s">
        <v>1552</v>
      </c>
      <c r="B1548">
        <v>82000</v>
      </c>
      <c r="C1548" s="5">
        <f t="shared" si="48"/>
        <v>-3.0732860520094562E-2</v>
      </c>
      <c r="D1548">
        <v>1696.24</v>
      </c>
      <c r="E1548" s="5">
        <f t="shared" si="49"/>
        <v>-7.8204970724316605E-3</v>
      </c>
    </row>
    <row r="1549" spans="1:5" x14ac:dyDescent="0.25">
      <c r="A1549" t="s">
        <v>1553</v>
      </c>
      <c r="B1549">
        <v>80600</v>
      </c>
      <c r="C1549" s="5">
        <f t="shared" si="48"/>
        <v>-1.7073170731707318E-2</v>
      </c>
      <c r="D1549">
        <v>1693.21</v>
      </c>
      <c r="E1549" s="5">
        <f t="shared" si="49"/>
        <v>-1.7863038249304182E-3</v>
      </c>
    </row>
    <row r="1550" spans="1:5" x14ac:dyDescent="0.25">
      <c r="A1550" t="s">
        <v>1554</v>
      </c>
      <c r="B1550">
        <v>82700</v>
      </c>
      <c r="C1550" s="5">
        <f t="shared" si="48"/>
        <v>2.6054590570719603E-2</v>
      </c>
      <c r="D1550">
        <v>1710.29</v>
      </c>
      <c r="E1550" s="5">
        <f t="shared" si="49"/>
        <v>1.0087348881709845E-2</v>
      </c>
    </row>
    <row r="1551" spans="1:5" x14ac:dyDescent="0.25">
      <c r="A1551" t="s">
        <v>1555</v>
      </c>
      <c r="B1551">
        <v>83700</v>
      </c>
      <c r="C1551" s="5">
        <f t="shared" si="48"/>
        <v>1.2091898428053204E-2</v>
      </c>
      <c r="D1551">
        <v>1713.83</v>
      </c>
      <c r="E1551" s="5">
        <f t="shared" si="49"/>
        <v>2.0698244157423382E-3</v>
      </c>
    </row>
    <row r="1552" spans="1:5" x14ac:dyDescent="0.25">
      <c r="A1552" t="s">
        <v>1556</v>
      </c>
      <c r="B1552">
        <v>82400</v>
      </c>
      <c r="C1552" s="5">
        <f t="shared" si="48"/>
        <v>-1.5531660692951015E-2</v>
      </c>
      <c r="D1552">
        <v>1699.13</v>
      </c>
      <c r="E1552" s="5">
        <f t="shared" si="49"/>
        <v>-8.57728012696698E-3</v>
      </c>
    </row>
    <row r="1553" spans="1:5" x14ac:dyDescent="0.25">
      <c r="A1553" t="s">
        <v>1557</v>
      </c>
      <c r="B1553">
        <v>79700</v>
      </c>
      <c r="C1553" s="5">
        <f t="shared" si="48"/>
        <v>-3.2766990291262135E-2</v>
      </c>
      <c r="D1553">
        <v>1647.81</v>
      </c>
      <c r="E1553" s="5">
        <f t="shared" si="49"/>
        <v>-3.0203692477915264E-2</v>
      </c>
    </row>
    <row r="1554" spans="1:5" x14ac:dyDescent="0.25">
      <c r="A1554" t="s">
        <v>1558</v>
      </c>
      <c r="B1554">
        <v>74200</v>
      </c>
      <c r="C1554" s="5">
        <f t="shared" si="48"/>
        <v>-6.9008782936010038E-2</v>
      </c>
      <c r="D1554">
        <v>1591.17</v>
      </c>
      <c r="E1554" s="5">
        <f t="shared" si="49"/>
        <v>-3.4372894933275E-2</v>
      </c>
    </row>
    <row r="1555" spans="1:5" x14ac:dyDescent="0.25">
      <c r="A1555" t="s">
        <v>1559</v>
      </c>
      <c r="B1555">
        <v>76000</v>
      </c>
      <c r="C1555" s="5">
        <f t="shared" si="48"/>
        <v>2.4258760107816711E-2</v>
      </c>
      <c r="D1555">
        <v>1614.77</v>
      </c>
      <c r="E1555" s="5">
        <f t="shared" si="49"/>
        <v>1.483185329034604E-2</v>
      </c>
    </row>
    <row r="1556" spans="1:5" x14ac:dyDescent="0.25">
      <c r="A1556" t="s">
        <v>1560</v>
      </c>
      <c r="B1556">
        <v>79200</v>
      </c>
      <c r="C1556" s="5">
        <f t="shared" si="48"/>
        <v>4.2105263157894736E-2</v>
      </c>
      <c r="D1556">
        <v>1658.19</v>
      </c>
      <c r="E1556" s="5">
        <f t="shared" si="49"/>
        <v>2.6889278349238637E-2</v>
      </c>
    </row>
    <row r="1557" spans="1:5" x14ac:dyDescent="0.25">
      <c r="A1557" t="s">
        <v>1561</v>
      </c>
      <c r="B1557">
        <v>78500</v>
      </c>
      <c r="C1557" s="5">
        <f t="shared" si="48"/>
        <v>-8.8383838383838381E-3</v>
      </c>
      <c r="D1557">
        <v>1644.63</v>
      </c>
      <c r="E1557" s="5">
        <f t="shared" si="49"/>
        <v>-8.1775912289906126E-3</v>
      </c>
    </row>
    <row r="1558" spans="1:5" x14ac:dyDescent="0.25">
      <c r="A1558" t="s">
        <v>1562</v>
      </c>
      <c r="B1558">
        <v>81000</v>
      </c>
      <c r="C1558" s="5">
        <f t="shared" si="48"/>
        <v>3.1847133757961783E-2</v>
      </c>
      <c r="D1558">
        <v>1672.8</v>
      </c>
      <c r="E1558" s="5">
        <f t="shared" si="49"/>
        <v>1.712847266558426E-2</v>
      </c>
    </row>
    <row r="1559" spans="1:5" x14ac:dyDescent="0.25">
      <c r="A1559" t="s">
        <v>1563</v>
      </c>
      <c r="B1559">
        <v>80800</v>
      </c>
      <c r="C1559" s="5">
        <f t="shared" si="48"/>
        <v>-2.4691358024691358E-3</v>
      </c>
      <c r="D1559">
        <v>1662.54</v>
      </c>
      <c r="E1559" s="5">
        <f t="shared" si="49"/>
        <v>-6.1334289813486315E-3</v>
      </c>
    </row>
    <row r="1560" spans="1:5" x14ac:dyDescent="0.25">
      <c r="A1560" t="s">
        <v>1564</v>
      </c>
      <c r="B1560">
        <v>81800</v>
      </c>
      <c r="C1560" s="5">
        <f t="shared" si="48"/>
        <v>1.2376237623762377E-2</v>
      </c>
      <c r="D1560">
        <v>1674.49</v>
      </c>
      <c r="E1560" s="5">
        <f t="shared" si="49"/>
        <v>7.187796985335719E-3</v>
      </c>
    </row>
    <row r="1561" spans="1:5" x14ac:dyDescent="0.25">
      <c r="A1561" t="s">
        <v>1565</v>
      </c>
      <c r="B1561">
        <v>82400</v>
      </c>
      <c r="C1561" s="5">
        <f t="shared" si="48"/>
        <v>7.3349633251833741E-3</v>
      </c>
      <c r="D1561">
        <v>1702.93</v>
      </c>
      <c r="E1561" s="5">
        <f t="shared" si="49"/>
        <v>1.6984275809350941E-2</v>
      </c>
    </row>
    <row r="1562" spans="1:5" x14ac:dyDescent="0.25">
      <c r="A1562" t="s">
        <v>1566</v>
      </c>
      <c r="B1562">
        <v>81800</v>
      </c>
      <c r="C1562" s="5">
        <f t="shared" si="48"/>
        <v>-7.2815533980582527E-3</v>
      </c>
      <c r="D1562">
        <v>1694.82</v>
      </c>
      <c r="E1562" s="5">
        <f t="shared" si="49"/>
        <v>-4.7623801330648509E-3</v>
      </c>
    </row>
    <row r="1563" spans="1:5" x14ac:dyDescent="0.25">
      <c r="A1563" t="s">
        <v>1567</v>
      </c>
      <c r="B1563">
        <v>79300</v>
      </c>
      <c r="C1563" s="5">
        <f t="shared" si="48"/>
        <v>-3.0562347188264057E-2</v>
      </c>
      <c r="D1563">
        <v>1684.04</v>
      </c>
      <c r="E1563" s="5">
        <f t="shared" si="49"/>
        <v>-6.3605574633294236E-3</v>
      </c>
    </row>
    <row r="1564" spans="1:5" x14ac:dyDescent="0.25">
      <c r="A1564" t="s">
        <v>1568</v>
      </c>
      <c r="B1564">
        <v>78300</v>
      </c>
      <c r="C1564" s="5">
        <f t="shared" si="48"/>
        <v>-1.2610340479192938E-2</v>
      </c>
      <c r="D1564">
        <v>1674.99</v>
      </c>
      <c r="E1564" s="5">
        <f t="shared" si="49"/>
        <v>-5.3739816156385565E-3</v>
      </c>
    </row>
    <row r="1565" spans="1:5" x14ac:dyDescent="0.25">
      <c r="A1565" t="s">
        <v>1569</v>
      </c>
      <c r="B1565">
        <v>78000</v>
      </c>
      <c r="C1565" s="5">
        <f t="shared" si="48"/>
        <v>-3.8314176245210726E-3</v>
      </c>
      <c r="D1565">
        <v>1677.54</v>
      </c>
      <c r="E1565" s="5">
        <f t="shared" si="49"/>
        <v>1.5223971486396663E-3</v>
      </c>
    </row>
    <row r="1566" spans="1:5" x14ac:dyDescent="0.25">
      <c r="A1566" t="s">
        <v>1570</v>
      </c>
      <c r="B1566">
        <v>81900</v>
      </c>
      <c r="C1566" s="5">
        <f t="shared" si="48"/>
        <v>0.05</v>
      </c>
      <c r="D1566">
        <v>1756.55</v>
      </c>
      <c r="E1566" s="5">
        <f t="shared" si="49"/>
        <v>4.7098727899185705E-2</v>
      </c>
    </row>
    <row r="1567" spans="1:5" x14ac:dyDescent="0.25">
      <c r="A1567" t="s">
        <v>1571</v>
      </c>
      <c r="B1567">
        <v>80700</v>
      </c>
      <c r="C1567" s="5">
        <f t="shared" si="48"/>
        <v>-1.4652014652014652E-2</v>
      </c>
      <c r="D1567">
        <v>1736.68</v>
      </c>
      <c r="E1567" s="5">
        <f t="shared" si="49"/>
        <v>-1.1311946713728553E-2</v>
      </c>
    </row>
    <row r="1568" spans="1:5" x14ac:dyDescent="0.25">
      <c r="A1568" t="s">
        <v>1572</v>
      </c>
      <c r="B1568">
        <v>81500</v>
      </c>
      <c r="C1568" s="5">
        <f t="shared" si="48"/>
        <v>9.9132589838909543E-3</v>
      </c>
      <c r="D1568">
        <v>1750</v>
      </c>
      <c r="E1568" s="5">
        <f t="shared" si="49"/>
        <v>7.6698067577215924E-3</v>
      </c>
    </row>
    <row r="1569" spans="1:5" x14ac:dyDescent="0.25">
      <c r="A1569" t="s">
        <v>1573</v>
      </c>
      <c r="B1569">
        <v>81300</v>
      </c>
      <c r="C1569" s="5">
        <f t="shared" si="48"/>
        <v>-2.4539877300613498E-3</v>
      </c>
      <c r="D1569">
        <v>1758.96</v>
      </c>
      <c r="E1569" s="5">
        <f t="shared" si="49"/>
        <v>5.1200000000000204E-3</v>
      </c>
    </row>
    <row r="1570" spans="1:5" x14ac:dyDescent="0.25">
      <c r="A1570" t="s">
        <v>1574</v>
      </c>
      <c r="B1570">
        <v>81600</v>
      </c>
      <c r="C1570" s="5">
        <f t="shared" si="48"/>
        <v>3.6900369003690036E-3</v>
      </c>
      <c r="D1570">
        <v>1775.65</v>
      </c>
      <c r="E1570" s="5">
        <f t="shared" si="49"/>
        <v>9.4885614226588744E-3</v>
      </c>
    </row>
    <row r="1571" spans="1:5" x14ac:dyDescent="0.25">
      <c r="A1571" t="s">
        <v>1575</v>
      </c>
      <c r="B1571">
        <v>80000</v>
      </c>
      <c r="C1571" s="5">
        <f t="shared" si="48"/>
        <v>-1.9607843137254902E-2</v>
      </c>
      <c r="D1571">
        <v>1800.65</v>
      </c>
      <c r="E1571" s="5">
        <f t="shared" si="49"/>
        <v>1.407935122349562E-2</v>
      </c>
    </row>
    <row r="1572" spans="1:5" x14ac:dyDescent="0.25">
      <c r="A1572" t="s">
        <v>1576</v>
      </c>
      <c r="B1572">
        <v>81300</v>
      </c>
      <c r="C1572" s="5">
        <f t="shared" si="48"/>
        <v>1.6250000000000001E-2</v>
      </c>
      <c r="D1572">
        <v>1819.83</v>
      </c>
      <c r="E1572" s="5">
        <f t="shared" si="49"/>
        <v>1.0651709105045308E-2</v>
      </c>
    </row>
    <row r="1573" spans="1:5" x14ac:dyDescent="0.25">
      <c r="A1573" t="s">
        <v>1577</v>
      </c>
      <c r="B1573">
        <v>86900</v>
      </c>
      <c r="C1573" s="5">
        <f t="shared" si="48"/>
        <v>6.8880688806888066E-2</v>
      </c>
      <c r="D1573">
        <v>1817.17</v>
      </c>
      <c r="E1573" s="5">
        <f t="shared" si="49"/>
        <v>-1.4616749916200164E-3</v>
      </c>
    </row>
    <row r="1574" spans="1:5" x14ac:dyDescent="0.25">
      <c r="A1574" t="s">
        <v>1578</v>
      </c>
      <c r="B1574">
        <v>87300</v>
      </c>
      <c r="C1574" s="5">
        <f t="shared" si="48"/>
        <v>4.6029919447640967E-3</v>
      </c>
      <c r="D1574">
        <v>1837.11</v>
      </c>
      <c r="E1574" s="5">
        <f t="shared" si="49"/>
        <v>1.0973106533785956E-2</v>
      </c>
    </row>
    <row r="1575" spans="1:5" x14ac:dyDescent="0.25">
      <c r="A1575" t="s">
        <v>1579</v>
      </c>
      <c r="B1575">
        <v>85600</v>
      </c>
      <c r="C1575" s="5">
        <f t="shared" si="48"/>
        <v>-1.9473081328751432E-2</v>
      </c>
      <c r="D1575">
        <v>1833.48</v>
      </c>
      <c r="E1575" s="5">
        <f t="shared" si="49"/>
        <v>-1.975929585054723E-3</v>
      </c>
    </row>
    <row r="1576" spans="1:5" x14ac:dyDescent="0.25">
      <c r="A1576" t="s">
        <v>1580</v>
      </c>
      <c r="B1576">
        <v>86400</v>
      </c>
      <c r="C1576" s="5">
        <f t="shared" si="48"/>
        <v>9.3457943925233638E-3</v>
      </c>
      <c r="D1576">
        <v>1857.3</v>
      </c>
      <c r="E1576" s="5">
        <f t="shared" si="49"/>
        <v>1.2991687937692223E-2</v>
      </c>
    </row>
    <row r="1577" spans="1:5" x14ac:dyDescent="0.25">
      <c r="A1577" t="s">
        <v>1581</v>
      </c>
      <c r="B1577">
        <v>84500</v>
      </c>
      <c r="C1577" s="5">
        <f t="shared" si="48"/>
        <v>-2.1990740740740741E-2</v>
      </c>
      <c r="D1577">
        <v>1870.36</v>
      </c>
      <c r="E1577" s="5">
        <f t="shared" si="49"/>
        <v>7.0317127012329431E-3</v>
      </c>
    </row>
    <row r="1578" spans="1:5" x14ac:dyDescent="0.25">
      <c r="A1578" t="s">
        <v>1582</v>
      </c>
      <c r="B1578">
        <v>83500</v>
      </c>
      <c r="C1578" s="5">
        <f t="shared" si="48"/>
        <v>-1.1834319526627219E-2</v>
      </c>
      <c r="D1578">
        <v>1853.29</v>
      </c>
      <c r="E1578" s="5">
        <f t="shared" si="49"/>
        <v>-9.1265852563142593E-3</v>
      </c>
    </row>
    <row r="1579" spans="1:5" x14ac:dyDescent="0.25">
      <c r="A1579" t="s">
        <v>1583</v>
      </c>
      <c r="B1579">
        <v>85600</v>
      </c>
      <c r="C1579" s="5">
        <f t="shared" si="48"/>
        <v>2.5149700598802394E-2</v>
      </c>
      <c r="D1579">
        <v>1875.84</v>
      </c>
      <c r="E1579" s="5">
        <f t="shared" si="49"/>
        <v>1.2167550680141777E-2</v>
      </c>
    </row>
    <row r="1580" spans="1:5" x14ac:dyDescent="0.25">
      <c r="A1580" t="s">
        <v>1584</v>
      </c>
      <c r="B1580">
        <v>84000</v>
      </c>
      <c r="C1580" s="5">
        <f t="shared" si="48"/>
        <v>-1.8691588785046728E-2</v>
      </c>
      <c r="D1580">
        <v>1854.1</v>
      </c>
      <c r="E1580" s="5">
        <f t="shared" si="49"/>
        <v>-1.1589474582053913E-2</v>
      </c>
    </row>
    <row r="1581" spans="1:5" x14ac:dyDescent="0.25">
      <c r="A1581" t="s">
        <v>1585</v>
      </c>
      <c r="B1581">
        <v>84900</v>
      </c>
      <c r="C1581" s="5">
        <f t="shared" si="48"/>
        <v>1.0714285714285714E-2</v>
      </c>
      <c r="D1581">
        <v>1854.06</v>
      </c>
      <c r="E1581" s="5">
        <f t="shared" si="49"/>
        <v>-2.1573809395374371E-5</v>
      </c>
    </row>
    <row r="1582" spans="1:5" x14ac:dyDescent="0.25">
      <c r="A1582" t="s">
        <v>1586</v>
      </c>
      <c r="B1582">
        <v>84800</v>
      </c>
      <c r="C1582" s="5">
        <f t="shared" si="48"/>
        <v>-1.1778563015312131E-3</v>
      </c>
      <c r="D1582">
        <v>1874.85</v>
      </c>
      <c r="E1582" s="5">
        <f t="shared" si="49"/>
        <v>1.1213229345328611E-2</v>
      </c>
    </row>
    <row r="1583" spans="1:5" x14ac:dyDescent="0.25">
      <c r="A1583" t="s">
        <v>1587</v>
      </c>
      <c r="B1583">
        <v>86000</v>
      </c>
      <c r="C1583" s="5">
        <f t="shared" si="48"/>
        <v>1.4150943396226415E-2</v>
      </c>
      <c r="D1583">
        <v>1891.2</v>
      </c>
      <c r="E1583" s="5">
        <f t="shared" si="49"/>
        <v>8.7206976558125374E-3</v>
      </c>
    </row>
    <row r="1584" spans="1:5" x14ac:dyDescent="0.25">
      <c r="A1584" t="s">
        <v>1588</v>
      </c>
      <c r="B1584">
        <v>86000</v>
      </c>
      <c r="C1584" s="5">
        <f t="shared" si="48"/>
        <v>0</v>
      </c>
      <c r="D1584">
        <v>1909.01</v>
      </c>
      <c r="E1584" s="5">
        <f t="shared" si="49"/>
        <v>9.4173011844331349E-3</v>
      </c>
    </row>
    <row r="1585" spans="1:5" x14ac:dyDescent="0.25">
      <c r="A1585" t="s">
        <v>1589</v>
      </c>
      <c r="B1585">
        <v>84600</v>
      </c>
      <c r="C1585" s="5">
        <f t="shared" si="48"/>
        <v>-1.627906976744186E-2</v>
      </c>
      <c r="D1585">
        <v>1915.37</v>
      </c>
      <c r="E1585" s="5">
        <f t="shared" si="49"/>
        <v>3.3315697665281482E-3</v>
      </c>
    </row>
    <row r="1586" spans="1:5" x14ac:dyDescent="0.25">
      <c r="A1586" t="s">
        <v>1590</v>
      </c>
      <c r="B1586">
        <v>83500</v>
      </c>
      <c r="C1586" s="5">
        <f t="shared" si="48"/>
        <v>-1.3002364066193853E-2</v>
      </c>
      <c r="D1586">
        <v>1895.5</v>
      </c>
      <c r="E1586" s="5">
        <f t="shared" si="49"/>
        <v>-1.0373974741172668E-2</v>
      </c>
    </row>
    <row r="1587" spans="1:5" x14ac:dyDescent="0.25">
      <c r="A1587" t="s">
        <v>1591</v>
      </c>
      <c r="B1587">
        <v>83800</v>
      </c>
      <c r="C1587" s="5">
        <f t="shared" si="48"/>
        <v>3.592814371257485E-3</v>
      </c>
      <c r="D1587">
        <v>1901.1</v>
      </c>
      <c r="E1587" s="5">
        <f t="shared" si="49"/>
        <v>2.9543656027432915E-3</v>
      </c>
    </row>
    <row r="1588" spans="1:5" x14ac:dyDescent="0.25">
      <c r="A1588" t="s">
        <v>1592</v>
      </c>
      <c r="B1588">
        <v>83700</v>
      </c>
      <c r="C1588" s="5">
        <f t="shared" si="48"/>
        <v>-1.1933174224343676E-3</v>
      </c>
      <c r="D1588">
        <v>1898.37</v>
      </c>
      <c r="E1588" s="5">
        <f t="shared" si="49"/>
        <v>-1.436010730629645E-3</v>
      </c>
    </row>
    <row r="1589" spans="1:5" x14ac:dyDescent="0.25">
      <c r="A1589" t="s">
        <v>1593</v>
      </c>
      <c r="B1589">
        <v>84200</v>
      </c>
      <c r="C1589" s="5">
        <f t="shared" si="48"/>
        <v>5.9737156511350063E-3</v>
      </c>
      <c r="D1589">
        <v>1925.46</v>
      </c>
      <c r="E1589" s="5">
        <f t="shared" si="49"/>
        <v>1.4270137012279032E-2</v>
      </c>
    </row>
    <row r="1590" spans="1:5" x14ac:dyDescent="0.25">
      <c r="A1590" t="s">
        <v>1594</v>
      </c>
      <c r="B1590">
        <v>82000</v>
      </c>
      <c r="C1590" s="5">
        <f t="shared" si="48"/>
        <v>-2.6128266033254157E-2</v>
      </c>
      <c r="D1590">
        <v>1921.6</v>
      </c>
      <c r="E1590" s="5">
        <f t="shared" si="49"/>
        <v>-2.0047157562349399E-3</v>
      </c>
    </row>
    <row r="1591" spans="1:5" x14ac:dyDescent="0.25">
      <c r="A1591" t="s">
        <v>1595</v>
      </c>
      <c r="B1591">
        <v>79000</v>
      </c>
      <c r="C1591" s="5">
        <f t="shared" si="48"/>
        <v>-3.6585365853658534E-2</v>
      </c>
      <c r="D1591">
        <v>1927.94</v>
      </c>
      <c r="E1591" s="5">
        <f t="shared" si="49"/>
        <v>3.2993338884263874E-3</v>
      </c>
    </row>
    <row r="1592" spans="1:5" x14ac:dyDescent="0.25">
      <c r="A1592" t="s">
        <v>1596</v>
      </c>
      <c r="B1592">
        <v>78200</v>
      </c>
      <c r="C1592" s="5">
        <f t="shared" si="48"/>
        <v>-1.0126582278481013E-2</v>
      </c>
      <c r="D1592">
        <v>1912.93</v>
      </c>
      <c r="E1592" s="5">
        <f t="shared" si="49"/>
        <v>-7.7855119972613206E-3</v>
      </c>
    </row>
    <row r="1593" spans="1:5" x14ac:dyDescent="0.25">
      <c r="A1593" t="s">
        <v>1597</v>
      </c>
      <c r="B1593">
        <v>77200</v>
      </c>
      <c r="C1593" s="5">
        <f t="shared" si="48"/>
        <v>-1.278772378516624E-2</v>
      </c>
      <c r="D1593">
        <v>1913.23</v>
      </c>
      <c r="E1593" s="5">
        <f t="shared" si="49"/>
        <v>1.5682748453940004E-4</v>
      </c>
    </row>
    <row r="1594" spans="1:5" x14ac:dyDescent="0.25">
      <c r="A1594" t="s">
        <v>1598</v>
      </c>
      <c r="B1594">
        <v>79500</v>
      </c>
      <c r="C1594" s="5">
        <f t="shared" si="48"/>
        <v>2.9792746113989636E-2</v>
      </c>
      <c r="D1594">
        <v>1896.89</v>
      </c>
      <c r="E1594" s="5">
        <f t="shared" si="49"/>
        <v>-8.5405309345974699E-3</v>
      </c>
    </row>
    <row r="1595" spans="1:5" x14ac:dyDescent="0.25">
      <c r="A1595" t="s">
        <v>1599</v>
      </c>
      <c r="B1595">
        <v>79400</v>
      </c>
      <c r="C1595" s="5">
        <f t="shared" si="48"/>
        <v>-1.2578616352201257E-3</v>
      </c>
      <c r="D1595">
        <v>1877.13</v>
      </c>
      <c r="E1595" s="5">
        <f t="shared" si="49"/>
        <v>-1.0417051067800448E-2</v>
      </c>
    </row>
    <row r="1596" spans="1:5" x14ac:dyDescent="0.25">
      <c r="A1596" t="s">
        <v>1600</v>
      </c>
      <c r="B1596">
        <v>78700</v>
      </c>
      <c r="C1596" s="5">
        <f t="shared" si="48"/>
        <v>-8.8161209068010078E-3</v>
      </c>
      <c r="D1596">
        <v>1886.03</v>
      </c>
      <c r="E1596" s="5">
        <f t="shared" si="49"/>
        <v>4.7412805719368734E-3</v>
      </c>
    </row>
    <row r="1597" spans="1:5" x14ac:dyDescent="0.25">
      <c r="A1597" t="s">
        <v>1601</v>
      </c>
      <c r="B1597">
        <v>78500</v>
      </c>
      <c r="C1597" s="5">
        <f t="shared" si="48"/>
        <v>-2.5412960609911056E-3</v>
      </c>
      <c r="D1597">
        <v>1884.18</v>
      </c>
      <c r="E1597" s="5">
        <f t="shared" si="49"/>
        <v>-9.808963802272017E-4</v>
      </c>
    </row>
    <row r="1598" spans="1:5" x14ac:dyDescent="0.25">
      <c r="A1598" t="s">
        <v>1602</v>
      </c>
      <c r="B1598">
        <v>80000</v>
      </c>
      <c r="C1598" s="5">
        <f t="shared" si="48"/>
        <v>1.9108280254777069E-2</v>
      </c>
      <c r="D1598">
        <v>1874.43</v>
      </c>
      <c r="E1598" s="5">
        <f t="shared" si="49"/>
        <v>-5.1746648409387638E-3</v>
      </c>
    </row>
    <row r="1599" spans="1:5" x14ac:dyDescent="0.25">
      <c r="A1599" t="s">
        <v>1603</v>
      </c>
      <c r="B1599">
        <v>77700</v>
      </c>
      <c r="C1599" s="5">
        <f t="shared" si="48"/>
        <v>-2.8750000000000001E-2</v>
      </c>
      <c r="D1599">
        <v>1863.67</v>
      </c>
      <c r="E1599" s="5">
        <f t="shared" si="49"/>
        <v>-5.740411751839221E-3</v>
      </c>
    </row>
    <row r="1600" spans="1:5" x14ac:dyDescent="0.25">
      <c r="A1600" t="s">
        <v>1604</v>
      </c>
      <c r="B1600">
        <v>76300</v>
      </c>
      <c r="C1600" s="5">
        <f t="shared" si="48"/>
        <v>-1.8018018018018018E-2</v>
      </c>
      <c r="D1600">
        <v>1863.49</v>
      </c>
      <c r="E1600" s="5">
        <f t="shared" si="49"/>
        <v>-9.6583622637089002E-5</v>
      </c>
    </row>
    <row r="1601" spans="1:5" x14ac:dyDescent="0.25">
      <c r="A1601" t="s">
        <v>1605</v>
      </c>
      <c r="B1601">
        <v>79100</v>
      </c>
      <c r="C1601" s="5">
        <f t="shared" si="48"/>
        <v>3.669724770642202E-2</v>
      </c>
      <c r="D1601">
        <v>1844.54</v>
      </c>
      <c r="E1601" s="5">
        <f t="shared" si="49"/>
        <v>-1.0169091328636078E-2</v>
      </c>
    </row>
    <row r="1602" spans="1:5" x14ac:dyDescent="0.25">
      <c r="A1602" t="s">
        <v>1606</v>
      </c>
      <c r="B1602">
        <v>77900</v>
      </c>
      <c r="C1602" s="5">
        <f t="shared" si="48"/>
        <v>-1.5170670037926675E-2</v>
      </c>
      <c r="D1602">
        <v>1826.47</v>
      </c>
      <c r="E1602" s="5">
        <f t="shared" si="49"/>
        <v>-9.7964804233033366E-3</v>
      </c>
    </row>
    <row r="1603" spans="1:5" x14ac:dyDescent="0.25">
      <c r="A1603" t="s">
        <v>1607</v>
      </c>
      <c r="B1603">
        <v>78500</v>
      </c>
      <c r="C1603" s="5">
        <f t="shared" si="48"/>
        <v>7.7021822849807449E-3</v>
      </c>
      <c r="D1603">
        <v>1819.01</v>
      </c>
      <c r="E1603" s="5">
        <f t="shared" si="49"/>
        <v>-4.0843813476268628E-3</v>
      </c>
    </row>
    <row r="1604" spans="1:5" x14ac:dyDescent="0.25">
      <c r="A1604" t="s">
        <v>1608</v>
      </c>
      <c r="B1604">
        <v>78400</v>
      </c>
      <c r="C1604" s="5">
        <f t="shared" si="48"/>
        <v>-1.2738853503184713E-3</v>
      </c>
      <c r="D1604">
        <v>1831.55</v>
      </c>
      <c r="E1604" s="5">
        <f t="shared" si="49"/>
        <v>6.8938598468397446E-3</v>
      </c>
    </row>
    <row r="1605" spans="1:5" x14ac:dyDescent="0.25">
      <c r="A1605" t="s">
        <v>1609</v>
      </c>
      <c r="B1605">
        <v>78000</v>
      </c>
      <c r="C1605" s="5">
        <f t="shared" si="48"/>
        <v>-5.1020408163265302E-3</v>
      </c>
      <c r="D1605">
        <v>1838.9</v>
      </c>
      <c r="E1605" s="5">
        <f t="shared" si="49"/>
        <v>4.012994458245823E-3</v>
      </c>
    </row>
    <row r="1606" spans="1:5" x14ac:dyDescent="0.25">
      <c r="A1606" t="s">
        <v>1610</v>
      </c>
      <c r="B1606">
        <v>76400</v>
      </c>
      <c r="C1606" s="5">
        <f t="shared" ref="C1606:C1669" si="50">(B1606-B1605)/B1605</f>
        <v>-2.0512820512820513E-2</v>
      </c>
      <c r="D1606">
        <v>1790.53</v>
      </c>
      <c r="E1606" s="5">
        <f t="shared" ref="E1606:E1669" si="51">(D1606-D1605)/D1605</f>
        <v>-2.6303768557289747E-2</v>
      </c>
    </row>
    <row r="1607" spans="1:5" x14ac:dyDescent="0.25">
      <c r="A1607" t="s">
        <v>1611</v>
      </c>
      <c r="B1607">
        <v>77400</v>
      </c>
      <c r="C1607" s="5">
        <f t="shared" si="50"/>
        <v>1.3089005235602094E-2</v>
      </c>
      <c r="D1607">
        <v>1793.05</v>
      </c>
      <c r="E1607" s="5">
        <f t="shared" si="51"/>
        <v>1.4074045115133407E-3</v>
      </c>
    </row>
    <row r="1608" spans="1:5" x14ac:dyDescent="0.25">
      <c r="A1608" t="s">
        <v>1612</v>
      </c>
      <c r="B1608">
        <v>78200</v>
      </c>
      <c r="C1608" s="5">
        <f t="shared" si="50"/>
        <v>1.0335917312661499E-2</v>
      </c>
      <c r="D1608">
        <v>1803.71</v>
      </c>
      <c r="E1608" s="5">
        <f t="shared" si="51"/>
        <v>5.9451772120130966E-3</v>
      </c>
    </row>
    <row r="1609" spans="1:5" x14ac:dyDescent="0.25">
      <c r="A1609" t="s">
        <v>1613</v>
      </c>
      <c r="B1609">
        <v>76900</v>
      </c>
      <c r="C1609" s="5">
        <f t="shared" si="50"/>
        <v>-1.6624040920716114E-2</v>
      </c>
      <c r="D1609">
        <v>1798.61</v>
      </c>
      <c r="E1609" s="5">
        <f t="shared" si="51"/>
        <v>-2.8275055302682452E-3</v>
      </c>
    </row>
    <row r="1610" spans="1:5" x14ac:dyDescent="0.25">
      <c r="A1610" t="s">
        <v>1614</v>
      </c>
      <c r="B1610">
        <v>76400</v>
      </c>
      <c r="C1610" s="5">
        <f t="shared" si="50"/>
        <v>-6.5019505851755524E-3</v>
      </c>
      <c r="D1610">
        <v>1791.65</v>
      </c>
      <c r="E1610" s="5">
        <f t="shared" si="51"/>
        <v>-3.8696549001728054E-3</v>
      </c>
    </row>
    <row r="1611" spans="1:5" x14ac:dyDescent="0.25">
      <c r="A1611" t="s">
        <v>1615</v>
      </c>
      <c r="B1611">
        <v>79400</v>
      </c>
      <c r="C1611" s="5">
        <f t="shared" si="50"/>
        <v>3.9267015706806283E-2</v>
      </c>
      <c r="D1611">
        <v>1799.31</v>
      </c>
      <c r="E1611" s="5">
        <f t="shared" si="51"/>
        <v>4.2753886082660423E-3</v>
      </c>
    </row>
    <row r="1612" spans="1:5" x14ac:dyDescent="0.25">
      <c r="A1612" t="s">
        <v>1616</v>
      </c>
      <c r="B1612">
        <v>79400</v>
      </c>
      <c r="C1612" s="5">
        <f t="shared" si="50"/>
        <v>0</v>
      </c>
      <c r="D1612">
        <v>1807.94</v>
      </c>
      <c r="E1612" s="5">
        <f t="shared" si="51"/>
        <v>4.7962830196020189E-3</v>
      </c>
    </row>
    <row r="1613" spans="1:5" x14ac:dyDescent="0.25">
      <c r="A1613" t="s">
        <v>1617</v>
      </c>
      <c r="B1613">
        <v>79100</v>
      </c>
      <c r="C1613" s="5">
        <f t="shared" si="50"/>
        <v>-3.778337531486146E-3</v>
      </c>
      <c r="D1613">
        <v>1806.2</v>
      </c>
      <c r="E1613" s="5">
        <f t="shared" si="51"/>
        <v>-9.6242131929157439E-4</v>
      </c>
    </row>
    <row r="1614" spans="1:5" x14ac:dyDescent="0.25">
      <c r="A1614" t="s">
        <v>1618</v>
      </c>
      <c r="B1614">
        <v>78700</v>
      </c>
      <c r="C1614" s="5">
        <f t="shared" si="50"/>
        <v>-5.0568900126422255E-3</v>
      </c>
      <c r="D1614">
        <v>1830.47</v>
      </c>
      <c r="E1614" s="5">
        <f t="shared" si="51"/>
        <v>1.3437050160558068E-2</v>
      </c>
    </row>
    <row r="1615" spans="1:5" x14ac:dyDescent="0.25">
      <c r="A1615" t="s">
        <v>1619</v>
      </c>
      <c r="B1615">
        <v>78000</v>
      </c>
      <c r="C1615" s="5">
        <f t="shared" si="50"/>
        <v>-8.8945362134688691E-3</v>
      </c>
      <c r="D1615">
        <v>1824.53</v>
      </c>
      <c r="E1615" s="5">
        <f t="shared" si="51"/>
        <v>-3.2450682065262226E-3</v>
      </c>
    </row>
    <row r="1616" spans="1:5" x14ac:dyDescent="0.25">
      <c r="A1616" t="s">
        <v>1620</v>
      </c>
      <c r="B1616">
        <v>77200</v>
      </c>
      <c r="C1616" s="5">
        <f t="shared" si="50"/>
        <v>-1.0256410256410256E-2</v>
      </c>
      <c r="D1616">
        <v>1857.91</v>
      </c>
      <c r="E1616" s="5">
        <f t="shared" si="51"/>
        <v>1.8295122579513688E-2</v>
      </c>
    </row>
    <row r="1617" spans="1:5" x14ac:dyDescent="0.25">
      <c r="A1617" t="s">
        <v>1621</v>
      </c>
      <c r="B1617">
        <v>76000</v>
      </c>
      <c r="C1617" s="5">
        <f t="shared" si="50"/>
        <v>-1.5544041450777202E-2</v>
      </c>
      <c r="D1617">
        <v>1869.04</v>
      </c>
      <c r="E1617" s="5">
        <f t="shared" si="51"/>
        <v>5.9906023434934319E-3</v>
      </c>
    </row>
    <row r="1618" spans="1:5" x14ac:dyDescent="0.25">
      <c r="A1618" t="s">
        <v>1622</v>
      </c>
      <c r="B1618">
        <v>77800</v>
      </c>
      <c r="C1618" s="5">
        <f t="shared" si="50"/>
        <v>2.368421052631579E-2</v>
      </c>
      <c r="D1618">
        <v>1878.02</v>
      </c>
      <c r="E1618" s="5">
        <f t="shared" si="51"/>
        <v>4.8046055729144468E-3</v>
      </c>
    </row>
    <row r="1619" spans="1:5" x14ac:dyDescent="0.25">
      <c r="A1619" t="s">
        <v>1623</v>
      </c>
      <c r="B1619">
        <v>77200</v>
      </c>
      <c r="C1619" s="5">
        <f t="shared" si="50"/>
        <v>-7.7120822622107968E-3</v>
      </c>
      <c r="D1619">
        <v>1863.07</v>
      </c>
      <c r="E1619" s="5">
        <f t="shared" si="51"/>
        <v>-7.9605116026453641E-3</v>
      </c>
    </row>
    <row r="1620" spans="1:5" x14ac:dyDescent="0.25">
      <c r="A1620" t="s">
        <v>1624</v>
      </c>
      <c r="B1620">
        <v>78500</v>
      </c>
      <c r="C1620" s="5">
        <f t="shared" si="50"/>
        <v>1.683937823834197E-2</v>
      </c>
      <c r="D1620">
        <v>1871.91</v>
      </c>
      <c r="E1620" s="5">
        <f t="shared" si="51"/>
        <v>4.7448566076423032E-3</v>
      </c>
    </row>
    <row r="1621" spans="1:5" x14ac:dyDescent="0.25">
      <c r="A1621" t="s">
        <v>1625</v>
      </c>
      <c r="B1621">
        <v>79000</v>
      </c>
      <c r="C1621" s="5">
        <f t="shared" si="50"/>
        <v>6.369426751592357E-3</v>
      </c>
      <c r="D1621">
        <v>1854.97</v>
      </c>
      <c r="E1621" s="5">
        <f t="shared" si="51"/>
        <v>-9.0495803751249014E-3</v>
      </c>
    </row>
    <row r="1622" spans="1:5" x14ac:dyDescent="0.25">
      <c r="A1622" t="s">
        <v>1626</v>
      </c>
      <c r="B1622">
        <v>78100</v>
      </c>
      <c r="C1622" s="5">
        <f t="shared" si="50"/>
        <v>-1.1392405063291139E-2</v>
      </c>
      <c r="D1622">
        <v>1860.01</v>
      </c>
      <c r="E1622" s="5">
        <f t="shared" si="51"/>
        <v>2.7170250731817567E-3</v>
      </c>
    </row>
    <row r="1623" spans="1:5" x14ac:dyDescent="0.25">
      <c r="A1623" t="s">
        <v>1627</v>
      </c>
      <c r="B1623">
        <v>80000</v>
      </c>
      <c r="C1623" s="5">
        <f t="shared" si="50"/>
        <v>2.4327784891165175E-2</v>
      </c>
      <c r="D1623">
        <v>1867.21</v>
      </c>
      <c r="E1623" s="5">
        <f t="shared" si="51"/>
        <v>3.8709469303928718E-3</v>
      </c>
    </row>
    <row r="1624" spans="1:5" x14ac:dyDescent="0.25">
      <c r="A1624" t="s">
        <v>1628</v>
      </c>
      <c r="B1624">
        <v>79700</v>
      </c>
      <c r="C1624" s="5">
        <f t="shared" si="50"/>
        <v>-3.7499999999999999E-3</v>
      </c>
      <c r="D1624">
        <v>1866.35</v>
      </c>
      <c r="E1624" s="5">
        <f t="shared" si="51"/>
        <v>-4.6058022397059103E-4</v>
      </c>
    </row>
    <row r="1625" spans="1:5" x14ac:dyDescent="0.25">
      <c r="A1625" t="s">
        <v>1629</v>
      </c>
      <c r="B1625">
        <v>78900</v>
      </c>
      <c r="C1625" s="5">
        <f t="shared" si="50"/>
        <v>-1.0037641154328732E-2</v>
      </c>
      <c r="D1625">
        <v>1862.08</v>
      </c>
      <c r="E1625" s="5">
        <f t="shared" si="51"/>
        <v>-2.2878881238781483E-3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/>
  </sheetViews>
  <sheetFormatPr defaultRowHeight="15" x14ac:dyDescent="0.25"/>
  <cols>
    <col min="1" max="1" width="42" customWidth="1"/>
    <col min="2" max="2" width="16" customWidth="1"/>
    <col min="3" max="3" width="50" customWidth="1"/>
  </cols>
  <sheetData>
    <row r="1" spans="1:3" ht="20.25" x14ac:dyDescent="0.3">
      <c r="A1" s="6" t="s">
        <v>1630</v>
      </c>
    </row>
    <row r="3" spans="1:3" x14ac:dyDescent="0.25">
      <c r="A3" s="4" t="s">
        <v>1631</v>
      </c>
      <c r="B3" s="4" t="s">
        <v>1632</v>
      </c>
      <c r="C3" s="4" t="s">
        <v>1633</v>
      </c>
    </row>
    <row r="4" spans="1:3" x14ac:dyDescent="0.25">
      <c r="A4" s="7" t="s">
        <v>1634</v>
      </c>
      <c r="B4" s="8">
        <v>4.4999999999999998E-2</v>
      </c>
      <c r="C4" s="7" t="s">
        <v>1635</v>
      </c>
    </row>
    <row r="5" spans="1:3" x14ac:dyDescent="0.25">
      <c r="A5" s="7" t="s">
        <v>1636</v>
      </c>
      <c r="B5" s="9">
        <f>'00_Beta'!E1</f>
        <v>1.1257888475025368</v>
      </c>
      <c r="C5" s="7" t="s">
        <v>1637</v>
      </c>
    </row>
    <row r="6" spans="1:3" x14ac:dyDescent="0.25">
      <c r="A6" s="7" t="s">
        <v>1638</v>
      </c>
      <c r="B6" s="8">
        <v>7.0000000000000007E-2</v>
      </c>
      <c r="C6" s="7"/>
    </row>
    <row r="7" spans="1:3" x14ac:dyDescent="0.25">
      <c r="A7" s="7" t="s">
        <v>1639</v>
      </c>
      <c r="B7" s="8">
        <v>1.4999999999999999E-2</v>
      </c>
      <c r="C7" s="7"/>
    </row>
    <row r="8" spans="1:3" x14ac:dyDescent="0.25">
      <c r="A8" s="7"/>
      <c r="B8" s="7"/>
      <c r="C8" s="7"/>
    </row>
    <row r="9" spans="1:3" x14ac:dyDescent="0.25">
      <c r="A9" s="10" t="s">
        <v>1640</v>
      </c>
      <c r="B9" s="11">
        <f>B4+B5*B6+B7</f>
        <v>0.13880521932517759</v>
      </c>
      <c r="C9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workbookViewId="0"/>
  </sheetViews>
  <sheetFormatPr defaultRowHeight="15" x14ac:dyDescent="0.25"/>
  <cols>
    <col min="1" max="1" width="26" customWidth="1"/>
    <col min="2" max="2" width="46" customWidth="1"/>
  </cols>
  <sheetData>
    <row r="1" spans="1:6" ht="32.1" customHeight="1" x14ac:dyDescent="0.3">
      <c r="A1" s="63" t="s">
        <v>1641</v>
      </c>
      <c r="B1" s="62"/>
      <c r="C1" s="62"/>
      <c r="D1" s="62"/>
      <c r="E1" s="62"/>
      <c r="F1" s="62"/>
    </row>
    <row r="2" spans="1:6" x14ac:dyDescent="0.25">
      <c r="A2" s="10" t="s">
        <v>1642</v>
      </c>
      <c r="B2" s="12" t="s">
        <v>1643</v>
      </c>
    </row>
    <row r="3" spans="1:6" x14ac:dyDescent="0.25">
      <c r="A3" s="10" t="s">
        <v>1644</v>
      </c>
      <c r="B3" s="12" t="s">
        <v>1645</v>
      </c>
    </row>
    <row r="4" spans="1:6" x14ac:dyDescent="0.25">
      <c r="A4" s="10" t="s">
        <v>1646</v>
      </c>
      <c r="B4" s="12" t="s">
        <v>1647</v>
      </c>
    </row>
    <row r="5" spans="1:6" x14ac:dyDescent="0.25">
      <c r="A5" s="10" t="s">
        <v>1648</v>
      </c>
      <c r="B5" s="13">
        <f>'02_Assumptions'!B2</f>
        <v>78900</v>
      </c>
    </row>
    <row r="6" spans="1:6" x14ac:dyDescent="0.25">
      <c r="A6" s="10" t="s">
        <v>1649</v>
      </c>
      <c r="B6" s="13">
        <f>'02_Assumptions'!B3</f>
        <v>1470</v>
      </c>
    </row>
    <row r="7" spans="1:6" x14ac:dyDescent="0.25">
      <c r="A7" s="10" t="s">
        <v>1650</v>
      </c>
      <c r="B7" s="13">
        <f>'02_Assumptions'!B4</f>
        <v>115983</v>
      </c>
    </row>
    <row r="8" spans="1:6" x14ac:dyDescent="0.25">
      <c r="A8" s="10" t="s">
        <v>1651</v>
      </c>
      <c r="B8" s="14">
        <v>16.5</v>
      </c>
    </row>
    <row r="9" spans="1:6" x14ac:dyDescent="0.25">
      <c r="A9" s="10" t="s">
        <v>1652</v>
      </c>
      <c r="B9" s="15">
        <v>3.5</v>
      </c>
    </row>
    <row r="10" spans="1:6" x14ac:dyDescent="0.25">
      <c r="A10" s="10" t="s">
        <v>1653</v>
      </c>
      <c r="B10" s="13">
        <v>4785</v>
      </c>
    </row>
    <row r="11" spans="1:6" x14ac:dyDescent="0.25">
      <c r="A11" s="10" t="s">
        <v>1654</v>
      </c>
      <c r="B11" s="13">
        <v>22569</v>
      </c>
    </row>
    <row r="12" spans="1:6" x14ac:dyDescent="0.25">
      <c r="A12" s="10" t="s">
        <v>1655</v>
      </c>
      <c r="B12" s="13">
        <v>185000</v>
      </c>
    </row>
    <row r="13" spans="1:6" x14ac:dyDescent="0.25">
      <c r="A13" s="10" t="s">
        <v>1656</v>
      </c>
      <c r="B13" s="13">
        <v>9200</v>
      </c>
    </row>
    <row r="14" spans="1:6" x14ac:dyDescent="0.25">
      <c r="A14" s="10" t="s">
        <v>1657</v>
      </c>
      <c r="B14" s="16" t="str">
        <f>IF('07_Valuation'!C13&gt;0.15,"MUA",IF('07_Valuation'!C13&lt;-0.05,"BÁN","THEO DÕI"))</f>
        <v>MUA</v>
      </c>
    </row>
    <row r="15" spans="1:6" x14ac:dyDescent="0.25">
      <c r="A15" s="10" t="s">
        <v>1658</v>
      </c>
      <c r="B15" s="13">
        <f>'07_Valuation'!C11</f>
        <v>95300.947299575637</v>
      </c>
    </row>
    <row r="16" spans="1:6" x14ac:dyDescent="0.25">
      <c r="A16" s="10" t="s">
        <v>1659</v>
      </c>
      <c r="B16" s="17">
        <f>'07_Valuation'!C13</f>
        <v>0.20787005449398777</v>
      </c>
    </row>
    <row r="17" spans="1:6" x14ac:dyDescent="0.25">
      <c r="A17" s="10" t="s">
        <v>1660</v>
      </c>
      <c r="B17" s="12" t="s">
        <v>1661</v>
      </c>
    </row>
    <row r="19" spans="1:6" x14ac:dyDescent="0.25">
      <c r="A19" s="61" t="s">
        <v>1662</v>
      </c>
      <c r="B19" s="62"/>
      <c r="C19" s="62"/>
      <c r="D19" s="62"/>
      <c r="E19" s="62"/>
      <c r="F19" s="62"/>
    </row>
    <row r="20" spans="1:6" x14ac:dyDescent="0.25">
      <c r="A20" s="18" t="s">
        <v>1663</v>
      </c>
      <c r="B20" s="13">
        <f>'07_Valuation'!C6</f>
        <v>123187.26442102724</v>
      </c>
    </row>
    <row r="21" spans="1:6" x14ac:dyDescent="0.25">
      <c r="A21" s="18" t="s">
        <v>1664</v>
      </c>
      <c r="B21" s="13">
        <f>'07_Valuation'!C7</f>
        <v>104771.49111497933</v>
      </c>
    </row>
    <row r="22" spans="1:6" x14ac:dyDescent="0.25">
      <c r="A22" s="18" t="s">
        <v>1665</v>
      </c>
      <c r="B22" s="13">
        <f>'07_Valuation'!C8</f>
        <v>75197.470107157162</v>
      </c>
    </row>
    <row r="23" spans="1:6" x14ac:dyDescent="0.25">
      <c r="A23" s="18" t="s">
        <v>1666</v>
      </c>
      <c r="B23" s="13">
        <f>'07_Valuation'!C9</f>
        <v>84378.898363317232</v>
      </c>
    </row>
  </sheetData>
  <mergeCells count="2">
    <mergeCell ref="A19:F1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1"/>
  <sheetViews>
    <sheetView workbookViewId="0"/>
  </sheetViews>
  <sheetFormatPr defaultRowHeight="15" x14ac:dyDescent="0.25"/>
  <cols>
    <col min="1" max="1" width="40" customWidth="1"/>
    <col min="2" max="9" width="11" customWidth="1"/>
    <col min="10" max="10" width="46" customWidth="1"/>
  </cols>
  <sheetData>
    <row r="1" spans="1:10" x14ac:dyDescent="0.25">
      <c r="A1" s="19" t="s">
        <v>1667</v>
      </c>
      <c r="B1" s="19" t="s">
        <v>1668</v>
      </c>
      <c r="C1" s="19" t="s">
        <v>1669</v>
      </c>
      <c r="D1" s="19" t="s">
        <v>1670</v>
      </c>
      <c r="E1" s="19" t="s">
        <v>1671</v>
      </c>
      <c r="F1" s="19" t="s">
        <v>1672</v>
      </c>
      <c r="G1" s="19" t="s">
        <v>1673</v>
      </c>
      <c r="H1" s="19" t="s">
        <v>1674</v>
      </c>
      <c r="I1" s="19" t="s">
        <v>1675</v>
      </c>
      <c r="J1" s="19" t="s">
        <v>1676</v>
      </c>
    </row>
    <row r="2" spans="1:10" ht="48.75" x14ac:dyDescent="0.25">
      <c r="A2" s="18" t="s">
        <v>1677</v>
      </c>
      <c r="B2" s="20">
        <v>78900</v>
      </c>
      <c r="C2" s="21" t="s">
        <v>1678</v>
      </c>
    </row>
    <row r="3" spans="1:10" ht="36.75" x14ac:dyDescent="0.25">
      <c r="A3" s="18" t="s">
        <v>1679</v>
      </c>
      <c r="B3" s="20">
        <v>1470</v>
      </c>
      <c r="C3" s="21" t="s">
        <v>1680</v>
      </c>
    </row>
    <row r="4" spans="1:10" ht="60.75" x14ac:dyDescent="0.25">
      <c r="A4" s="18" t="s">
        <v>1650</v>
      </c>
      <c r="B4" s="20">
        <f>B2*B3/1000</f>
        <v>115983</v>
      </c>
      <c r="C4" s="21" t="s">
        <v>1681</v>
      </c>
    </row>
    <row r="6" spans="1:10" x14ac:dyDescent="0.25">
      <c r="A6" s="1" t="s">
        <v>1682</v>
      </c>
    </row>
    <row r="7" spans="1:10" x14ac:dyDescent="0.25">
      <c r="A7" s="18" t="s">
        <v>1683</v>
      </c>
      <c r="B7" s="20"/>
      <c r="C7" s="20"/>
      <c r="D7" s="20"/>
      <c r="E7" s="20"/>
      <c r="F7" s="20"/>
      <c r="G7" s="20">
        <v>1002</v>
      </c>
      <c r="H7" s="20">
        <v>992</v>
      </c>
      <c r="I7" s="20">
        <v>982</v>
      </c>
      <c r="J7" s="21" t="s">
        <v>1684</v>
      </c>
    </row>
    <row r="8" spans="1:10" x14ac:dyDescent="0.25">
      <c r="A8" s="18" t="s">
        <v>1685</v>
      </c>
      <c r="B8" s="20"/>
      <c r="C8" s="20"/>
      <c r="D8" s="20"/>
      <c r="E8" s="20"/>
      <c r="F8" s="20"/>
      <c r="G8" s="20">
        <v>2004</v>
      </c>
      <c r="H8" s="20">
        <v>2004</v>
      </c>
      <c r="I8" s="20">
        <v>2004</v>
      </c>
      <c r="J8" s="21" t="s">
        <v>1686</v>
      </c>
    </row>
    <row r="9" spans="1:10" x14ac:dyDescent="0.25">
      <c r="A9" s="18" t="s">
        <v>1687</v>
      </c>
      <c r="B9" s="20"/>
      <c r="C9" s="20"/>
      <c r="D9" s="20"/>
      <c r="E9" s="20"/>
      <c r="F9" s="20"/>
      <c r="G9" s="20">
        <v>3559</v>
      </c>
      <c r="H9" s="20">
        <v>4259</v>
      </c>
      <c r="I9" s="20">
        <v>4759</v>
      </c>
      <c r="J9" s="21" t="s">
        <v>1688</v>
      </c>
    </row>
    <row r="10" spans="1:10" x14ac:dyDescent="0.25">
      <c r="A10" s="18" t="s">
        <v>1689</v>
      </c>
      <c r="B10" s="20"/>
      <c r="C10" s="20"/>
      <c r="D10" s="20"/>
      <c r="E10" s="20"/>
      <c r="F10" s="20"/>
      <c r="G10" s="20">
        <v>811</v>
      </c>
      <c r="H10" s="20">
        <v>911</v>
      </c>
      <c r="I10" s="20">
        <v>1011</v>
      </c>
      <c r="J10" s="21" t="s">
        <v>1690</v>
      </c>
    </row>
    <row r="12" spans="1:10" x14ac:dyDescent="0.25">
      <c r="A12" s="1" t="s">
        <v>1691</v>
      </c>
    </row>
    <row r="13" spans="1:10" ht="72.75" x14ac:dyDescent="0.25">
      <c r="A13" s="18" t="s">
        <v>1692</v>
      </c>
      <c r="B13" s="22">
        <v>3.5179999999999998</v>
      </c>
      <c r="C13" s="21" t="s">
        <v>1693</v>
      </c>
    </row>
    <row r="14" spans="1:10" ht="72.75" x14ac:dyDescent="0.25">
      <c r="A14" s="18" t="s">
        <v>1694</v>
      </c>
      <c r="B14" s="22">
        <v>3.6190000000000002</v>
      </c>
      <c r="C14" s="21" t="s">
        <v>1693</v>
      </c>
    </row>
    <row r="15" spans="1:10" ht="72.75" x14ac:dyDescent="0.25">
      <c r="A15" s="18" t="s">
        <v>1695</v>
      </c>
      <c r="B15" s="22">
        <v>1.53</v>
      </c>
      <c r="C15" s="21" t="s">
        <v>1693</v>
      </c>
    </row>
    <row r="16" spans="1:10" ht="72.75" x14ac:dyDescent="0.25">
      <c r="A16" s="18" t="s">
        <v>1696</v>
      </c>
      <c r="B16" s="22">
        <v>0.49099999999999999</v>
      </c>
      <c r="C16" s="21" t="s">
        <v>1693</v>
      </c>
    </row>
    <row r="17" spans="1:10" ht="60.75" x14ac:dyDescent="0.25">
      <c r="A17" s="18" t="s">
        <v>1697</v>
      </c>
      <c r="B17" s="23">
        <v>0</v>
      </c>
      <c r="C17" s="21" t="s">
        <v>1698</v>
      </c>
    </row>
    <row r="18" spans="1:10" ht="60.75" x14ac:dyDescent="0.25">
      <c r="A18" s="18" t="s">
        <v>1699</v>
      </c>
      <c r="B18" s="23">
        <v>0.03</v>
      </c>
      <c r="C18" s="21" t="s">
        <v>1698</v>
      </c>
    </row>
    <row r="19" spans="1:10" ht="60.75" x14ac:dyDescent="0.25">
      <c r="A19" s="18" t="s">
        <v>1700</v>
      </c>
      <c r="B19" s="23">
        <v>0.08</v>
      </c>
      <c r="C19" s="21" t="s">
        <v>1698</v>
      </c>
    </row>
    <row r="20" spans="1:10" ht="60.75" x14ac:dyDescent="0.25">
      <c r="A20" s="18" t="s">
        <v>1701</v>
      </c>
      <c r="B20" s="23">
        <v>0.05</v>
      </c>
      <c r="C20" s="21" t="s">
        <v>1698</v>
      </c>
    </row>
    <row r="22" spans="1:10" x14ac:dyDescent="0.25">
      <c r="A22" s="1" t="s">
        <v>1702</v>
      </c>
    </row>
    <row r="23" spans="1:10" x14ac:dyDescent="0.25">
      <c r="A23" s="18" t="s">
        <v>1703</v>
      </c>
      <c r="B23" s="23">
        <v>0.22470000000000001</v>
      </c>
      <c r="C23" s="23">
        <v>0.23130000000000001</v>
      </c>
      <c r="D23" s="23">
        <v>0.19040000000000001</v>
      </c>
      <c r="E23" s="23">
        <v>0.20469999999999999</v>
      </c>
      <c r="F23" s="23">
        <v>0.1988</v>
      </c>
      <c r="G23" s="23">
        <v>0.2079</v>
      </c>
      <c r="H23" s="23">
        <v>0.2079</v>
      </c>
      <c r="I23" s="23">
        <v>0.2079</v>
      </c>
      <c r="J23" s="21" t="s">
        <v>1704</v>
      </c>
    </row>
    <row r="24" spans="1:10" x14ac:dyDescent="0.25">
      <c r="A24" s="18" t="s">
        <v>1705</v>
      </c>
      <c r="B24" s="23">
        <v>0.17678867841972179</v>
      </c>
      <c r="C24" s="23">
        <v>0.18153619659862319</v>
      </c>
      <c r="D24" s="23">
        <v>0.18671320039431921</v>
      </c>
      <c r="E24" s="23">
        <v>0.17429947030397219</v>
      </c>
      <c r="F24" s="23">
        <v>0.15344892934628199</v>
      </c>
      <c r="G24" s="23">
        <v>0.14510000000000001</v>
      </c>
      <c r="H24" s="23">
        <v>0.1389</v>
      </c>
      <c r="I24" s="23">
        <v>0.13270000000000001</v>
      </c>
      <c r="J24" s="21" t="s">
        <v>1706</v>
      </c>
    </row>
    <row r="25" spans="1:10" ht="60.75" x14ac:dyDescent="0.25">
      <c r="A25" s="18" t="s">
        <v>1707</v>
      </c>
      <c r="B25" s="23">
        <v>0.2036</v>
      </c>
      <c r="C25" s="21" t="s">
        <v>1708</v>
      </c>
    </row>
    <row r="26" spans="1:10" ht="48.75" x14ac:dyDescent="0.25">
      <c r="A26" s="18" t="s">
        <v>1709</v>
      </c>
      <c r="B26" s="23">
        <v>9.4000000000000004E-3</v>
      </c>
      <c r="C26" s="21" t="s">
        <v>1710</v>
      </c>
    </row>
    <row r="27" spans="1:10" ht="36.75" x14ac:dyDescent="0.25">
      <c r="A27" s="18" t="s">
        <v>1711</v>
      </c>
      <c r="B27" s="23">
        <v>0.3</v>
      </c>
      <c r="C27" s="21" t="s">
        <v>1712</v>
      </c>
    </row>
    <row r="29" spans="1:10" x14ac:dyDescent="0.25">
      <c r="A29" s="1" t="s">
        <v>1713</v>
      </c>
    </row>
    <row r="30" spans="1:10" ht="24.75" x14ac:dyDescent="0.25">
      <c r="A30" s="18" t="s">
        <v>1714</v>
      </c>
      <c r="B30" s="24">
        <v>77.830029304707423</v>
      </c>
      <c r="C30" s="21" t="s">
        <v>1715</v>
      </c>
    </row>
    <row r="31" spans="1:10" ht="24.75" x14ac:dyDescent="0.25">
      <c r="A31" s="18" t="s">
        <v>1716</v>
      </c>
      <c r="B31" s="24">
        <v>23.90788309654052</v>
      </c>
      <c r="C31" s="21" t="s">
        <v>1715</v>
      </c>
    </row>
    <row r="32" spans="1:10" ht="24.75" x14ac:dyDescent="0.25">
      <c r="A32" s="18" t="s">
        <v>1717</v>
      </c>
      <c r="B32" s="24">
        <v>34.837551951041348</v>
      </c>
      <c r="C32" s="21" t="s">
        <v>1715</v>
      </c>
    </row>
    <row r="33" spans="1:3" ht="24.75" x14ac:dyDescent="0.25">
      <c r="A33" s="18" t="s">
        <v>1718</v>
      </c>
      <c r="B33" s="23">
        <v>1.6906657119579761E-2</v>
      </c>
      <c r="C33" s="21" t="s">
        <v>1715</v>
      </c>
    </row>
    <row r="34" spans="1:3" ht="24.75" x14ac:dyDescent="0.25">
      <c r="A34" s="18" t="s">
        <v>1719</v>
      </c>
      <c r="B34" s="23">
        <v>3.979400368363287E-3</v>
      </c>
      <c r="C34" s="21" t="s">
        <v>1715</v>
      </c>
    </row>
    <row r="35" spans="1:3" ht="24.75" x14ac:dyDescent="0.25">
      <c r="A35" s="18" t="s">
        <v>1720</v>
      </c>
      <c r="B35" s="23">
        <v>9.171298209667178E-2</v>
      </c>
      <c r="C35" s="21" t="s">
        <v>1715</v>
      </c>
    </row>
    <row r="36" spans="1:3" ht="24.75" x14ac:dyDescent="0.25">
      <c r="A36" s="18" t="s">
        <v>1721</v>
      </c>
      <c r="B36" s="23">
        <v>0.27204785049834568</v>
      </c>
      <c r="C36" s="21" t="s">
        <v>1715</v>
      </c>
    </row>
    <row r="38" spans="1:3" x14ac:dyDescent="0.25">
      <c r="A38" s="1" t="s">
        <v>1722</v>
      </c>
    </row>
    <row r="39" spans="1:3" ht="84.75" x14ac:dyDescent="0.25">
      <c r="A39" s="18" t="s">
        <v>1723</v>
      </c>
      <c r="B39" s="25">
        <f>'13_PE_PB_History'!B35</f>
        <v>16.3</v>
      </c>
      <c r="C39" s="21" t="s">
        <v>1724</v>
      </c>
    </row>
    <row r="40" spans="1:3" ht="84.75" x14ac:dyDescent="0.25">
      <c r="A40" s="18" t="s">
        <v>1725</v>
      </c>
      <c r="B40" s="25">
        <f>'13_PE_PB_History'!C35</f>
        <v>3.7549999999999999</v>
      </c>
      <c r="C40" s="21" t="s">
        <v>1724</v>
      </c>
    </row>
    <row r="41" spans="1:3" ht="60.75" x14ac:dyDescent="0.25">
      <c r="A41" s="18" t="s">
        <v>1726</v>
      </c>
      <c r="B41" s="26">
        <v>1.0858000000000001</v>
      </c>
      <c r="C41" s="21" t="s">
        <v>1727</v>
      </c>
    </row>
    <row r="42" spans="1:3" ht="36.75" x14ac:dyDescent="0.25">
      <c r="A42" s="18" t="s">
        <v>1728</v>
      </c>
      <c r="B42" s="27">
        <v>4.4999999999999998E-2</v>
      </c>
      <c r="C42" s="21" t="s">
        <v>1729</v>
      </c>
    </row>
    <row r="43" spans="1:3" ht="24.75" x14ac:dyDescent="0.25">
      <c r="A43" s="18" t="s">
        <v>1730</v>
      </c>
      <c r="B43" s="27">
        <v>7.0000000000000007E-2</v>
      </c>
      <c r="C43" s="21" t="s">
        <v>1731</v>
      </c>
    </row>
    <row r="44" spans="1:3" ht="48.75" x14ac:dyDescent="0.25">
      <c r="A44" s="18" t="s">
        <v>1732</v>
      </c>
      <c r="B44" s="27">
        <v>1.4999999999999999E-2</v>
      </c>
      <c r="C44" s="21" t="s">
        <v>1733</v>
      </c>
    </row>
    <row r="45" spans="1:3" ht="60.75" x14ac:dyDescent="0.25">
      <c r="A45" s="18" t="s">
        <v>1734</v>
      </c>
      <c r="B45" s="23">
        <f>'00_COE'!B9</f>
        <v>0.13880521932517759</v>
      </c>
      <c r="C45" s="21" t="s">
        <v>1735</v>
      </c>
    </row>
    <row r="46" spans="1:3" ht="36.75" x14ac:dyDescent="0.25">
      <c r="A46" s="18" t="s">
        <v>1736</v>
      </c>
      <c r="B46" s="23">
        <v>0.03</v>
      </c>
      <c r="C46" s="21" t="s">
        <v>1737</v>
      </c>
    </row>
    <row r="47" spans="1:3" ht="48.75" x14ac:dyDescent="0.25">
      <c r="A47" s="18" t="s">
        <v>1738</v>
      </c>
      <c r="B47" s="23">
        <v>0.2</v>
      </c>
      <c r="C47" s="21" t="s">
        <v>1739</v>
      </c>
    </row>
    <row r="48" spans="1:3" x14ac:dyDescent="0.25">
      <c r="A48" s="18" t="s">
        <v>1740</v>
      </c>
      <c r="B48" s="23">
        <v>0.2</v>
      </c>
      <c r="C48" s="21"/>
    </row>
    <row r="49" spans="1:3" x14ac:dyDescent="0.25">
      <c r="A49" s="18" t="s">
        <v>1741</v>
      </c>
      <c r="B49" s="23">
        <v>0.1</v>
      </c>
      <c r="C49" s="21"/>
    </row>
    <row r="50" spans="1:3" ht="48.75" x14ac:dyDescent="0.25">
      <c r="A50" s="18" t="s">
        <v>1742</v>
      </c>
      <c r="B50" s="23">
        <v>0.5</v>
      </c>
      <c r="C50" s="21" t="s">
        <v>1743</v>
      </c>
    </row>
    <row r="52" spans="1:3" x14ac:dyDescent="0.25">
      <c r="A52" s="1" t="s">
        <v>1744</v>
      </c>
    </row>
    <row r="53" spans="1:3" ht="36.75" x14ac:dyDescent="0.25">
      <c r="A53" s="18" t="s">
        <v>1745</v>
      </c>
      <c r="B53" s="28">
        <v>1</v>
      </c>
      <c r="C53" s="21" t="s">
        <v>1746</v>
      </c>
    </row>
    <row r="54" spans="1:3" x14ac:dyDescent="0.25">
      <c r="A54" s="18" t="s">
        <v>1747</v>
      </c>
      <c r="B54" s="20">
        <v>46462</v>
      </c>
      <c r="C54" s="21" t="s">
        <v>1748</v>
      </c>
    </row>
    <row r="55" spans="1:3" ht="60.75" x14ac:dyDescent="0.25">
      <c r="A55" s="18" t="s">
        <v>1749</v>
      </c>
      <c r="B55" s="20">
        <v>-36751.9</v>
      </c>
      <c r="C55" s="21" t="s">
        <v>1750</v>
      </c>
    </row>
    <row r="56" spans="1:3" ht="60.75" x14ac:dyDescent="0.25">
      <c r="A56" s="18" t="s">
        <v>1751</v>
      </c>
      <c r="B56" s="20">
        <v>-6808.1</v>
      </c>
      <c r="C56" s="21" t="s">
        <v>1752</v>
      </c>
    </row>
    <row r="57" spans="1:3" x14ac:dyDescent="0.25">
      <c r="A57" s="18" t="s">
        <v>1753</v>
      </c>
      <c r="B57" s="20">
        <v>436.1</v>
      </c>
      <c r="C57" s="21" t="s">
        <v>1748</v>
      </c>
    </row>
    <row r="58" spans="1:3" x14ac:dyDescent="0.25">
      <c r="A58" s="18" t="s">
        <v>1754</v>
      </c>
      <c r="B58" s="20">
        <v>3327.6</v>
      </c>
      <c r="C58" s="21" t="s">
        <v>1748</v>
      </c>
    </row>
    <row r="59" spans="1:3" x14ac:dyDescent="0.25">
      <c r="A59" s="18" t="s">
        <v>1755</v>
      </c>
      <c r="B59" s="20">
        <v>570</v>
      </c>
      <c r="C59" s="21" t="e">
        <f>LNTT - LNST hợp nhất thực tế</f>
        <v>#NAME?</v>
      </c>
    </row>
    <row r="60" spans="1:3" x14ac:dyDescent="0.25">
      <c r="A60" s="18" t="s">
        <v>1756</v>
      </c>
      <c r="B60" s="20">
        <v>2757.6</v>
      </c>
      <c r="C60" s="21" t="s">
        <v>1748</v>
      </c>
    </row>
    <row r="61" spans="1:3" x14ac:dyDescent="0.25">
      <c r="A61" s="18" t="s">
        <v>1757</v>
      </c>
      <c r="B61" s="20">
        <v>2714.4</v>
      </c>
      <c r="C61" s="21" t="s">
        <v>1748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6" customWidth="1"/>
    <col min="2" max="66" width="9" customWidth="1"/>
    <col min="67" max="69" width="13" customWidth="1"/>
    <col min="70" max="70" width="40" customWidth="1"/>
  </cols>
  <sheetData>
    <row r="1" spans="1:70" ht="25.5" x14ac:dyDescent="0.25">
      <c r="A1" s="19" t="s">
        <v>1758</v>
      </c>
      <c r="B1" s="19" t="s">
        <v>1759</v>
      </c>
      <c r="C1" s="19" t="s">
        <v>1760</v>
      </c>
      <c r="D1" s="19" t="s">
        <v>1761</v>
      </c>
      <c r="E1" s="19" t="s">
        <v>1762</v>
      </c>
      <c r="F1" s="19" t="s">
        <v>1763</v>
      </c>
      <c r="G1" s="19" t="s">
        <v>1764</v>
      </c>
      <c r="H1" s="19" t="s">
        <v>1765</v>
      </c>
      <c r="I1" s="19" t="s">
        <v>1766</v>
      </c>
      <c r="J1" s="19" t="s">
        <v>1767</v>
      </c>
      <c r="K1" s="19" t="s">
        <v>1768</v>
      </c>
      <c r="L1" s="19" t="s">
        <v>1769</v>
      </c>
      <c r="M1" s="19" t="s">
        <v>1770</v>
      </c>
      <c r="N1" s="19" t="s">
        <v>1771</v>
      </c>
      <c r="O1" s="19" t="s">
        <v>1772</v>
      </c>
      <c r="P1" s="19" t="s">
        <v>1773</v>
      </c>
      <c r="Q1" s="19" t="s">
        <v>1774</v>
      </c>
      <c r="R1" s="19" t="s">
        <v>1775</v>
      </c>
      <c r="S1" s="19" t="s">
        <v>1776</v>
      </c>
      <c r="T1" s="19" t="s">
        <v>1777</v>
      </c>
      <c r="U1" s="19" t="s">
        <v>1778</v>
      </c>
      <c r="V1" s="19" t="s">
        <v>1779</v>
      </c>
      <c r="W1" s="19" t="s">
        <v>1780</v>
      </c>
      <c r="X1" s="19" t="s">
        <v>1781</v>
      </c>
      <c r="Y1" s="19" t="s">
        <v>1782</v>
      </c>
      <c r="Z1" s="19" t="s">
        <v>1783</v>
      </c>
      <c r="AA1" s="19" t="s">
        <v>1784</v>
      </c>
      <c r="AB1" s="19" t="s">
        <v>1785</v>
      </c>
      <c r="AC1" s="19" t="s">
        <v>1786</v>
      </c>
      <c r="AD1" s="19" t="s">
        <v>1787</v>
      </c>
      <c r="AE1" s="19" t="s">
        <v>1788</v>
      </c>
      <c r="AF1" s="19" t="s">
        <v>1789</v>
      </c>
      <c r="AG1" s="19" t="s">
        <v>1790</v>
      </c>
      <c r="AH1" s="19" t="s">
        <v>1791</v>
      </c>
      <c r="AI1" s="19" t="s">
        <v>1792</v>
      </c>
      <c r="AJ1" s="19" t="s">
        <v>1793</v>
      </c>
      <c r="AK1" s="19" t="s">
        <v>1794</v>
      </c>
      <c r="AL1" s="19" t="s">
        <v>1795</v>
      </c>
      <c r="AM1" s="19" t="s">
        <v>1796</v>
      </c>
      <c r="AN1" s="19" t="s">
        <v>1797</v>
      </c>
      <c r="AO1" s="19" t="s">
        <v>1798</v>
      </c>
      <c r="AP1" s="19" t="s">
        <v>1799</v>
      </c>
      <c r="AQ1" s="19" t="s">
        <v>1800</v>
      </c>
      <c r="AR1" s="19" t="s">
        <v>1801</v>
      </c>
      <c r="AS1" s="19" t="s">
        <v>1802</v>
      </c>
      <c r="AT1" s="19" t="s">
        <v>1803</v>
      </c>
      <c r="AU1" s="19" t="s">
        <v>1804</v>
      </c>
      <c r="AV1" s="19" t="s">
        <v>1805</v>
      </c>
      <c r="AW1" s="19" t="s">
        <v>1806</v>
      </c>
      <c r="AX1" s="19" t="s">
        <v>1807</v>
      </c>
      <c r="AY1" s="19" t="s">
        <v>1808</v>
      </c>
      <c r="AZ1" s="19" t="s">
        <v>1809</v>
      </c>
      <c r="BA1" s="19" t="s">
        <v>1810</v>
      </c>
      <c r="BB1" s="19" t="s">
        <v>1811</v>
      </c>
      <c r="BC1" s="19" t="s">
        <v>1812</v>
      </c>
      <c r="BD1" s="19" t="s">
        <v>1813</v>
      </c>
      <c r="BE1" s="19" t="s">
        <v>1814</v>
      </c>
      <c r="BF1" s="19" t="s">
        <v>1815</v>
      </c>
      <c r="BG1" s="19" t="s">
        <v>1816</v>
      </c>
      <c r="BH1" s="19" t="s">
        <v>1817</v>
      </c>
      <c r="BI1" s="19" t="s">
        <v>1818</v>
      </c>
      <c r="BJ1" s="19" t="s">
        <v>1819</v>
      </c>
      <c r="BK1" s="19" t="s">
        <v>1820</v>
      </c>
      <c r="BL1" s="19" t="s">
        <v>1821</v>
      </c>
      <c r="BM1" s="19" t="s">
        <v>1822</v>
      </c>
      <c r="BN1" s="19" t="s">
        <v>1823</v>
      </c>
      <c r="BO1" s="19" t="s">
        <v>1824</v>
      </c>
      <c r="BP1" s="19" t="s">
        <v>1825</v>
      </c>
      <c r="BQ1" s="19" t="s">
        <v>1826</v>
      </c>
      <c r="BR1" s="19" t="s">
        <v>1676</v>
      </c>
    </row>
    <row r="2" spans="1:70" x14ac:dyDescent="0.25">
      <c r="A2" s="10" t="s">
        <v>1827</v>
      </c>
      <c r="B2" s="29">
        <v>10360</v>
      </c>
      <c r="C2" s="29">
        <v>7036</v>
      </c>
      <c r="D2" s="29">
        <v>7621</v>
      </c>
      <c r="E2" s="29">
        <v>9105</v>
      </c>
      <c r="F2" s="29">
        <v>8662</v>
      </c>
      <c r="G2" s="29">
        <v>8943</v>
      </c>
      <c r="H2" s="29">
        <v>9202</v>
      </c>
      <c r="I2" s="29">
        <v>7926</v>
      </c>
      <c r="J2" s="29">
        <v>7908</v>
      </c>
      <c r="K2" s="29">
        <v>7960</v>
      </c>
      <c r="L2" s="29">
        <v>8363</v>
      </c>
      <c r="M2" s="29">
        <v>9088</v>
      </c>
      <c r="N2" s="29">
        <v>12560</v>
      </c>
      <c r="O2" s="29">
        <v>4836</v>
      </c>
      <c r="P2" s="29">
        <v>7621</v>
      </c>
      <c r="Q2" s="29">
        <v>9105</v>
      </c>
      <c r="R2" s="29">
        <v>8662</v>
      </c>
      <c r="S2" s="29">
        <v>8837</v>
      </c>
      <c r="T2" s="29">
        <v>9296</v>
      </c>
      <c r="U2" s="29">
        <v>12053</v>
      </c>
      <c r="V2" s="29">
        <v>3793</v>
      </c>
      <c r="W2" s="29">
        <v>7960</v>
      </c>
      <c r="X2" s="29">
        <v>8363</v>
      </c>
      <c r="Y2" s="29">
        <v>15460</v>
      </c>
      <c r="Z2" s="29">
        <v>11049</v>
      </c>
      <c r="AA2" s="29">
        <v>9492</v>
      </c>
      <c r="AB2" s="29">
        <v>8812</v>
      </c>
      <c r="AC2" s="29">
        <v>11096</v>
      </c>
      <c r="AD2" s="29">
        <v>11381</v>
      </c>
      <c r="AE2" s="29">
        <v>10657</v>
      </c>
      <c r="AF2" s="29">
        <v>9499</v>
      </c>
      <c r="AG2" s="29">
        <v>984</v>
      </c>
      <c r="AH2" s="29">
        <v>8382</v>
      </c>
      <c r="AI2" s="29">
        <v>17654</v>
      </c>
      <c r="AJ2" s="29">
        <v>11524</v>
      </c>
      <c r="AK2" s="29">
        <v>12428</v>
      </c>
      <c r="AL2" s="29">
        <v>12691.5</v>
      </c>
      <c r="AM2" s="29">
        <v>12691.5</v>
      </c>
      <c r="AN2" s="29">
        <v>5445</v>
      </c>
      <c r="AO2" s="29">
        <v>9621</v>
      </c>
      <c r="AP2" s="29">
        <v>18875</v>
      </c>
      <c r="AQ2" s="29">
        <v>11480</v>
      </c>
      <c r="AR2" s="29">
        <v>10920</v>
      </c>
      <c r="AS2" s="29">
        <v>11426</v>
      </c>
      <c r="AT2" s="29">
        <v>11800</v>
      </c>
      <c r="AU2" s="29">
        <v>11586</v>
      </c>
      <c r="AV2" s="29">
        <v>10945</v>
      </c>
      <c r="AW2" s="29">
        <v>12043</v>
      </c>
      <c r="AX2" s="29">
        <v>12262</v>
      </c>
      <c r="AY2" s="29">
        <v>12262</v>
      </c>
      <c r="AZ2" s="29">
        <v>11567</v>
      </c>
      <c r="BA2" s="29">
        <v>12544</v>
      </c>
      <c r="BB2" s="29">
        <v>12594</v>
      </c>
      <c r="BC2" s="29">
        <v>12426</v>
      </c>
      <c r="BD2" s="29">
        <v>12852</v>
      </c>
      <c r="BE2" s="29">
        <v>13294</v>
      </c>
      <c r="BF2" s="29">
        <v>13635</v>
      </c>
      <c r="BG2" s="29">
        <v>14853</v>
      </c>
      <c r="BH2" s="29">
        <v>14013</v>
      </c>
      <c r="BI2" s="29">
        <v>13864</v>
      </c>
      <c r="BJ2" s="29">
        <v>16102</v>
      </c>
      <c r="BK2" s="29">
        <v>16102</v>
      </c>
      <c r="BL2" s="29">
        <v>14304</v>
      </c>
      <c r="BM2" s="29">
        <v>15988</v>
      </c>
      <c r="BN2" s="29">
        <v>16663</v>
      </c>
      <c r="BO2" s="30">
        <f>BO8+BO9+BO10+BO11</f>
        <v>195510.01760642428</v>
      </c>
      <c r="BP2" s="30">
        <f>BP8+BP9+BP10+BP11</f>
        <v>221613.13224405795</v>
      </c>
      <c r="BQ2" s="30">
        <f>BQ8+BQ9+BQ10+BQ11</f>
        <v>242275.58375459479</v>
      </c>
    </row>
    <row r="3" spans="1:70" x14ac:dyDescent="0.25">
      <c r="A3" s="18" t="s">
        <v>1828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>
        <v>0.27400000000000002</v>
      </c>
      <c r="R3" s="31">
        <v>0.26</v>
      </c>
      <c r="S3" s="31">
        <v>0.27200000000000002</v>
      </c>
      <c r="T3" s="31">
        <v>0.26500000000000001</v>
      </c>
      <c r="U3" s="31">
        <v>0.26800000000000002</v>
      </c>
      <c r="V3" s="31">
        <v>0.27</v>
      </c>
      <c r="W3" s="31">
        <v>0.27200000000000002</v>
      </c>
      <c r="X3" s="31">
        <v>0.27200000000000002</v>
      </c>
      <c r="Y3" s="31">
        <v>0.27200000000000002</v>
      </c>
      <c r="Z3" s="31">
        <v>0.27200000000000002</v>
      </c>
      <c r="AA3" s="31">
        <v>0.26</v>
      </c>
      <c r="AB3" s="31">
        <v>0.26800000000000002</v>
      </c>
      <c r="AC3" s="31">
        <v>0.26800000000000002</v>
      </c>
      <c r="AD3" s="31">
        <v>0.25800000000000001</v>
      </c>
      <c r="AE3" s="31">
        <v>0.25</v>
      </c>
      <c r="AF3" s="31">
        <v>0.23899999999999999</v>
      </c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>
        <v>0.217</v>
      </c>
      <c r="AS3" s="31">
        <v>0.217</v>
      </c>
      <c r="AT3" s="31">
        <v>0.217</v>
      </c>
      <c r="AU3" s="31">
        <v>0.217</v>
      </c>
      <c r="AV3" s="31">
        <v>0.217</v>
      </c>
      <c r="AW3" s="31">
        <v>0.217</v>
      </c>
      <c r="AX3" s="31">
        <v>0.217</v>
      </c>
      <c r="AY3" s="31">
        <v>0.217</v>
      </c>
      <c r="AZ3" s="31">
        <v>0.22600000000000001</v>
      </c>
      <c r="BA3" s="31">
        <v>0.22600000000000001</v>
      </c>
      <c r="BB3" s="31">
        <v>0.22600000000000001</v>
      </c>
      <c r="BC3" s="31">
        <v>0.22600000000000001</v>
      </c>
      <c r="BD3" s="31">
        <v>0.22600000000000001</v>
      </c>
      <c r="BE3" s="31">
        <v>0.22600000000000001</v>
      </c>
      <c r="BF3" s="31">
        <v>0.22600000000000001</v>
      </c>
      <c r="BG3" s="31">
        <v>0.23699999999999999</v>
      </c>
      <c r="BH3" s="31">
        <v>0.23699999999999999</v>
      </c>
      <c r="BI3" s="31">
        <v>0.23699999999999999</v>
      </c>
      <c r="BJ3" s="31">
        <v>0.23699999999999999</v>
      </c>
      <c r="BK3" s="31">
        <v>0.22900000000000001</v>
      </c>
      <c r="BL3" s="31">
        <v>0.22900000000000001</v>
      </c>
      <c r="BM3" s="31">
        <v>0.22900000000000001</v>
      </c>
      <c r="BN3" s="31">
        <v>0.22500000000000001</v>
      </c>
    </row>
    <row r="4" spans="1:70" x14ac:dyDescent="0.25">
      <c r="A4" s="18" t="s">
        <v>1829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>
        <v>0.63100000000000001</v>
      </c>
      <c r="O4" s="31">
        <v>0.58599999999999997</v>
      </c>
      <c r="P4" s="31">
        <v>0.56200000000000006</v>
      </c>
      <c r="Q4" s="31">
        <v>0.56000000000000005</v>
      </c>
      <c r="R4" s="31">
        <v>0.57499999999999996</v>
      </c>
      <c r="S4" s="31">
        <v>0.53800000000000003</v>
      </c>
      <c r="T4" s="31">
        <v>0.56000000000000005</v>
      </c>
      <c r="U4" s="31">
        <v>0.55100000000000005</v>
      </c>
      <c r="V4" s="31">
        <v>0.54400000000000004</v>
      </c>
      <c r="W4" s="31">
        <v>0.53800000000000003</v>
      </c>
      <c r="X4" s="31">
        <v>0.53500000000000003</v>
      </c>
      <c r="Y4" s="31">
        <v>0.53800000000000003</v>
      </c>
      <c r="Z4" s="31">
        <v>0.53800000000000003</v>
      </c>
      <c r="AA4" s="31">
        <v>0.55700000000000005</v>
      </c>
      <c r="AB4" s="31">
        <v>0.53900000000000003</v>
      </c>
      <c r="AC4" s="31">
        <v>0.53200000000000003</v>
      </c>
      <c r="AD4" s="31">
        <v>0.53400000000000003</v>
      </c>
      <c r="AE4" s="31">
        <v>0.53300000000000003</v>
      </c>
      <c r="AF4" s="31">
        <v>0.51400000000000001</v>
      </c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>
        <v>0.45200000000000001</v>
      </c>
      <c r="AS4" s="31">
        <v>0.45200000000000001</v>
      </c>
      <c r="AT4" s="31">
        <v>0.45200000000000001</v>
      </c>
      <c r="AU4" s="31">
        <v>0.45200000000000001</v>
      </c>
      <c r="AV4" s="31">
        <v>0.45200000000000001</v>
      </c>
      <c r="AW4" s="31">
        <v>0.45200000000000001</v>
      </c>
      <c r="AX4" s="31">
        <v>0.45200000000000001</v>
      </c>
      <c r="AY4" s="31">
        <v>0.45200000000000001</v>
      </c>
      <c r="AZ4" s="31">
        <v>0.44600000000000001</v>
      </c>
      <c r="BA4" s="31">
        <v>0.44600000000000001</v>
      </c>
      <c r="BB4" s="31">
        <v>0.44600000000000001</v>
      </c>
      <c r="BC4" s="31">
        <v>0.44600000000000001</v>
      </c>
      <c r="BD4" s="31">
        <v>0.44600000000000001</v>
      </c>
      <c r="BE4" s="31">
        <v>0.44600000000000001</v>
      </c>
      <c r="BF4" s="31">
        <v>0.44600000000000001</v>
      </c>
      <c r="BG4" s="31">
        <v>0.44</v>
      </c>
      <c r="BH4" s="31">
        <v>0.44</v>
      </c>
      <c r="BI4" s="31">
        <v>0.44</v>
      </c>
      <c r="BJ4" s="31">
        <v>0.44</v>
      </c>
      <c r="BK4" s="31">
        <v>0.46400000000000002</v>
      </c>
      <c r="BL4" s="31">
        <v>0.46400000000000002</v>
      </c>
      <c r="BM4" s="31">
        <v>0.46400000000000002</v>
      </c>
      <c r="BN4" s="31">
        <v>0.46300000000000002</v>
      </c>
    </row>
    <row r="5" spans="1:70" x14ac:dyDescent="0.25">
      <c r="A5" s="18" t="s">
        <v>1830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>
        <v>0.105</v>
      </c>
      <c r="O5" s="31">
        <v>0.126</v>
      </c>
      <c r="P5" s="31">
        <v>0.153</v>
      </c>
      <c r="Q5" s="31">
        <v>0.16600000000000001</v>
      </c>
      <c r="R5" s="31">
        <v>0.16500000000000001</v>
      </c>
      <c r="S5" s="31">
        <v>0.19</v>
      </c>
      <c r="T5" s="31">
        <v>0.17499999999999999</v>
      </c>
      <c r="U5" s="31">
        <v>0.18099999999999999</v>
      </c>
      <c r="V5" s="31">
        <v>0.186</v>
      </c>
      <c r="W5" s="31">
        <v>0.19</v>
      </c>
      <c r="X5" s="31">
        <v>0.193</v>
      </c>
      <c r="Y5" s="31">
        <v>0.19</v>
      </c>
      <c r="Z5" s="31">
        <v>0.19</v>
      </c>
      <c r="AA5" s="31">
        <v>0.183</v>
      </c>
      <c r="AB5" s="31">
        <v>0.193</v>
      </c>
      <c r="AC5" s="31">
        <v>0.2</v>
      </c>
      <c r="AD5" s="31">
        <v>0.20499999999999999</v>
      </c>
      <c r="AE5" s="31">
        <v>0.214</v>
      </c>
      <c r="AF5" s="31">
        <v>0.24399999999999999</v>
      </c>
      <c r="AG5" s="31">
        <v>0.26300000000000001</v>
      </c>
      <c r="AH5" s="31">
        <v>0.26</v>
      </c>
      <c r="AI5" s="31"/>
      <c r="AJ5" s="31"/>
      <c r="AK5" s="31"/>
      <c r="AL5" s="31"/>
      <c r="AM5" s="31"/>
      <c r="AN5" s="31"/>
      <c r="AO5" s="31"/>
      <c r="AP5" s="31"/>
      <c r="AQ5" s="31"/>
      <c r="AR5" s="31">
        <v>0.30399999999999999</v>
      </c>
      <c r="AS5" s="31">
        <v>0.30399999999999999</v>
      </c>
      <c r="AT5" s="31">
        <v>0.30399999999999999</v>
      </c>
      <c r="AU5" s="31">
        <v>0.30399999999999999</v>
      </c>
      <c r="AV5" s="31">
        <v>0.30399999999999999</v>
      </c>
      <c r="AW5" s="31">
        <v>0.30399999999999999</v>
      </c>
      <c r="AX5" s="31">
        <v>0.30399999999999999</v>
      </c>
      <c r="AY5" s="31">
        <v>0.30399999999999999</v>
      </c>
      <c r="AZ5" s="31">
        <v>0.30499999999999999</v>
      </c>
      <c r="BA5" s="31">
        <v>0.30499999999999999</v>
      </c>
      <c r="BB5" s="31">
        <v>0.30499999999999999</v>
      </c>
      <c r="BC5" s="31">
        <v>0.30499999999999999</v>
      </c>
      <c r="BD5" s="31">
        <v>0.30499999999999999</v>
      </c>
      <c r="BE5" s="31">
        <v>0.30499999999999999</v>
      </c>
      <c r="BF5" s="31">
        <v>0.30499999999999999</v>
      </c>
      <c r="BG5" s="31">
        <v>0.3</v>
      </c>
      <c r="BH5" s="31">
        <v>0.3</v>
      </c>
      <c r="BI5" s="31">
        <v>0.3</v>
      </c>
      <c r="BJ5" s="31">
        <v>0.3</v>
      </c>
      <c r="BK5" s="31">
        <v>0.28699999999999998</v>
      </c>
      <c r="BL5" s="31">
        <v>0.28699999999999998</v>
      </c>
      <c r="BM5" s="31">
        <v>0.28699999999999998</v>
      </c>
      <c r="BN5" s="31">
        <v>0.29199999999999998</v>
      </c>
    </row>
    <row r="6" spans="1:70" x14ac:dyDescent="0.25">
      <c r="A6" s="18" t="s">
        <v>1831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>
        <v>2.7E-2</v>
      </c>
      <c r="AS6" s="31">
        <v>2.7E-2</v>
      </c>
      <c r="AT6" s="31">
        <v>2.7E-2</v>
      </c>
      <c r="AU6" s="31">
        <v>2.7E-2</v>
      </c>
      <c r="AV6" s="31">
        <v>2.7E-2</v>
      </c>
      <c r="AW6" s="31">
        <v>2.7E-2</v>
      </c>
      <c r="AX6" s="31">
        <v>2.7E-2</v>
      </c>
      <c r="AY6" s="31">
        <v>2.7E-2</v>
      </c>
      <c r="AZ6" s="31">
        <v>2.3E-2</v>
      </c>
      <c r="BA6" s="31">
        <v>2.3E-2</v>
      </c>
      <c r="BB6" s="31">
        <v>2.3E-2</v>
      </c>
      <c r="BC6" s="31">
        <v>2.3E-2</v>
      </c>
      <c r="BD6" s="31">
        <v>2.3E-2</v>
      </c>
      <c r="BE6" s="31">
        <v>2.3E-2</v>
      </c>
      <c r="BF6" s="31">
        <v>2.3E-2</v>
      </c>
      <c r="BG6" s="31">
        <v>2.3E-2</v>
      </c>
      <c r="BH6" s="31">
        <v>2.3E-2</v>
      </c>
      <c r="BI6" s="31">
        <v>2.3E-2</v>
      </c>
      <c r="BJ6" s="31">
        <v>2.3E-2</v>
      </c>
      <c r="BK6" s="31">
        <v>0.02</v>
      </c>
      <c r="BL6" s="31">
        <v>0.02</v>
      </c>
      <c r="BM6" s="31">
        <v>0.02</v>
      </c>
      <c r="BN6" s="31">
        <v>0.02</v>
      </c>
    </row>
    <row r="8" spans="1:70" x14ac:dyDescent="0.25">
      <c r="A8" s="18" t="s">
        <v>1832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>
        <f t="shared" ref="Q8:AF8" si="0">Q$2*Q$3</f>
        <v>2494.77</v>
      </c>
      <c r="R8" s="32">
        <f t="shared" si="0"/>
        <v>2252.12</v>
      </c>
      <c r="S8" s="32">
        <f t="shared" si="0"/>
        <v>2403.6640000000002</v>
      </c>
      <c r="T8" s="32">
        <f t="shared" si="0"/>
        <v>2463.44</v>
      </c>
      <c r="U8" s="32">
        <f t="shared" si="0"/>
        <v>3230.2040000000002</v>
      </c>
      <c r="V8" s="32">
        <f t="shared" si="0"/>
        <v>1024.1100000000001</v>
      </c>
      <c r="W8" s="32">
        <f t="shared" si="0"/>
        <v>2165.1200000000003</v>
      </c>
      <c r="X8" s="32">
        <f t="shared" si="0"/>
        <v>2274.7360000000003</v>
      </c>
      <c r="Y8" s="32">
        <f t="shared" si="0"/>
        <v>4205.12</v>
      </c>
      <c r="Z8" s="32">
        <f t="shared" si="0"/>
        <v>3005.3280000000004</v>
      </c>
      <c r="AA8" s="32">
        <f t="shared" si="0"/>
        <v>2467.92</v>
      </c>
      <c r="AB8" s="32">
        <f t="shared" si="0"/>
        <v>2361.616</v>
      </c>
      <c r="AC8" s="32">
        <f t="shared" si="0"/>
        <v>2973.7280000000001</v>
      </c>
      <c r="AD8" s="32">
        <f t="shared" si="0"/>
        <v>2936.2980000000002</v>
      </c>
      <c r="AE8" s="32">
        <f t="shared" si="0"/>
        <v>2664.25</v>
      </c>
      <c r="AF8" s="32">
        <f t="shared" si="0"/>
        <v>2270.261</v>
      </c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>
        <f t="shared" ref="AR8:BN8" si="1">AR$2*AR$3</f>
        <v>2369.64</v>
      </c>
      <c r="AS8" s="32">
        <f t="shared" si="1"/>
        <v>2479.442</v>
      </c>
      <c r="AT8" s="32">
        <f t="shared" si="1"/>
        <v>2560.6</v>
      </c>
      <c r="AU8" s="32">
        <f t="shared" si="1"/>
        <v>2514.1619999999998</v>
      </c>
      <c r="AV8" s="32">
        <f t="shared" si="1"/>
        <v>2375.0650000000001</v>
      </c>
      <c r="AW8" s="32">
        <f t="shared" si="1"/>
        <v>2613.3310000000001</v>
      </c>
      <c r="AX8" s="32">
        <f t="shared" si="1"/>
        <v>2660.8539999999998</v>
      </c>
      <c r="AY8" s="32">
        <f t="shared" si="1"/>
        <v>2660.8539999999998</v>
      </c>
      <c r="AZ8" s="32">
        <f t="shared" si="1"/>
        <v>2614.1420000000003</v>
      </c>
      <c r="BA8" s="32">
        <f t="shared" si="1"/>
        <v>2834.944</v>
      </c>
      <c r="BB8" s="32">
        <f t="shared" si="1"/>
        <v>2846.2440000000001</v>
      </c>
      <c r="BC8" s="32">
        <f t="shared" si="1"/>
        <v>2808.2760000000003</v>
      </c>
      <c r="BD8" s="32">
        <f t="shared" si="1"/>
        <v>2904.5520000000001</v>
      </c>
      <c r="BE8" s="32">
        <f t="shared" si="1"/>
        <v>3004.444</v>
      </c>
      <c r="BF8" s="32">
        <f t="shared" si="1"/>
        <v>3081.51</v>
      </c>
      <c r="BG8" s="32">
        <f t="shared" si="1"/>
        <v>3520.1609999999996</v>
      </c>
      <c r="BH8" s="32">
        <f t="shared" si="1"/>
        <v>3321.0809999999997</v>
      </c>
      <c r="BI8" s="32">
        <f t="shared" si="1"/>
        <v>3285.768</v>
      </c>
      <c r="BJ8" s="32">
        <f t="shared" si="1"/>
        <v>3816.174</v>
      </c>
      <c r="BK8" s="32">
        <f t="shared" si="1"/>
        <v>3687.3580000000002</v>
      </c>
      <c r="BL8" s="32">
        <f t="shared" si="1"/>
        <v>3275.616</v>
      </c>
      <c r="BM8" s="32">
        <f t="shared" si="1"/>
        <v>3661.252</v>
      </c>
      <c r="BN8" s="32">
        <f t="shared" si="1"/>
        <v>3749.1750000000002</v>
      </c>
      <c r="BO8" s="33">
        <f>BO13*BO18*7+(BJ8+BK8+BL8+BM8+BN8)</f>
        <v>42862.36475085951</v>
      </c>
      <c r="BP8" s="33">
        <f t="shared" ref="BP8:BQ11" si="2">BP13*BP18*12</f>
        <v>41874.093127207241</v>
      </c>
      <c r="BQ8" s="33">
        <f t="shared" si="2"/>
        <v>41451.97525294104</v>
      </c>
    </row>
    <row r="9" spans="1:70" x14ac:dyDescent="0.25">
      <c r="A9" s="18" t="s">
        <v>1833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>
        <f t="shared" ref="N9:AF9" si="3">N$2*N$4</f>
        <v>7925.36</v>
      </c>
      <c r="O9" s="32">
        <f t="shared" si="3"/>
        <v>2833.8959999999997</v>
      </c>
      <c r="P9" s="32">
        <f t="shared" si="3"/>
        <v>4283.0020000000004</v>
      </c>
      <c r="Q9" s="32">
        <f t="shared" si="3"/>
        <v>5098.8</v>
      </c>
      <c r="R9" s="32">
        <f t="shared" si="3"/>
        <v>4980.6499999999996</v>
      </c>
      <c r="S9" s="32">
        <f t="shared" si="3"/>
        <v>4754.3060000000005</v>
      </c>
      <c r="T9" s="32">
        <f t="shared" si="3"/>
        <v>5205.76</v>
      </c>
      <c r="U9" s="32">
        <f t="shared" si="3"/>
        <v>6641.2030000000004</v>
      </c>
      <c r="V9" s="32">
        <f t="shared" si="3"/>
        <v>2063.3920000000003</v>
      </c>
      <c r="W9" s="32">
        <f t="shared" si="3"/>
        <v>4282.4800000000005</v>
      </c>
      <c r="X9" s="32">
        <f t="shared" si="3"/>
        <v>4474.2049999999999</v>
      </c>
      <c r="Y9" s="32">
        <f t="shared" si="3"/>
        <v>8317.4800000000014</v>
      </c>
      <c r="Z9" s="32">
        <f t="shared" si="3"/>
        <v>5944.3620000000001</v>
      </c>
      <c r="AA9" s="32">
        <f t="shared" si="3"/>
        <v>5287.0440000000008</v>
      </c>
      <c r="AB9" s="32">
        <f t="shared" si="3"/>
        <v>4749.6680000000006</v>
      </c>
      <c r="AC9" s="32">
        <f t="shared" si="3"/>
        <v>5903.0720000000001</v>
      </c>
      <c r="AD9" s="32">
        <f t="shared" si="3"/>
        <v>6077.4540000000006</v>
      </c>
      <c r="AE9" s="32">
        <f t="shared" si="3"/>
        <v>5680.1810000000005</v>
      </c>
      <c r="AF9" s="32">
        <f t="shared" si="3"/>
        <v>4882.4859999999999</v>
      </c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>
        <f t="shared" ref="AR9:BN9" si="4">AR$2*AR$4</f>
        <v>4935.84</v>
      </c>
      <c r="AS9" s="32">
        <f t="shared" si="4"/>
        <v>5164.5520000000006</v>
      </c>
      <c r="AT9" s="32">
        <f t="shared" si="4"/>
        <v>5333.6</v>
      </c>
      <c r="AU9" s="32">
        <f t="shared" si="4"/>
        <v>5236.8720000000003</v>
      </c>
      <c r="AV9" s="32">
        <f t="shared" si="4"/>
        <v>4947.1400000000003</v>
      </c>
      <c r="AW9" s="32">
        <f t="shared" si="4"/>
        <v>5443.4360000000006</v>
      </c>
      <c r="AX9" s="32">
        <f t="shared" si="4"/>
        <v>5542.424</v>
      </c>
      <c r="AY9" s="32">
        <f t="shared" si="4"/>
        <v>5542.424</v>
      </c>
      <c r="AZ9" s="32">
        <f t="shared" si="4"/>
        <v>5158.8820000000005</v>
      </c>
      <c r="BA9" s="32">
        <f t="shared" si="4"/>
        <v>5594.6239999999998</v>
      </c>
      <c r="BB9" s="32">
        <f t="shared" si="4"/>
        <v>5616.924</v>
      </c>
      <c r="BC9" s="32">
        <f t="shared" si="4"/>
        <v>5541.9960000000001</v>
      </c>
      <c r="BD9" s="32">
        <f t="shared" si="4"/>
        <v>5731.9920000000002</v>
      </c>
      <c r="BE9" s="32">
        <f t="shared" si="4"/>
        <v>5929.1239999999998</v>
      </c>
      <c r="BF9" s="32">
        <f t="shared" si="4"/>
        <v>6081.21</v>
      </c>
      <c r="BG9" s="32">
        <f t="shared" si="4"/>
        <v>6535.32</v>
      </c>
      <c r="BH9" s="32">
        <f t="shared" si="4"/>
        <v>6165.72</v>
      </c>
      <c r="BI9" s="32">
        <f t="shared" si="4"/>
        <v>6100.16</v>
      </c>
      <c r="BJ9" s="32">
        <f t="shared" si="4"/>
        <v>7084.88</v>
      </c>
      <c r="BK9" s="32">
        <f t="shared" si="4"/>
        <v>7471.3280000000004</v>
      </c>
      <c r="BL9" s="32">
        <f t="shared" si="4"/>
        <v>6637.0560000000005</v>
      </c>
      <c r="BM9" s="32">
        <f t="shared" si="4"/>
        <v>7418.4320000000007</v>
      </c>
      <c r="BN9" s="32">
        <f t="shared" si="4"/>
        <v>7714.9690000000001</v>
      </c>
      <c r="BO9" s="33">
        <f>BO14*BO19*7+(BJ9+BK9+BL9+BM9+BN9)</f>
        <v>87100.324602232868</v>
      </c>
      <c r="BP9" s="33">
        <f t="shared" si="2"/>
        <v>89651.776097656897</v>
      </c>
      <c r="BQ9" s="33">
        <f t="shared" si="2"/>
        <v>92341.329380586612</v>
      </c>
    </row>
    <row r="10" spans="1:70" x14ac:dyDescent="0.25">
      <c r="A10" s="18" t="s">
        <v>1834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>
        <f t="shared" ref="N10:AH10" si="5">N$2*N$5</f>
        <v>1318.8</v>
      </c>
      <c r="O10" s="32">
        <f t="shared" si="5"/>
        <v>609.33600000000001</v>
      </c>
      <c r="P10" s="32">
        <f t="shared" si="5"/>
        <v>1166.0129999999999</v>
      </c>
      <c r="Q10" s="32">
        <f t="shared" si="5"/>
        <v>1511.43</v>
      </c>
      <c r="R10" s="32">
        <f t="shared" si="5"/>
        <v>1429.23</v>
      </c>
      <c r="S10" s="32">
        <f t="shared" si="5"/>
        <v>1679.03</v>
      </c>
      <c r="T10" s="32">
        <f t="shared" si="5"/>
        <v>1626.8</v>
      </c>
      <c r="U10" s="32">
        <f t="shared" si="5"/>
        <v>2181.5929999999998</v>
      </c>
      <c r="V10" s="32">
        <f t="shared" si="5"/>
        <v>705.49800000000005</v>
      </c>
      <c r="W10" s="32">
        <f t="shared" si="5"/>
        <v>1512.4</v>
      </c>
      <c r="X10" s="32">
        <f t="shared" si="5"/>
        <v>1614.059</v>
      </c>
      <c r="Y10" s="32">
        <f t="shared" si="5"/>
        <v>2937.4</v>
      </c>
      <c r="Z10" s="32">
        <f t="shared" si="5"/>
        <v>2099.31</v>
      </c>
      <c r="AA10" s="32">
        <f t="shared" si="5"/>
        <v>1737.0360000000001</v>
      </c>
      <c r="AB10" s="32">
        <f t="shared" si="5"/>
        <v>1700.7160000000001</v>
      </c>
      <c r="AC10" s="32">
        <f t="shared" si="5"/>
        <v>2219.2000000000003</v>
      </c>
      <c r="AD10" s="32">
        <f t="shared" si="5"/>
        <v>2333.105</v>
      </c>
      <c r="AE10" s="32">
        <f t="shared" si="5"/>
        <v>2280.598</v>
      </c>
      <c r="AF10" s="32">
        <f t="shared" si="5"/>
        <v>2317.7559999999999</v>
      </c>
      <c r="AG10" s="32">
        <f t="shared" si="5"/>
        <v>258.79200000000003</v>
      </c>
      <c r="AH10" s="32">
        <f t="shared" si="5"/>
        <v>2179.3200000000002</v>
      </c>
      <c r="AI10" s="32"/>
      <c r="AJ10" s="32"/>
      <c r="AK10" s="32"/>
      <c r="AL10" s="32"/>
      <c r="AM10" s="32"/>
      <c r="AN10" s="32"/>
      <c r="AO10" s="32"/>
      <c r="AP10" s="32"/>
      <c r="AQ10" s="32"/>
      <c r="AR10" s="32">
        <f t="shared" ref="AR10:BN10" si="6">AR$2*AR$5</f>
        <v>3319.68</v>
      </c>
      <c r="AS10" s="32">
        <f t="shared" si="6"/>
        <v>3473.5039999999999</v>
      </c>
      <c r="AT10" s="32">
        <f t="shared" si="6"/>
        <v>3587.2</v>
      </c>
      <c r="AU10" s="32">
        <f t="shared" si="6"/>
        <v>3522.1439999999998</v>
      </c>
      <c r="AV10" s="32">
        <f t="shared" si="6"/>
        <v>3327.2799999999997</v>
      </c>
      <c r="AW10" s="32">
        <f t="shared" si="6"/>
        <v>3661.0720000000001</v>
      </c>
      <c r="AX10" s="32">
        <f t="shared" si="6"/>
        <v>3727.6479999999997</v>
      </c>
      <c r="AY10" s="32">
        <f t="shared" si="6"/>
        <v>3727.6479999999997</v>
      </c>
      <c r="AZ10" s="32">
        <f t="shared" si="6"/>
        <v>3527.9349999999999</v>
      </c>
      <c r="BA10" s="32">
        <f t="shared" si="6"/>
        <v>3825.92</v>
      </c>
      <c r="BB10" s="32">
        <f t="shared" si="6"/>
        <v>3841.17</v>
      </c>
      <c r="BC10" s="32">
        <f t="shared" si="6"/>
        <v>3789.93</v>
      </c>
      <c r="BD10" s="32">
        <f t="shared" si="6"/>
        <v>3919.86</v>
      </c>
      <c r="BE10" s="32">
        <f t="shared" si="6"/>
        <v>4054.67</v>
      </c>
      <c r="BF10" s="32">
        <f t="shared" si="6"/>
        <v>4158.6750000000002</v>
      </c>
      <c r="BG10" s="32">
        <f t="shared" si="6"/>
        <v>4455.8999999999996</v>
      </c>
      <c r="BH10" s="32">
        <f t="shared" si="6"/>
        <v>4203.8999999999996</v>
      </c>
      <c r="BI10" s="32">
        <f t="shared" si="6"/>
        <v>4159.2</v>
      </c>
      <c r="BJ10" s="32">
        <f t="shared" si="6"/>
        <v>4830.5999999999995</v>
      </c>
      <c r="BK10" s="32">
        <f t="shared" si="6"/>
        <v>4621.2739999999994</v>
      </c>
      <c r="BL10" s="32">
        <f t="shared" si="6"/>
        <v>4105.2479999999996</v>
      </c>
      <c r="BM10" s="32">
        <f t="shared" si="6"/>
        <v>4588.5559999999996</v>
      </c>
      <c r="BN10" s="32">
        <f t="shared" si="6"/>
        <v>4865.5959999999995</v>
      </c>
      <c r="BO10" s="33">
        <f>BO15*BO20*7+(BJ10+BK10+BL10+BM10+BN10)</f>
        <v>61127.455211575354</v>
      </c>
      <c r="BP10" s="33">
        <f t="shared" si="2"/>
        <v>84449.288825516356</v>
      </c>
      <c r="BQ10" s="33">
        <f t="shared" si="2"/>
        <v>101912.58482326438</v>
      </c>
    </row>
    <row r="11" spans="1:70" x14ac:dyDescent="0.25">
      <c r="A11" s="18" t="s">
        <v>1835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>
        <f t="shared" ref="AR11:BN11" si="7">AR$2*AR$6</f>
        <v>294.83999999999997</v>
      </c>
      <c r="AS11" s="32">
        <f t="shared" si="7"/>
        <v>308.50200000000001</v>
      </c>
      <c r="AT11" s="32">
        <f t="shared" si="7"/>
        <v>318.60000000000002</v>
      </c>
      <c r="AU11" s="32">
        <f t="shared" si="7"/>
        <v>312.822</v>
      </c>
      <c r="AV11" s="32">
        <f t="shared" si="7"/>
        <v>295.51499999999999</v>
      </c>
      <c r="AW11" s="32">
        <f t="shared" si="7"/>
        <v>325.161</v>
      </c>
      <c r="AX11" s="32">
        <f t="shared" si="7"/>
        <v>331.07400000000001</v>
      </c>
      <c r="AY11" s="32">
        <f t="shared" si="7"/>
        <v>331.07400000000001</v>
      </c>
      <c r="AZ11" s="32">
        <f t="shared" si="7"/>
        <v>266.041</v>
      </c>
      <c r="BA11" s="32">
        <f t="shared" si="7"/>
        <v>288.512</v>
      </c>
      <c r="BB11" s="32">
        <f t="shared" si="7"/>
        <v>289.66199999999998</v>
      </c>
      <c r="BC11" s="32">
        <f t="shared" si="7"/>
        <v>285.798</v>
      </c>
      <c r="BD11" s="32">
        <f t="shared" si="7"/>
        <v>295.596</v>
      </c>
      <c r="BE11" s="32">
        <f t="shared" si="7"/>
        <v>305.762</v>
      </c>
      <c r="BF11" s="32">
        <f t="shared" si="7"/>
        <v>313.60500000000002</v>
      </c>
      <c r="BG11" s="32">
        <f t="shared" si="7"/>
        <v>341.61899999999997</v>
      </c>
      <c r="BH11" s="32">
        <f t="shared" si="7"/>
        <v>322.29899999999998</v>
      </c>
      <c r="BI11" s="32">
        <f t="shared" si="7"/>
        <v>318.87200000000001</v>
      </c>
      <c r="BJ11" s="32">
        <f t="shared" si="7"/>
        <v>370.346</v>
      </c>
      <c r="BK11" s="32">
        <f t="shared" si="7"/>
        <v>322.04000000000002</v>
      </c>
      <c r="BL11" s="32">
        <f t="shared" si="7"/>
        <v>286.08</v>
      </c>
      <c r="BM11" s="32">
        <f t="shared" si="7"/>
        <v>319.76</v>
      </c>
      <c r="BN11" s="32">
        <f t="shared" si="7"/>
        <v>333.26</v>
      </c>
      <c r="BO11" s="33">
        <f>BO16*BO21*7+(BJ11+BK11+BL11+BM11+BN11)</f>
        <v>4419.8730417565675</v>
      </c>
      <c r="BP11" s="33">
        <f t="shared" si="2"/>
        <v>5637.9741936774608</v>
      </c>
      <c r="BQ11" s="33">
        <f t="shared" si="2"/>
        <v>6569.6942978027546</v>
      </c>
    </row>
    <row r="13" spans="1:70" x14ac:dyDescent="0.25">
      <c r="A13" s="18" t="s">
        <v>1836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>
        <v>1003</v>
      </c>
      <c r="R13" s="29">
        <v>998</v>
      </c>
      <c r="S13" s="29"/>
      <c r="T13" s="29">
        <v>966</v>
      </c>
      <c r="U13" s="29">
        <v>964</v>
      </c>
      <c r="V13" s="29">
        <v>962</v>
      </c>
      <c r="W13" s="29">
        <v>948</v>
      </c>
      <c r="X13" s="29">
        <v>933</v>
      </c>
      <c r="Y13" s="29"/>
      <c r="Z13" s="29"/>
      <c r="AA13" s="29">
        <v>908</v>
      </c>
      <c r="AB13" s="29">
        <v>909</v>
      </c>
      <c r="AC13" s="29">
        <v>923</v>
      </c>
      <c r="AD13" s="29">
        <v>927</v>
      </c>
      <c r="AE13" s="29">
        <v>936</v>
      </c>
      <c r="AF13" s="29">
        <v>949</v>
      </c>
      <c r="AG13" s="29"/>
      <c r="AH13" s="29"/>
      <c r="AI13" s="29">
        <v>958</v>
      </c>
      <c r="AJ13" s="29">
        <v>966</v>
      </c>
      <c r="AK13" s="29"/>
      <c r="AL13" s="29"/>
      <c r="AM13" s="29"/>
      <c r="AN13" s="29"/>
      <c r="AO13" s="29"/>
      <c r="AP13" s="29"/>
      <c r="AQ13" s="29">
        <v>1067</v>
      </c>
      <c r="AR13" s="29">
        <v>1028</v>
      </c>
      <c r="AS13" s="29">
        <v>1023</v>
      </c>
      <c r="AT13" s="29">
        <v>1023</v>
      </c>
      <c r="AU13" s="29">
        <v>1022</v>
      </c>
      <c r="AV13" s="29">
        <v>1022</v>
      </c>
      <c r="AW13" s="29">
        <v>1021</v>
      </c>
      <c r="AX13" s="29">
        <v>1018</v>
      </c>
      <c r="AY13" s="29">
        <v>1018</v>
      </c>
      <c r="AZ13" s="29">
        <v>1017</v>
      </c>
      <c r="BA13" s="29">
        <v>1017</v>
      </c>
      <c r="BB13" s="29">
        <v>1015</v>
      </c>
      <c r="BC13" s="29">
        <v>1015</v>
      </c>
      <c r="BD13" s="29">
        <v>1014</v>
      </c>
      <c r="BE13" s="29">
        <v>1014</v>
      </c>
      <c r="BF13" s="29">
        <v>1013</v>
      </c>
      <c r="BG13" s="29">
        <v>1012</v>
      </c>
      <c r="BH13" s="29">
        <v>1012</v>
      </c>
      <c r="BI13" s="29">
        <v>1012</v>
      </c>
      <c r="BJ13" s="29">
        <v>1014</v>
      </c>
      <c r="BK13" s="29">
        <v>1014</v>
      </c>
      <c r="BL13" s="29">
        <v>1014</v>
      </c>
      <c r="BM13" s="29">
        <v>1012</v>
      </c>
      <c r="BN13" s="29">
        <v>1012</v>
      </c>
      <c r="BO13" s="29">
        <f>'02_Assumptions'!G7</f>
        <v>1002</v>
      </c>
      <c r="BP13" s="29">
        <f>'02_Assumptions'!H7</f>
        <v>992</v>
      </c>
      <c r="BQ13" s="29">
        <f>'02_Assumptions'!I7</f>
        <v>982</v>
      </c>
    </row>
    <row r="14" spans="1:70" x14ac:dyDescent="0.25">
      <c r="A14" s="18" t="s">
        <v>1837</v>
      </c>
      <c r="B14" s="29"/>
      <c r="C14" s="29"/>
      <c r="D14" s="29"/>
      <c r="E14" s="29">
        <v>17</v>
      </c>
      <c r="F14" s="29">
        <v>18</v>
      </c>
      <c r="G14" s="29"/>
      <c r="H14" s="29"/>
      <c r="I14" s="29"/>
      <c r="J14" s="29"/>
      <c r="K14" s="29"/>
      <c r="L14" s="29">
        <v>983</v>
      </c>
      <c r="M14" s="29"/>
      <c r="N14" s="29">
        <v>1028</v>
      </c>
      <c r="O14" s="29">
        <v>1028</v>
      </c>
      <c r="P14" s="29">
        <v>1030</v>
      </c>
      <c r="Q14" s="29">
        <v>1031</v>
      </c>
      <c r="R14" s="29">
        <v>1038</v>
      </c>
      <c r="S14" s="29"/>
      <c r="T14" s="29">
        <v>1065</v>
      </c>
      <c r="U14" s="29">
        <v>1083</v>
      </c>
      <c r="V14" s="29">
        <v>1124</v>
      </c>
      <c r="W14" s="29">
        <v>1198</v>
      </c>
      <c r="X14" s="29">
        <v>29</v>
      </c>
      <c r="Y14" s="29">
        <v>1400</v>
      </c>
      <c r="Z14" s="29"/>
      <c r="AA14" s="29">
        <v>1531</v>
      </c>
      <c r="AB14" s="29">
        <v>1553</v>
      </c>
      <c r="AC14" s="29">
        <v>1628</v>
      </c>
      <c r="AD14" s="29">
        <v>1699</v>
      </c>
      <c r="AE14" s="29">
        <v>1731</v>
      </c>
      <c r="AF14" s="29">
        <v>1763</v>
      </c>
      <c r="AG14" s="29"/>
      <c r="AH14" s="29"/>
      <c r="AI14" s="29">
        <v>1802</v>
      </c>
      <c r="AJ14" s="29">
        <v>1863</v>
      </c>
      <c r="AK14" s="29"/>
      <c r="AL14" s="29"/>
      <c r="AM14" s="29"/>
      <c r="AN14" s="29"/>
      <c r="AO14" s="29"/>
      <c r="AP14" s="29"/>
      <c r="AQ14" s="29">
        <v>2131</v>
      </c>
      <c r="AR14" s="29">
        <v>2034</v>
      </c>
      <c r="AS14" s="29">
        <v>2031</v>
      </c>
      <c r="AT14" s="29">
        <v>2030</v>
      </c>
      <c r="AU14" s="29">
        <v>2030</v>
      </c>
      <c r="AV14" s="29">
        <v>2030</v>
      </c>
      <c r="AW14" s="29">
        <v>2026</v>
      </c>
      <c r="AX14" s="29">
        <v>2027</v>
      </c>
      <c r="AY14" s="29">
        <v>2027</v>
      </c>
      <c r="AZ14" s="29">
        <v>2027</v>
      </c>
      <c r="BA14" s="29">
        <v>2025</v>
      </c>
      <c r="BB14" s="29">
        <v>2025</v>
      </c>
      <c r="BC14" s="29">
        <v>2023</v>
      </c>
      <c r="BD14" s="29">
        <v>2022</v>
      </c>
      <c r="BE14" s="29">
        <v>2023</v>
      </c>
      <c r="BF14" s="29">
        <v>2018</v>
      </c>
      <c r="BG14" s="29">
        <v>2017</v>
      </c>
      <c r="BH14" s="29">
        <v>2017</v>
      </c>
      <c r="BI14" s="29">
        <v>2008</v>
      </c>
      <c r="BJ14" s="29">
        <v>2008</v>
      </c>
      <c r="BK14" s="29">
        <v>2008</v>
      </c>
      <c r="BL14" s="29">
        <v>2006</v>
      </c>
      <c r="BM14" s="29">
        <v>2005</v>
      </c>
      <c r="BN14" s="29">
        <v>2004</v>
      </c>
      <c r="BO14" s="29">
        <f>'02_Assumptions'!G8</f>
        <v>2004</v>
      </c>
      <c r="BP14" s="29">
        <f>'02_Assumptions'!H8</f>
        <v>2004</v>
      </c>
      <c r="BQ14" s="29">
        <f>'02_Assumptions'!I8</f>
        <v>2004</v>
      </c>
    </row>
    <row r="15" spans="1:70" x14ac:dyDescent="0.25">
      <c r="A15" s="18" t="s">
        <v>1838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>
        <v>938</v>
      </c>
      <c r="M15" s="29"/>
      <c r="N15" s="29">
        <v>1041</v>
      </c>
      <c r="O15" s="29">
        <v>1068</v>
      </c>
      <c r="P15" s="29">
        <v>1158</v>
      </c>
      <c r="Q15" s="29">
        <v>1234</v>
      </c>
      <c r="R15" s="29">
        <v>1365</v>
      </c>
      <c r="S15" s="29"/>
      <c r="T15" s="29">
        <v>1561</v>
      </c>
      <c r="U15" s="29">
        <v>1595</v>
      </c>
      <c r="V15" s="29">
        <v>1623</v>
      </c>
      <c r="W15" s="29">
        <v>1656</v>
      </c>
      <c r="X15" s="29">
        <v>1687</v>
      </c>
      <c r="Y15" s="29"/>
      <c r="Z15" s="29"/>
      <c r="AA15" s="29">
        <v>1756</v>
      </c>
      <c r="AB15" s="29">
        <v>1767</v>
      </c>
      <c r="AC15" s="29">
        <v>1803</v>
      </c>
      <c r="AD15" s="29">
        <v>1851</v>
      </c>
      <c r="AE15" s="29">
        <v>1888</v>
      </c>
      <c r="AF15" s="29">
        <v>1919</v>
      </c>
      <c r="AG15" s="29">
        <v>1928</v>
      </c>
      <c r="AH15" s="29">
        <v>1934</v>
      </c>
      <c r="AI15" s="29">
        <v>1976</v>
      </c>
      <c r="AJ15" s="29">
        <v>2026</v>
      </c>
      <c r="AK15" s="29"/>
      <c r="AL15" s="29"/>
      <c r="AM15" s="29"/>
      <c r="AN15" s="29"/>
      <c r="AO15" s="29"/>
      <c r="AP15" s="29">
        <v>460</v>
      </c>
      <c r="AQ15" s="29">
        <v>1889</v>
      </c>
      <c r="AR15" s="29">
        <v>1704</v>
      </c>
      <c r="AS15" s="29">
        <v>1721</v>
      </c>
      <c r="AT15" s="29">
        <v>1726</v>
      </c>
      <c r="AU15" s="29">
        <v>1735</v>
      </c>
      <c r="AV15" s="29">
        <v>1735</v>
      </c>
      <c r="AW15" s="29">
        <v>1770</v>
      </c>
      <c r="AX15" s="29">
        <v>1864</v>
      </c>
      <c r="AY15" s="29">
        <v>1864</v>
      </c>
      <c r="AZ15" s="29">
        <v>2002</v>
      </c>
      <c r="BA15" s="29">
        <v>2129</v>
      </c>
      <c r="BB15" s="29">
        <v>2180</v>
      </c>
      <c r="BC15" s="29">
        <v>2184</v>
      </c>
      <c r="BD15" s="29">
        <v>2204</v>
      </c>
      <c r="BE15" s="29">
        <v>2233</v>
      </c>
      <c r="BF15" s="29">
        <v>2290</v>
      </c>
      <c r="BG15" s="29">
        <v>2370</v>
      </c>
      <c r="BH15" s="29">
        <v>2482</v>
      </c>
      <c r="BI15" s="29">
        <v>2559</v>
      </c>
      <c r="BJ15" s="29">
        <v>2758</v>
      </c>
      <c r="BK15" s="29">
        <v>2758</v>
      </c>
      <c r="BL15" s="29">
        <v>2839</v>
      </c>
      <c r="BM15" s="29">
        <v>2962</v>
      </c>
      <c r="BN15" s="29">
        <v>3051</v>
      </c>
      <c r="BO15" s="29">
        <f>'02_Assumptions'!G9</f>
        <v>3559</v>
      </c>
      <c r="BP15" s="29">
        <f>'02_Assumptions'!H9</f>
        <v>4259</v>
      </c>
      <c r="BQ15" s="29">
        <f>'02_Assumptions'!I9</f>
        <v>4759</v>
      </c>
    </row>
    <row r="16" spans="1:70" x14ac:dyDescent="0.25">
      <c r="A16" s="18" t="s">
        <v>1839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>
        <v>550</v>
      </c>
      <c r="AP16" s="29"/>
      <c r="AQ16" s="29">
        <v>825</v>
      </c>
      <c r="AR16" s="29">
        <v>516</v>
      </c>
      <c r="AS16" s="29">
        <v>460</v>
      </c>
      <c r="AT16" s="29">
        <v>464</v>
      </c>
      <c r="AU16" s="29">
        <v>468</v>
      </c>
      <c r="AV16" s="29">
        <v>470</v>
      </c>
      <c r="AW16" s="29">
        <v>475</v>
      </c>
      <c r="AX16" s="29">
        <v>483</v>
      </c>
      <c r="AY16" s="29">
        <v>483</v>
      </c>
      <c r="AZ16" s="29">
        <v>483</v>
      </c>
      <c r="BA16" s="29">
        <v>487</v>
      </c>
      <c r="BB16" s="29">
        <v>495</v>
      </c>
      <c r="BC16" s="29">
        <v>503</v>
      </c>
      <c r="BD16" s="29">
        <v>514</v>
      </c>
      <c r="BE16" s="29">
        <v>523</v>
      </c>
      <c r="BF16" s="29">
        <v>558</v>
      </c>
      <c r="BG16" s="29">
        <v>586</v>
      </c>
      <c r="BH16" s="29">
        <v>619</v>
      </c>
      <c r="BI16" s="29">
        <v>646</v>
      </c>
      <c r="BJ16" s="29">
        <v>995</v>
      </c>
      <c r="BK16" s="29">
        <v>995</v>
      </c>
      <c r="BL16" s="29">
        <v>621</v>
      </c>
      <c r="BM16" s="29">
        <v>559</v>
      </c>
      <c r="BN16" s="29">
        <v>756</v>
      </c>
      <c r="BO16" s="29">
        <f>'02_Assumptions'!G10</f>
        <v>811</v>
      </c>
      <c r="BP16" s="29">
        <f>'02_Assumptions'!H10</f>
        <v>911</v>
      </c>
      <c r="BQ16" s="29">
        <f>'02_Assumptions'!I10</f>
        <v>1011</v>
      </c>
    </row>
    <row r="18" spans="1:69" x14ac:dyDescent="0.25">
      <c r="A18" s="18" t="s">
        <v>1840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>
        <f>Q$8/Q$13</f>
        <v>2.487308075772682</v>
      </c>
      <c r="R18" s="34">
        <f>R$8/R$13</f>
        <v>2.2566332665330662</v>
      </c>
      <c r="S18" s="34"/>
      <c r="T18" s="34">
        <f>T$8/T$13</f>
        <v>2.5501449275362318</v>
      </c>
      <c r="U18" s="34">
        <f>U$8/U$13</f>
        <v>3.3508340248962658</v>
      </c>
      <c r="V18" s="34">
        <f>V$8/V$13</f>
        <v>1.0645634095634098</v>
      </c>
      <c r="W18" s="34">
        <f>W$8/W$13</f>
        <v>2.2838818565400847</v>
      </c>
      <c r="X18" s="34">
        <f>X$8/X$13</f>
        <v>2.4380878885316188</v>
      </c>
      <c r="Y18" s="34"/>
      <c r="Z18" s="34"/>
      <c r="AA18" s="34">
        <f t="shared" ref="AA18:AF18" si="8">AA$8/AA$13</f>
        <v>2.7179735682819386</v>
      </c>
      <c r="AB18" s="34">
        <f t="shared" si="8"/>
        <v>2.5980374037403742</v>
      </c>
      <c r="AC18" s="34">
        <f t="shared" si="8"/>
        <v>3.221807150595883</v>
      </c>
      <c r="AD18" s="34">
        <f t="shared" si="8"/>
        <v>3.1675275080906151</v>
      </c>
      <c r="AE18" s="34">
        <f t="shared" si="8"/>
        <v>2.8464209401709404</v>
      </c>
      <c r="AF18" s="34">
        <f t="shared" si="8"/>
        <v>2.3922665964172811</v>
      </c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>
        <f t="shared" ref="AR18:BN18" si="9">AR$8/AR$13</f>
        <v>2.3050972762645912</v>
      </c>
      <c r="AS18" s="34">
        <f t="shared" si="9"/>
        <v>2.4236969696969699</v>
      </c>
      <c r="AT18" s="34">
        <f t="shared" si="9"/>
        <v>2.5030303030303029</v>
      </c>
      <c r="AU18" s="34">
        <f t="shared" si="9"/>
        <v>2.4600410958904106</v>
      </c>
      <c r="AV18" s="34">
        <f t="shared" si="9"/>
        <v>2.3239383561643838</v>
      </c>
      <c r="AW18" s="34">
        <f t="shared" si="9"/>
        <v>2.5595798237022529</v>
      </c>
      <c r="AX18" s="34">
        <f t="shared" si="9"/>
        <v>2.613805500982318</v>
      </c>
      <c r="AY18" s="34">
        <f t="shared" si="9"/>
        <v>2.613805500982318</v>
      </c>
      <c r="AZ18" s="34">
        <f t="shared" si="9"/>
        <v>2.5704444444444445</v>
      </c>
      <c r="BA18" s="34">
        <f t="shared" si="9"/>
        <v>2.7875555555555556</v>
      </c>
      <c r="BB18" s="34">
        <f t="shared" si="9"/>
        <v>2.8041812807881774</v>
      </c>
      <c r="BC18" s="34">
        <f t="shared" si="9"/>
        <v>2.7667743842364536</v>
      </c>
      <c r="BD18" s="34">
        <f t="shared" si="9"/>
        <v>2.8644497041420118</v>
      </c>
      <c r="BE18" s="34">
        <f t="shared" si="9"/>
        <v>2.9629625246548321</v>
      </c>
      <c r="BF18" s="34">
        <f t="shared" si="9"/>
        <v>3.0419644619940773</v>
      </c>
      <c r="BG18" s="34">
        <f t="shared" si="9"/>
        <v>3.4784199604743078</v>
      </c>
      <c r="BH18" s="34">
        <f t="shared" si="9"/>
        <v>3.2817005928853753</v>
      </c>
      <c r="BI18" s="34">
        <f t="shared" si="9"/>
        <v>3.2468063241106719</v>
      </c>
      <c r="BJ18" s="34">
        <f t="shared" si="9"/>
        <v>3.7634852071005915</v>
      </c>
      <c r="BK18" s="34">
        <f t="shared" si="9"/>
        <v>3.6364477317554242</v>
      </c>
      <c r="BL18" s="34">
        <f t="shared" si="9"/>
        <v>3.2303905325443787</v>
      </c>
      <c r="BM18" s="34">
        <f t="shared" si="9"/>
        <v>3.6178379446640316</v>
      </c>
      <c r="BN18" s="34">
        <f t="shared" si="9"/>
        <v>3.7047183794466405</v>
      </c>
      <c r="BO18" s="35">
        <f>AVERAGE(BL18,BM18,BN18)</f>
        <v>3.5176489522183503</v>
      </c>
      <c r="BP18" s="35">
        <f>BO18*(1+'02_Assumptions'!$B$17)</f>
        <v>3.5176489522183503</v>
      </c>
      <c r="BQ18" s="35">
        <f>BP18*(1+'02_Assumptions'!$B$17)</f>
        <v>3.5176489522183503</v>
      </c>
    </row>
    <row r="19" spans="1:69" x14ac:dyDescent="0.25">
      <c r="A19" s="18" t="s">
        <v>1841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>
        <f>N$9/N$14</f>
        <v>7.7094941634241243</v>
      </c>
      <c r="O19" s="34">
        <f>O$9/O$14</f>
        <v>2.7567081712062254</v>
      </c>
      <c r="P19" s="34">
        <f>P$9/P$14</f>
        <v>4.158254368932039</v>
      </c>
      <c r="Q19" s="34">
        <f>Q$9/Q$14</f>
        <v>4.9454898157129001</v>
      </c>
      <c r="R19" s="34">
        <f>R$9/R$14</f>
        <v>4.7983140655105974</v>
      </c>
      <c r="S19" s="34"/>
      <c r="T19" s="34">
        <f t="shared" ref="T19:Y19" si="10">T$9/T$14</f>
        <v>4.8880375586854461</v>
      </c>
      <c r="U19" s="34">
        <f t="shared" si="10"/>
        <v>6.1322280701754392</v>
      </c>
      <c r="V19" s="34">
        <f t="shared" si="10"/>
        <v>1.835758007117438</v>
      </c>
      <c r="W19" s="34">
        <f t="shared" si="10"/>
        <v>3.574691151919867</v>
      </c>
      <c r="X19" s="34">
        <f t="shared" si="10"/>
        <v>154.28293103448274</v>
      </c>
      <c r="Y19" s="34">
        <f t="shared" si="10"/>
        <v>5.9410571428571437</v>
      </c>
      <c r="Z19" s="34"/>
      <c r="AA19" s="34">
        <f t="shared" ref="AA19:AF19" si="11">AA$9/AA$14</f>
        <v>3.4533272370999351</v>
      </c>
      <c r="AB19" s="34">
        <f t="shared" si="11"/>
        <v>3.0583824855119128</v>
      </c>
      <c r="AC19" s="34">
        <f t="shared" si="11"/>
        <v>3.6259656019656021</v>
      </c>
      <c r="AD19" s="34">
        <f t="shared" si="11"/>
        <v>3.5770771041789291</v>
      </c>
      <c r="AE19" s="34">
        <f t="shared" si="11"/>
        <v>3.2814448295782785</v>
      </c>
      <c r="AF19" s="34">
        <f t="shared" si="11"/>
        <v>2.7694191718661374</v>
      </c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>
        <f t="shared" ref="AR19:BN19" si="12">AR$9/AR$14</f>
        <v>2.4266666666666667</v>
      </c>
      <c r="AS19" s="34">
        <f t="shared" si="12"/>
        <v>2.542861644510094</v>
      </c>
      <c r="AT19" s="34">
        <f t="shared" si="12"/>
        <v>2.6273891625615766</v>
      </c>
      <c r="AU19" s="34">
        <f t="shared" si="12"/>
        <v>2.5797399014778328</v>
      </c>
      <c r="AV19" s="34">
        <f t="shared" si="12"/>
        <v>2.4370147783251235</v>
      </c>
      <c r="AW19" s="34">
        <f t="shared" si="12"/>
        <v>2.686789733464956</v>
      </c>
      <c r="AX19" s="34">
        <f t="shared" si="12"/>
        <v>2.7342989639861863</v>
      </c>
      <c r="AY19" s="34">
        <f t="shared" si="12"/>
        <v>2.7342989639861863</v>
      </c>
      <c r="AZ19" s="34">
        <f t="shared" si="12"/>
        <v>2.5450823877651705</v>
      </c>
      <c r="BA19" s="34">
        <f t="shared" si="12"/>
        <v>2.7627772839506171</v>
      </c>
      <c r="BB19" s="34">
        <f t="shared" si="12"/>
        <v>2.7737896296296296</v>
      </c>
      <c r="BC19" s="34">
        <f t="shared" si="12"/>
        <v>2.739493821057835</v>
      </c>
      <c r="BD19" s="34">
        <f t="shared" si="12"/>
        <v>2.8348130563798222</v>
      </c>
      <c r="BE19" s="34">
        <f t="shared" si="12"/>
        <v>2.9308571428571426</v>
      </c>
      <c r="BF19" s="34">
        <f t="shared" si="12"/>
        <v>3.0134836471754212</v>
      </c>
      <c r="BG19" s="34">
        <f t="shared" si="12"/>
        <v>3.2401189885969259</v>
      </c>
      <c r="BH19" s="34">
        <f t="shared" si="12"/>
        <v>3.0568765493306893</v>
      </c>
      <c r="BI19" s="34">
        <f t="shared" si="12"/>
        <v>3.0379282868525896</v>
      </c>
      <c r="BJ19" s="34">
        <f t="shared" si="12"/>
        <v>3.5283266932270916</v>
      </c>
      <c r="BK19" s="34">
        <f t="shared" si="12"/>
        <v>3.720780876494024</v>
      </c>
      <c r="BL19" s="34">
        <f t="shared" si="12"/>
        <v>3.3086021934197412</v>
      </c>
      <c r="BM19" s="34">
        <f t="shared" si="12"/>
        <v>3.6999660847880302</v>
      </c>
      <c r="BN19" s="34">
        <f t="shared" si="12"/>
        <v>3.8497849301397205</v>
      </c>
      <c r="BO19" s="35">
        <f>AVERAGE(BL19,BM19,BN19)</f>
        <v>3.6194510694491639</v>
      </c>
      <c r="BP19" s="35">
        <f>BO19*(1+'02_Assumptions'!$B$18)</f>
        <v>3.7280346015326389</v>
      </c>
      <c r="BQ19" s="35">
        <f>BP19*(1+'02_Assumptions'!$B$18)</f>
        <v>3.8398756395786182</v>
      </c>
    </row>
    <row r="20" spans="1:69" x14ac:dyDescent="0.25">
      <c r="A20" s="18" t="s">
        <v>1842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>
        <f>N$10/N$15</f>
        <v>1.2668587896253602</v>
      </c>
      <c r="O20" s="34">
        <f>O$10/O$15</f>
        <v>0.57053932584269662</v>
      </c>
      <c r="P20" s="34">
        <f>P$10/P$15</f>
        <v>1.006919689119171</v>
      </c>
      <c r="Q20" s="34">
        <f>Q$10/Q$15</f>
        <v>1.2248217179902756</v>
      </c>
      <c r="R20" s="34">
        <f>R$10/R$15</f>
        <v>1.0470549450549451</v>
      </c>
      <c r="S20" s="34"/>
      <c r="T20" s="34">
        <f>T$10/T$15</f>
        <v>1.0421524663677131</v>
      </c>
      <c r="U20" s="34">
        <f>U$10/U$15</f>
        <v>1.3677699059561128</v>
      </c>
      <c r="V20" s="34">
        <f>V$10/V$15</f>
        <v>0.43468761552680224</v>
      </c>
      <c r="W20" s="34">
        <f>W$10/W$15</f>
        <v>0.91328502415458945</v>
      </c>
      <c r="X20" s="34">
        <f>X$10/X$15</f>
        <v>0.95676289270895076</v>
      </c>
      <c r="Y20" s="34"/>
      <c r="Z20" s="34"/>
      <c r="AA20" s="34">
        <f t="shared" ref="AA20:AH20" si="13">AA$10/AA$15</f>
        <v>0.98920045558086567</v>
      </c>
      <c r="AB20" s="34">
        <f t="shared" si="13"/>
        <v>0.96248783248443692</v>
      </c>
      <c r="AC20" s="34">
        <f t="shared" si="13"/>
        <v>1.2308374930671104</v>
      </c>
      <c r="AD20" s="34">
        <f t="shared" si="13"/>
        <v>1.2604565099945975</v>
      </c>
      <c r="AE20" s="34">
        <f t="shared" si="13"/>
        <v>1.2079438559322033</v>
      </c>
      <c r="AF20" s="34">
        <f t="shared" si="13"/>
        <v>1.2077936425221469</v>
      </c>
      <c r="AG20" s="34">
        <f t="shared" si="13"/>
        <v>0.13422821576763488</v>
      </c>
      <c r="AH20" s="34">
        <f t="shared" si="13"/>
        <v>1.1268459152016548</v>
      </c>
      <c r="AI20" s="34"/>
      <c r="AJ20" s="34"/>
      <c r="AK20" s="34"/>
      <c r="AL20" s="34"/>
      <c r="AM20" s="34"/>
      <c r="AN20" s="34"/>
      <c r="AO20" s="34"/>
      <c r="AP20" s="34"/>
      <c r="AQ20" s="34"/>
      <c r="AR20" s="34">
        <f t="shared" ref="AR20:BN20" si="14">AR$10/AR$15</f>
        <v>1.9481690140845069</v>
      </c>
      <c r="AS20" s="34">
        <f t="shared" si="14"/>
        <v>2.0183056362579896</v>
      </c>
      <c r="AT20" s="34">
        <f t="shared" si="14"/>
        <v>2.0783314020857473</v>
      </c>
      <c r="AU20" s="34">
        <f t="shared" si="14"/>
        <v>2.0300541786743516</v>
      </c>
      <c r="AV20" s="34">
        <f t="shared" si="14"/>
        <v>1.9177406340057634</v>
      </c>
      <c r="AW20" s="34">
        <f t="shared" si="14"/>
        <v>2.0684022598870055</v>
      </c>
      <c r="AX20" s="34">
        <f t="shared" si="14"/>
        <v>1.9998111587982832</v>
      </c>
      <c r="AY20" s="34">
        <f t="shared" si="14"/>
        <v>1.9998111587982832</v>
      </c>
      <c r="AZ20" s="34">
        <f t="shared" si="14"/>
        <v>1.7622052947052946</v>
      </c>
      <c r="BA20" s="34">
        <f t="shared" si="14"/>
        <v>1.7970502583372476</v>
      </c>
      <c r="BB20" s="34">
        <f t="shared" si="14"/>
        <v>1.7620045871559633</v>
      </c>
      <c r="BC20" s="34">
        <f t="shared" si="14"/>
        <v>1.7353159340659341</v>
      </c>
      <c r="BD20" s="34">
        <f t="shared" si="14"/>
        <v>1.7785208711433758</v>
      </c>
      <c r="BE20" s="34">
        <f t="shared" si="14"/>
        <v>1.8157948947604121</v>
      </c>
      <c r="BF20" s="34">
        <f t="shared" si="14"/>
        <v>1.8160152838427948</v>
      </c>
      <c r="BG20" s="34">
        <f t="shared" si="14"/>
        <v>1.880126582278481</v>
      </c>
      <c r="BH20" s="34">
        <f t="shared" si="14"/>
        <v>1.6937550362610796</v>
      </c>
      <c r="BI20" s="34">
        <f t="shared" si="14"/>
        <v>1.6253223915592028</v>
      </c>
      <c r="BJ20" s="34">
        <f t="shared" si="14"/>
        <v>1.7514865844815082</v>
      </c>
      <c r="BK20" s="34">
        <f t="shared" si="14"/>
        <v>1.6755888324873094</v>
      </c>
      <c r="BL20" s="34">
        <f t="shared" si="14"/>
        <v>1.4460190207819654</v>
      </c>
      <c r="BM20" s="34">
        <f t="shared" si="14"/>
        <v>1.5491411208642807</v>
      </c>
      <c r="BN20" s="34">
        <f t="shared" si="14"/>
        <v>1.5947545067191082</v>
      </c>
      <c r="BO20" s="35">
        <f>AVERAGE(BL20,BM20,BN20)</f>
        <v>1.5299715494551183</v>
      </c>
      <c r="BP20" s="35">
        <f>BO20*(1+'02_Assumptions'!$B$19)</f>
        <v>1.6523692734115278</v>
      </c>
      <c r="BQ20" s="35">
        <f>BP20*(1+'02_Assumptions'!$B$19)</f>
        <v>1.7845588152844503</v>
      </c>
    </row>
    <row r="21" spans="1:69" x14ac:dyDescent="0.25">
      <c r="A21" s="18" t="s">
        <v>1843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>
        <f t="shared" ref="AR21:BN21" si="15">AR$11/AR$16</f>
        <v>0.57139534883720922</v>
      </c>
      <c r="AS21" s="34">
        <f t="shared" si="15"/>
        <v>0.67065652173913048</v>
      </c>
      <c r="AT21" s="34">
        <f t="shared" si="15"/>
        <v>0.68663793103448278</v>
      </c>
      <c r="AU21" s="34">
        <f t="shared" si="15"/>
        <v>0.6684230769230769</v>
      </c>
      <c r="AV21" s="34">
        <f t="shared" si="15"/>
        <v>0.62875531914893612</v>
      </c>
      <c r="AW21" s="34">
        <f t="shared" si="15"/>
        <v>0.68454947368421049</v>
      </c>
      <c r="AX21" s="34">
        <f t="shared" si="15"/>
        <v>0.6854534161490683</v>
      </c>
      <c r="AY21" s="34">
        <f t="shared" si="15"/>
        <v>0.6854534161490683</v>
      </c>
      <c r="AZ21" s="34">
        <f t="shared" si="15"/>
        <v>0.55080952380952375</v>
      </c>
      <c r="BA21" s="34">
        <f t="shared" si="15"/>
        <v>0.59242710472279259</v>
      </c>
      <c r="BB21" s="34">
        <f t="shared" si="15"/>
        <v>0.58517575757575757</v>
      </c>
      <c r="BC21" s="34">
        <f t="shared" si="15"/>
        <v>0.56818687872763418</v>
      </c>
      <c r="BD21" s="34">
        <f t="shared" si="15"/>
        <v>0.57508949416342414</v>
      </c>
      <c r="BE21" s="34">
        <f t="shared" si="15"/>
        <v>0.58463097514340345</v>
      </c>
      <c r="BF21" s="34">
        <f t="shared" si="15"/>
        <v>0.56201612903225806</v>
      </c>
      <c r="BG21" s="34">
        <f t="shared" si="15"/>
        <v>0.58296757679180877</v>
      </c>
      <c r="BH21" s="34">
        <f t="shared" si="15"/>
        <v>0.52067689822294017</v>
      </c>
      <c r="BI21" s="34">
        <f t="shared" si="15"/>
        <v>0.49360990712074304</v>
      </c>
      <c r="BJ21" s="34">
        <f t="shared" si="15"/>
        <v>0.37220703517587939</v>
      </c>
      <c r="BK21" s="34">
        <f t="shared" si="15"/>
        <v>0.32365829145728647</v>
      </c>
      <c r="BL21" s="34">
        <f t="shared" si="15"/>
        <v>0.46067632850241541</v>
      </c>
      <c r="BM21" s="34">
        <f t="shared" si="15"/>
        <v>0.57202146690518785</v>
      </c>
      <c r="BN21" s="34">
        <f t="shared" si="15"/>
        <v>0.44082010582010583</v>
      </c>
      <c r="BO21" s="35">
        <f>AVERAGE(BL21,BM21,BN21)</f>
        <v>0.4911726337425697</v>
      </c>
      <c r="BP21" s="35">
        <f>BO21*(1+'02_Assumptions'!$B$20)</f>
        <v>0.51573126542969816</v>
      </c>
      <c r="BQ21" s="35">
        <f>BP21*(1+'02_Assumptions'!$B$20)</f>
        <v>0.54151782870118315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9"/>
  <sheetViews>
    <sheetView workbookViewId="0"/>
  </sheetViews>
  <sheetFormatPr defaultRowHeight="15" x14ac:dyDescent="0.25"/>
  <cols>
    <col min="1" max="1" width="30" customWidth="1"/>
    <col min="2" max="9" width="11" customWidth="1"/>
    <col min="10" max="10" width="40" customWidth="1"/>
  </cols>
  <sheetData>
    <row r="1" spans="1:10" x14ac:dyDescent="0.25">
      <c r="A1" s="19" t="s">
        <v>1844</v>
      </c>
      <c r="B1" s="19" t="s">
        <v>1668</v>
      </c>
      <c r="C1" s="19" t="s">
        <v>1669</v>
      </c>
      <c r="D1" s="19" t="s">
        <v>1670</v>
      </c>
      <c r="E1" s="19" t="s">
        <v>1671</v>
      </c>
      <c r="F1" s="19" t="s">
        <v>1672</v>
      </c>
      <c r="G1" s="19" t="s">
        <v>1673</v>
      </c>
      <c r="H1" s="19" t="s">
        <v>1674</v>
      </c>
      <c r="I1" s="19" t="s">
        <v>1675</v>
      </c>
      <c r="J1" s="19" t="s">
        <v>1676</v>
      </c>
    </row>
    <row r="2" spans="1:10" x14ac:dyDescent="0.25">
      <c r="A2" s="1" t="s">
        <v>1845</v>
      </c>
    </row>
    <row r="3" spans="1:10" x14ac:dyDescent="0.25">
      <c r="A3" s="36" t="s">
        <v>1846</v>
      </c>
      <c r="B3" s="20"/>
      <c r="C3" s="20"/>
      <c r="D3" s="20"/>
      <c r="E3" s="20">
        <v>1021</v>
      </c>
      <c r="F3" s="20">
        <v>1012</v>
      </c>
      <c r="G3" s="20">
        <f>'02_Assumptions'!G7</f>
        <v>1002</v>
      </c>
      <c r="H3" s="20">
        <f>'02_Assumptions'!H7</f>
        <v>992</v>
      </c>
      <c r="I3" s="20">
        <f>'02_Assumptions'!I7</f>
        <v>982</v>
      </c>
    </row>
    <row r="4" spans="1:10" x14ac:dyDescent="0.25">
      <c r="A4" s="36" t="s">
        <v>1847</v>
      </c>
      <c r="B4" s="22"/>
      <c r="C4" s="22"/>
      <c r="D4" s="22"/>
      <c r="E4" s="22"/>
      <c r="F4" s="22"/>
      <c r="G4" s="22">
        <f>'03a_Monthly_Data'!BO18</f>
        <v>3.5176489522183503</v>
      </c>
      <c r="H4" s="22">
        <f>'03a_Monthly_Data'!BP18</f>
        <v>3.5176489522183503</v>
      </c>
      <c r="I4" s="22">
        <f>'03a_Monthly_Data'!BQ18</f>
        <v>3.5176489522183503</v>
      </c>
    </row>
    <row r="5" spans="1:10" x14ac:dyDescent="0.25">
      <c r="A5" s="1" t="s">
        <v>1848</v>
      </c>
      <c r="B5" s="37"/>
      <c r="C5" s="37"/>
      <c r="D5" s="37">
        <v>28037</v>
      </c>
      <c r="E5" s="37">
        <v>30000</v>
      </c>
      <c r="F5" s="37">
        <v>37300</v>
      </c>
      <c r="G5" s="37">
        <f>'03a_Monthly_Data'!BO8</f>
        <v>42862.36475085951</v>
      </c>
      <c r="H5" s="37">
        <f>'03a_Monthly_Data'!BP8</f>
        <v>41874.093127207241</v>
      </c>
      <c r="I5" s="37">
        <f>'03a_Monthly_Data'!BQ8</f>
        <v>41451.97525294104</v>
      </c>
    </row>
    <row r="6" spans="1:10" x14ac:dyDescent="0.25">
      <c r="A6" s="1" t="s">
        <v>1849</v>
      </c>
    </row>
    <row r="7" spans="1:10" x14ac:dyDescent="0.25">
      <c r="A7" s="36" t="s">
        <v>1846</v>
      </c>
      <c r="B7" s="20"/>
      <c r="C7" s="20"/>
      <c r="D7" s="20"/>
      <c r="E7" s="20">
        <v>2026</v>
      </c>
      <c r="F7" s="20">
        <v>2008</v>
      </c>
      <c r="G7" s="20">
        <f>'02_Assumptions'!G8</f>
        <v>2004</v>
      </c>
      <c r="H7" s="20">
        <f>'02_Assumptions'!H8</f>
        <v>2004</v>
      </c>
      <c r="I7" s="20">
        <f>'02_Assumptions'!I8</f>
        <v>2004</v>
      </c>
    </row>
    <row r="8" spans="1:10" x14ac:dyDescent="0.25">
      <c r="A8" s="36" t="s">
        <v>1847</v>
      </c>
      <c r="B8" s="22"/>
      <c r="C8" s="22"/>
      <c r="D8" s="22"/>
      <c r="E8" s="22"/>
      <c r="F8" s="22"/>
      <c r="G8" s="22">
        <f>'03a_Monthly_Data'!BO19</f>
        <v>3.6194510694491639</v>
      </c>
      <c r="H8" s="22">
        <f>'03a_Monthly_Data'!BP19</f>
        <v>3.7280346015326389</v>
      </c>
      <c r="I8" s="22">
        <f>'03a_Monthly_Data'!BQ19</f>
        <v>3.8398756395786182</v>
      </c>
    </row>
    <row r="9" spans="1:10" x14ac:dyDescent="0.25">
      <c r="A9" s="1" t="s">
        <v>1848</v>
      </c>
      <c r="B9" s="37"/>
      <c r="C9" s="37"/>
      <c r="D9" s="37">
        <v>55607</v>
      </c>
      <c r="E9" s="37">
        <v>59500</v>
      </c>
      <c r="F9" s="37">
        <v>68400</v>
      </c>
      <c r="G9" s="37">
        <f>'03a_Monthly_Data'!BO9</f>
        <v>87100.324602232868</v>
      </c>
      <c r="H9" s="37">
        <f>'03a_Monthly_Data'!BP9</f>
        <v>89651.776097656897</v>
      </c>
      <c r="I9" s="37">
        <f>'03a_Monthly_Data'!BQ9</f>
        <v>92341.329380586612</v>
      </c>
    </row>
    <row r="10" spans="1:10" x14ac:dyDescent="0.25">
      <c r="A10" s="1" t="s">
        <v>1850</v>
      </c>
    </row>
    <row r="11" spans="1:10" x14ac:dyDescent="0.25">
      <c r="A11" s="36" t="s">
        <v>1846</v>
      </c>
      <c r="B11" s="20"/>
      <c r="C11" s="20"/>
      <c r="D11" s="20"/>
      <c r="E11" s="20">
        <v>1770</v>
      </c>
      <c r="F11" s="20">
        <v>2559</v>
      </c>
      <c r="G11" s="20">
        <f>'02_Assumptions'!G9</f>
        <v>3559</v>
      </c>
      <c r="H11" s="20">
        <f>'02_Assumptions'!H9</f>
        <v>4259</v>
      </c>
      <c r="I11" s="20">
        <f>'02_Assumptions'!I9</f>
        <v>4759</v>
      </c>
    </row>
    <row r="12" spans="1:10" x14ac:dyDescent="0.25">
      <c r="A12" s="36" t="s">
        <v>1847</v>
      </c>
      <c r="B12" s="22"/>
      <c r="C12" s="22"/>
      <c r="D12" s="22"/>
      <c r="E12" s="22"/>
      <c r="F12" s="22"/>
      <c r="G12" s="22">
        <f>'03a_Monthly_Data'!BO20</f>
        <v>1.5299715494551183</v>
      </c>
      <c r="H12" s="22">
        <f>'03a_Monthly_Data'!BP20</f>
        <v>1.6523692734115278</v>
      </c>
      <c r="I12" s="22">
        <f>'03a_Monthly_Data'!BQ20</f>
        <v>1.7845588152844503</v>
      </c>
    </row>
    <row r="13" spans="1:10" x14ac:dyDescent="0.25">
      <c r="A13" s="1" t="s">
        <v>1848</v>
      </c>
      <c r="B13" s="37"/>
      <c r="C13" s="37"/>
      <c r="D13" s="37">
        <v>31538</v>
      </c>
      <c r="E13" s="37">
        <v>41000</v>
      </c>
      <c r="F13" s="37">
        <v>46900</v>
      </c>
      <c r="G13" s="37">
        <f>'03a_Monthly_Data'!BO10</f>
        <v>61127.455211575354</v>
      </c>
      <c r="H13" s="37">
        <f>'03a_Monthly_Data'!BP10</f>
        <v>84449.288825516356</v>
      </c>
      <c r="I13" s="37">
        <f>'03a_Monthly_Data'!BQ10</f>
        <v>101912.58482326438</v>
      </c>
    </row>
    <row r="14" spans="1:10" x14ac:dyDescent="0.25">
      <c r="A14" s="1" t="s">
        <v>1851</v>
      </c>
    </row>
    <row r="15" spans="1:10" x14ac:dyDescent="0.25">
      <c r="A15" s="36" t="s">
        <v>1846</v>
      </c>
      <c r="B15" s="20"/>
      <c r="C15" s="20"/>
      <c r="D15" s="20"/>
      <c r="E15" s="20"/>
      <c r="F15" s="20"/>
      <c r="G15" s="20">
        <f>'02_Assumptions'!G10</f>
        <v>811</v>
      </c>
      <c r="H15" s="20">
        <f>'02_Assumptions'!H10</f>
        <v>911</v>
      </c>
      <c r="I15" s="20">
        <f>'02_Assumptions'!I10</f>
        <v>1011</v>
      </c>
    </row>
    <row r="16" spans="1:10" x14ac:dyDescent="0.25">
      <c r="A16" s="36" t="s">
        <v>1847</v>
      </c>
      <c r="B16" s="22"/>
      <c r="C16" s="22"/>
      <c r="D16" s="22"/>
      <c r="E16" s="22"/>
      <c r="F16" s="22"/>
      <c r="G16" s="22">
        <f>'03a_Monthly_Data'!BO21</f>
        <v>0.4911726337425697</v>
      </c>
      <c r="H16" s="22">
        <f>'03a_Monthly_Data'!BP21</f>
        <v>0.51573126542969816</v>
      </c>
      <c r="I16" s="22">
        <f>'03a_Monthly_Data'!BQ21</f>
        <v>0.54151782870118315</v>
      </c>
    </row>
    <row r="17" spans="1:9" x14ac:dyDescent="0.25">
      <c r="A17" s="1" t="s">
        <v>1848</v>
      </c>
      <c r="B17" s="37"/>
      <c r="C17" s="37"/>
      <c r="D17" s="37">
        <v>3098</v>
      </c>
      <c r="E17" s="37">
        <v>3841.2</v>
      </c>
      <c r="F17" s="37">
        <v>3566</v>
      </c>
      <c r="G17" s="37">
        <f>'03a_Monthly_Data'!BO11</f>
        <v>4419.8730417565675</v>
      </c>
      <c r="H17" s="37">
        <f>'03a_Monthly_Data'!BP11</f>
        <v>5637.9741936774608</v>
      </c>
      <c r="I17" s="37">
        <f>'03a_Monthly_Data'!BQ11</f>
        <v>6569.6942978027546</v>
      </c>
    </row>
    <row r="18" spans="1:9" x14ac:dyDescent="0.25">
      <c r="A18" s="1" t="s">
        <v>1852</v>
      </c>
      <c r="B18" s="38">
        <f t="shared" ref="B18:I18" si="0">B5+B9+B13+B17</f>
        <v>0</v>
      </c>
      <c r="C18" s="38">
        <f t="shared" si="0"/>
        <v>0</v>
      </c>
      <c r="D18" s="38">
        <f t="shared" si="0"/>
        <v>118280</v>
      </c>
      <c r="E18" s="38">
        <f t="shared" si="0"/>
        <v>134341.20000000001</v>
      </c>
      <c r="F18" s="38">
        <f t="shared" si="0"/>
        <v>156166</v>
      </c>
      <c r="G18" s="38">
        <f t="shared" si="0"/>
        <v>195510.01760642428</v>
      </c>
      <c r="H18" s="38">
        <f t="shared" si="0"/>
        <v>221613.13224405795</v>
      </c>
      <c r="I18" s="38">
        <f t="shared" si="0"/>
        <v>242275.58375459479</v>
      </c>
    </row>
    <row r="19" spans="1:9" x14ac:dyDescent="0.25">
      <c r="A19" s="36" t="s">
        <v>1853</v>
      </c>
      <c r="C19" s="39" t="e">
        <f t="shared" ref="C19:I19" si="1">C18/B18-1</f>
        <v>#DIV/0!</v>
      </c>
      <c r="D19" s="39" t="e">
        <f t="shared" si="1"/>
        <v>#DIV/0!</v>
      </c>
      <c r="E19" s="39">
        <f t="shared" si="1"/>
        <v>0.13578965167399404</v>
      </c>
      <c r="F19" s="39">
        <f t="shared" si="1"/>
        <v>0.16245798012821067</v>
      </c>
      <c r="G19" s="39">
        <f t="shared" si="1"/>
        <v>0.25193715409515693</v>
      </c>
      <c r="H19" s="39">
        <f t="shared" si="1"/>
        <v>0.13351292663775993</v>
      </c>
      <c r="I19" s="39">
        <f t="shared" si="1"/>
        <v>9.3236584408642909E-2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7"/>
  <sheetViews>
    <sheetView workbookViewId="0"/>
  </sheetViews>
  <sheetFormatPr defaultRowHeight="15" x14ac:dyDescent="0.25"/>
  <cols>
    <col min="1" max="1" width="30" customWidth="1"/>
    <col min="2" max="9" width="11" customWidth="1"/>
    <col min="10" max="10" width="40" customWidth="1"/>
    <col min="11" max="11" width="22" customWidth="1"/>
  </cols>
  <sheetData>
    <row r="1" spans="1:11" ht="25.5" x14ac:dyDescent="0.25">
      <c r="A1" s="19" t="s">
        <v>1854</v>
      </c>
      <c r="B1" s="19" t="s">
        <v>1668</v>
      </c>
      <c r="C1" s="19" t="s">
        <v>1669</v>
      </c>
      <c r="D1" s="19" t="s">
        <v>1670</v>
      </c>
      <c r="E1" s="19" t="s">
        <v>1671</v>
      </c>
      <c r="F1" s="19" t="s">
        <v>1672</v>
      </c>
      <c r="G1" s="19" t="s">
        <v>1673</v>
      </c>
      <c r="H1" s="19" t="s">
        <v>1674</v>
      </c>
      <c r="I1" s="19" t="s">
        <v>1675</v>
      </c>
      <c r="J1" s="19" t="s">
        <v>1676</v>
      </c>
      <c r="K1" s="19" t="s">
        <v>1855</v>
      </c>
    </row>
    <row r="2" spans="1:11" x14ac:dyDescent="0.25">
      <c r="A2" s="10" t="s">
        <v>1856</v>
      </c>
      <c r="B2" s="40">
        <v>122958.1</v>
      </c>
      <c r="C2" s="40">
        <v>133404.79999999999</v>
      </c>
      <c r="D2" s="40">
        <v>118279.8</v>
      </c>
      <c r="E2" s="40">
        <v>134341.20000000001</v>
      </c>
      <c r="F2" s="40">
        <v>155928.1</v>
      </c>
      <c r="G2" s="40">
        <f>'02_Assumptions'!$B$54+K2*(4-'02_Assumptions'!$B$53)/4</f>
        <v>193094.51320481821</v>
      </c>
      <c r="H2" s="40">
        <f>'03_Revenue_Model'!H18</f>
        <v>221613.13224405795</v>
      </c>
      <c r="I2" s="40">
        <f>'03_Revenue_Model'!I18</f>
        <v>242275.58375459479</v>
      </c>
      <c r="J2" s="41" t="s">
        <v>1857</v>
      </c>
      <c r="K2" s="42">
        <f>'03_Revenue_Model'!G18</f>
        <v>195510.01760642428</v>
      </c>
    </row>
    <row r="3" spans="1:11" x14ac:dyDescent="0.25">
      <c r="A3" s="18" t="s">
        <v>1858</v>
      </c>
      <c r="B3" s="39"/>
      <c r="C3" s="39">
        <v>8.5000000000000006E-2</v>
      </c>
      <c r="D3" s="39">
        <v>-0.1134</v>
      </c>
      <c r="E3" s="39">
        <v>0.1358</v>
      </c>
      <c r="F3" s="39">
        <v>0.16070000000000001</v>
      </c>
      <c r="G3" s="39">
        <f>G2/F2-1</f>
        <v>0.23835609620599629</v>
      </c>
      <c r="H3" s="39">
        <f>H2/G2-1</f>
        <v>0.14769253960618567</v>
      </c>
      <c r="I3" s="39">
        <f>I2/H2-1</f>
        <v>9.3236584408642909E-2</v>
      </c>
      <c r="J3" s="41"/>
    </row>
    <row r="4" spans="1:11" x14ac:dyDescent="0.25">
      <c r="A4" s="18" t="s">
        <v>1859</v>
      </c>
      <c r="B4" s="20">
        <v>-95326</v>
      </c>
      <c r="C4" s="20">
        <v>-102542.7</v>
      </c>
      <c r="D4" s="20">
        <v>-95759.2</v>
      </c>
      <c r="E4" s="20">
        <v>-106841.9</v>
      </c>
      <c r="F4" s="20">
        <v>-124926.3</v>
      </c>
      <c r="G4" s="20">
        <f>'02_Assumptions'!$B$55+K4*(4-'02_Assumptions'!$B$53)/4</f>
        <v>-152899.51370953649</v>
      </c>
      <c r="H4" s="20">
        <f>-H2*(1-'02_Assumptions'!H23)</f>
        <v>-175539.7620505183</v>
      </c>
      <c r="I4" s="20">
        <f>-I2*(1-'02_Assumptions'!I23)</f>
        <v>-191906.48989201454</v>
      </c>
      <c r="J4" s="41"/>
      <c r="K4" s="42">
        <f>-K2*(1-'02_Assumptions'!G23)</f>
        <v>-154863.48494604867</v>
      </c>
    </row>
    <row r="5" spans="1:11" x14ac:dyDescent="0.25">
      <c r="A5" s="10" t="s">
        <v>1860</v>
      </c>
      <c r="B5" s="37">
        <v>27632.100000000009</v>
      </c>
      <c r="C5" s="37">
        <v>30862.099999999991</v>
      </c>
      <c r="D5" s="37">
        <v>22520.600000000009</v>
      </c>
      <c r="E5" s="37">
        <v>27499.300000000021</v>
      </c>
      <c r="F5" s="37">
        <v>31001.8</v>
      </c>
      <c r="G5" s="37">
        <f>G2+G4</f>
        <v>40194.999495281721</v>
      </c>
      <c r="H5" s="37">
        <f>H2+H4</f>
        <v>46073.370193539653</v>
      </c>
      <c r="I5" s="37">
        <f>I2+I4</f>
        <v>50369.093862580252</v>
      </c>
      <c r="J5" s="41"/>
      <c r="K5" s="42">
        <f>K2+K4</f>
        <v>40646.532660375611</v>
      </c>
    </row>
    <row r="6" spans="1:11" x14ac:dyDescent="0.25">
      <c r="A6" s="18" t="s">
        <v>1861</v>
      </c>
      <c r="B6" s="27">
        <v>0.22470000000000001</v>
      </c>
      <c r="C6" s="27">
        <v>0.23130000000000001</v>
      </c>
      <c r="D6" s="27">
        <v>0.19040000000000001</v>
      </c>
      <c r="E6" s="27">
        <v>0.20469999999999999</v>
      </c>
      <c r="F6" s="27">
        <v>0.1988</v>
      </c>
      <c r="G6" s="27">
        <f>G5/G2</f>
        <v>0.20816230781579118</v>
      </c>
      <c r="H6" s="27">
        <f>H5/H2</f>
        <v>0.20790000000000003</v>
      </c>
      <c r="I6" s="27">
        <f>I5/I2</f>
        <v>0.20789999999999997</v>
      </c>
      <c r="J6" s="41"/>
    </row>
    <row r="7" spans="1:11" x14ac:dyDescent="0.25">
      <c r="A7" s="18" t="s">
        <v>1862</v>
      </c>
      <c r="B7" s="20">
        <v>-21737.599999999999</v>
      </c>
      <c r="C7" s="20">
        <v>-24217.8</v>
      </c>
      <c r="D7" s="20">
        <v>-22084.400000000001</v>
      </c>
      <c r="E7" s="20">
        <v>-23415.599999999999</v>
      </c>
      <c r="F7" s="20">
        <v>-23927</v>
      </c>
      <c r="G7" s="20">
        <f>'02_Assumptions'!$B$56+K7*(4-'02_Assumptions'!$B$53)/4</f>
        <v>-28084.47766601912</v>
      </c>
      <c r="H7" s="20">
        <f>-H2*'02_Assumptions'!H24</f>
        <v>-30782.064068699648</v>
      </c>
      <c r="I7" s="20">
        <f>-I2*'02_Assumptions'!I24</f>
        <v>-32149.96996423473</v>
      </c>
      <c r="J7" s="41"/>
      <c r="K7" s="42">
        <f>-K2*'02_Assumptions'!G24</f>
        <v>-28368.503554692164</v>
      </c>
    </row>
    <row r="8" spans="1:11" x14ac:dyDescent="0.25">
      <c r="A8" s="10" t="s">
        <v>1863</v>
      </c>
      <c r="B8" s="37">
        <v>5894.5000000000036</v>
      </c>
      <c r="C8" s="37">
        <v>6644.299999999992</v>
      </c>
      <c r="D8" s="37">
        <v>436.20000000000442</v>
      </c>
      <c r="E8" s="37">
        <v>4083.7000000000189</v>
      </c>
      <c r="F8" s="37">
        <v>7074.8000000000029</v>
      </c>
      <c r="G8" s="37">
        <f>G5+G7</f>
        <v>12110.521829262601</v>
      </c>
      <c r="H8" s="37">
        <f>H5+H7</f>
        <v>15291.306124840004</v>
      </c>
      <c r="I8" s="37">
        <f>I5+I7</f>
        <v>18219.123898345522</v>
      </c>
      <c r="J8" s="41"/>
      <c r="K8" s="42">
        <f>K5+K7</f>
        <v>12278.029105683447</v>
      </c>
    </row>
    <row r="9" spans="1:11" x14ac:dyDescent="0.25">
      <c r="A9" s="18" t="s">
        <v>1864</v>
      </c>
      <c r="B9" s="27">
        <v>4.7899999999999998E-2</v>
      </c>
      <c r="C9" s="27">
        <v>4.9799999999999997E-2</v>
      </c>
      <c r="D9" s="27">
        <v>3.7000000000000002E-3</v>
      </c>
      <c r="E9" s="27">
        <v>3.04E-2</v>
      </c>
      <c r="F9" s="27">
        <v>4.5400000000000003E-2</v>
      </c>
      <c r="G9" s="27">
        <f>G8/G2</f>
        <v>6.2718104353471665E-2</v>
      </c>
      <c r="H9" s="27">
        <f>H8/H2</f>
        <v>6.900000000000002E-2</v>
      </c>
      <c r="I9" s="27">
        <f>I8/I2</f>
        <v>7.5199999999999975E-2</v>
      </c>
      <c r="J9" s="41"/>
    </row>
    <row r="10" spans="1:11" x14ac:dyDescent="0.25">
      <c r="A10" s="18" t="s">
        <v>1865</v>
      </c>
      <c r="B10" s="20">
        <v>2920.7</v>
      </c>
      <c r="C10" s="20">
        <v>3540.3</v>
      </c>
      <c r="D10" s="20">
        <v>3351.3</v>
      </c>
      <c r="E10" s="20">
        <v>2913.4</v>
      </c>
      <c r="F10" s="20">
        <v>1890.9</v>
      </c>
      <c r="G10" s="20">
        <f>G2*'02_Assumptions'!$B$33</f>
        <v>3264.5827264260279</v>
      </c>
      <c r="H10" s="20">
        <f>H2*'02_Assumptions'!$B$33</f>
        <v>3746.7372400463737</v>
      </c>
      <c r="I10" s="20">
        <f>I2*'02_Assumptions'!$B$33</f>
        <v>4096.070222984963</v>
      </c>
      <c r="J10" s="41"/>
    </row>
    <row r="11" spans="1:11" x14ac:dyDescent="0.25">
      <c r="A11" s="10" t="s">
        <v>1866</v>
      </c>
      <c r="B11" s="37">
        <v>8815.2000000000044</v>
      </c>
      <c r="C11" s="37">
        <v>10184.599999999989</v>
      </c>
      <c r="D11" s="37">
        <v>3787.500000000005</v>
      </c>
      <c r="E11" s="37">
        <v>6997.1000000000186</v>
      </c>
      <c r="F11" s="37">
        <v>8965.7000000000025</v>
      </c>
      <c r="G11" s="37">
        <f>G8+G10</f>
        <v>15375.104555688629</v>
      </c>
      <c r="H11" s="37">
        <f>H8+H10</f>
        <v>19038.043364886376</v>
      </c>
      <c r="I11" s="37">
        <f>I8+I10</f>
        <v>22315.194121330485</v>
      </c>
      <c r="J11" s="41"/>
    </row>
    <row r="12" spans="1:11" x14ac:dyDescent="0.25">
      <c r="A12" s="18" t="s">
        <v>1867</v>
      </c>
      <c r="B12" s="20">
        <v>573.29999999999995</v>
      </c>
      <c r="C12" s="20">
        <v>-69.5</v>
      </c>
      <c r="D12" s="20">
        <v>610.9</v>
      </c>
      <c r="E12" s="20">
        <v>1188</v>
      </c>
      <c r="F12" s="20">
        <v>1564.8</v>
      </c>
      <c r="G12" s="20">
        <f>'02_Assumptions'!$B$57+K12*(4-'02_Assumptions'!$B$53)/4</f>
        <v>1814.445624125291</v>
      </c>
      <c r="H12" s="20">
        <f>H2*'02_Assumptions'!$B$26</f>
        <v>2083.1634430941449</v>
      </c>
      <c r="I12" s="20">
        <f>I2*'02_Assumptions'!$B$26</f>
        <v>2277.3904872931912</v>
      </c>
      <c r="J12" s="41"/>
      <c r="K12" s="42">
        <f>K2*'02_Assumptions'!$B$26</f>
        <v>1837.7941655003883</v>
      </c>
    </row>
    <row r="13" spans="1:11" x14ac:dyDescent="0.25">
      <c r="A13" s="10" t="s">
        <v>1868</v>
      </c>
      <c r="B13" s="40">
        <v>6471.6</v>
      </c>
      <c r="C13" s="40">
        <v>6056.4</v>
      </c>
      <c r="D13" s="40">
        <v>689.7</v>
      </c>
      <c r="E13" s="40">
        <v>4825.8</v>
      </c>
      <c r="F13" s="40">
        <v>8633.1</v>
      </c>
      <c r="G13" s="40">
        <f>G8+G12</f>
        <v>13924.967453387893</v>
      </c>
      <c r="H13" s="40">
        <f>H8+H12</f>
        <v>17374.469567934149</v>
      </c>
      <c r="I13" s="40">
        <f>I8+I12</f>
        <v>20496.514385638715</v>
      </c>
      <c r="J13" s="41"/>
      <c r="K13" s="42">
        <f>K8+K12</f>
        <v>14115.823271183835</v>
      </c>
    </row>
    <row r="14" spans="1:11" x14ac:dyDescent="0.25">
      <c r="A14" s="18" t="s">
        <v>1869</v>
      </c>
      <c r="B14" s="20">
        <v>1570.2</v>
      </c>
      <c r="C14" s="20">
        <v>1954.7</v>
      </c>
      <c r="D14" s="20">
        <v>521.9</v>
      </c>
      <c r="E14" s="20">
        <v>1092.5</v>
      </c>
      <c r="F14" s="20">
        <v>1560.5</v>
      </c>
      <c r="G14" s="20">
        <f>'02_Assumptions'!$B$59+K14*(4-'02_Assumptions'!$B$53)/4</f>
        <v>2725.4862135097715</v>
      </c>
      <c r="H14" s="20">
        <f>H13*'02_Assumptions'!$B$25</f>
        <v>3537.442004031393</v>
      </c>
      <c r="I14" s="20">
        <f>I13*'02_Assumptions'!$B$25</f>
        <v>4173.0903289160424</v>
      </c>
      <c r="J14" s="41"/>
      <c r="K14" s="42">
        <f>K13*'02_Assumptions'!$B$25</f>
        <v>2873.9816180130288</v>
      </c>
    </row>
    <row r="15" spans="1:11" x14ac:dyDescent="0.25">
      <c r="A15" s="10" t="s">
        <v>1870</v>
      </c>
      <c r="B15" s="37">
        <v>4901.3999999999996</v>
      </c>
      <c r="C15" s="37">
        <v>4101.7</v>
      </c>
      <c r="D15" s="37">
        <v>167.8</v>
      </c>
      <c r="E15" s="37">
        <v>3733.3</v>
      </c>
      <c r="F15" s="37">
        <v>7072.6</v>
      </c>
      <c r="G15" s="37">
        <f>G13-G14</f>
        <v>11199.481239878121</v>
      </c>
      <c r="H15" s="37">
        <f>H13-H14</f>
        <v>13837.027563902757</v>
      </c>
      <c r="I15" s="37">
        <f>I13-I14</f>
        <v>16323.424056722673</v>
      </c>
      <c r="J15" s="41"/>
      <c r="K15" s="42">
        <f>K13-K14</f>
        <v>11241.841653170806</v>
      </c>
    </row>
    <row r="16" spans="1:11" x14ac:dyDescent="0.25">
      <c r="A16" s="10" t="s">
        <v>1871</v>
      </c>
      <c r="B16" s="37">
        <v>4898.8999999999996</v>
      </c>
      <c r="C16" s="37">
        <v>4099.8</v>
      </c>
      <c r="D16" s="37">
        <v>167.7</v>
      </c>
      <c r="E16" s="37">
        <v>3721.9</v>
      </c>
      <c r="F16" s="37">
        <v>7033.7</v>
      </c>
      <c r="G16" s="37">
        <f>'02_Assumptions'!$B$61+K16*(4-'02_Assumptions'!$B$53)/4</f>
        <v>11109.526300546629</v>
      </c>
      <c r="H16" s="37">
        <f>H15*0.9957</f>
        <v>13777.528345377976</v>
      </c>
      <c r="I16" s="37">
        <f>I15*0.9957</f>
        <v>16253.233333278766</v>
      </c>
      <c r="J16" s="41" t="s">
        <v>1872</v>
      </c>
      <c r="K16" s="42">
        <f>K15*0.9957</f>
        <v>11193.501734062173</v>
      </c>
    </row>
    <row r="17" spans="1:10" x14ac:dyDescent="0.25">
      <c r="A17" s="10" t="s">
        <v>1873</v>
      </c>
      <c r="B17" s="40">
        <v>6871</v>
      </c>
      <c r="C17" s="40">
        <v>2800</v>
      </c>
      <c r="D17" s="40">
        <v>115</v>
      </c>
      <c r="E17" s="40">
        <v>2546</v>
      </c>
      <c r="F17" s="40">
        <v>4785</v>
      </c>
      <c r="G17" s="40">
        <f>G16*1000000000/('02_Assumptions'!$B$3*1000000)</f>
        <v>7557.5008847255976</v>
      </c>
      <c r="H17" s="40">
        <f>H16*1000000000/('02_Assumptions'!$B$3*1000000)</f>
        <v>9372.4682621618886</v>
      </c>
      <c r="I17" s="40">
        <f>I16*1000000000/('02_Assumptions'!$B$3*1000000)</f>
        <v>11056.621315155622</v>
      </c>
      <c r="J17" s="4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7"/>
  <sheetViews>
    <sheetView workbookViewId="0"/>
  </sheetViews>
  <sheetFormatPr defaultRowHeight="15" x14ac:dyDescent="0.25"/>
  <cols>
    <col min="1" max="1" width="30" customWidth="1"/>
    <col min="2" max="9" width="11" customWidth="1"/>
    <col min="10" max="10" width="40" customWidth="1"/>
  </cols>
  <sheetData>
    <row r="1" spans="1:10" x14ac:dyDescent="0.25">
      <c r="A1" s="19" t="s">
        <v>1854</v>
      </c>
      <c r="B1" s="19" t="s">
        <v>1668</v>
      </c>
      <c r="C1" s="19" t="s">
        <v>1669</v>
      </c>
      <c r="D1" s="19" t="s">
        <v>1670</v>
      </c>
      <c r="E1" s="19" t="s">
        <v>1671</v>
      </c>
      <c r="F1" s="19" t="s">
        <v>1672</v>
      </c>
      <c r="G1" s="19" t="s">
        <v>1673</v>
      </c>
      <c r="H1" s="19" t="s">
        <v>1674</v>
      </c>
      <c r="I1" s="19" t="s">
        <v>1675</v>
      </c>
      <c r="J1" s="19" t="s">
        <v>1676</v>
      </c>
    </row>
    <row r="2" spans="1:10" x14ac:dyDescent="0.25">
      <c r="A2" s="1" t="s">
        <v>1874</v>
      </c>
    </row>
    <row r="3" spans="1:10" x14ac:dyDescent="0.25">
      <c r="A3" s="18" t="s">
        <v>1875</v>
      </c>
      <c r="B3" s="20">
        <v>18378.599999999999</v>
      </c>
      <c r="C3" s="20">
        <v>15130.2</v>
      </c>
      <c r="D3" s="20">
        <v>24302.7</v>
      </c>
      <c r="E3" s="20">
        <v>34221.699999999997</v>
      </c>
      <c r="F3" s="20">
        <v>38874.199999999997</v>
      </c>
      <c r="G3" s="20">
        <f>F3*(1+'02_Assumptions'!$B$36)</f>
        <v>49449.842549842782</v>
      </c>
      <c r="H3" s="20">
        <f>G3*(1+'02_Assumptions'!$B$36)</f>
        <v>62902.565923009148</v>
      </c>
      <c r="I3" s="20">
        <f>H3*(1+'02_Assumptions'!$B$36)</f>
        <v>80015.073773194279</v>
      </c>
      <c r="J3" s="41"/>
    </row>
    <row r="4" spans="1:10" x14ac:dyDescent="0.25">
      <c r="A4" s="18" t="s">
        <v>1876</v>
      </c>
      <c r="B4" s="20">
        <v>29167.200000000001</v>
      </c>
      <c r="C4" s="20">
        <v>25696.1</v>
      </c>
      <c r="D4" s="20">
        <v>21824.2</v>
      </c>
      <c r="E4" s="20">
        <v>22244.7</v>
      </c>
      <c r="F4" s="20">
        <v>27266.9</v>
      </c>
      <c r="G4" s="20">
        <f>-'04_PnL'!G4*'02_Assumptions'!$B$30/365</f>
        <v>32603.215432023946</v>
      </c>
      <c r="H4" s="20">
        <f>-'04_PnL'!H4*'02_Assumptions'!$B$30/365</f>
        <v>37430.862532967694</v>
      </c>
      <c r="I4" s="20">
        <f>-'04_PnL'!I4*'02_Assumptions'!$B$30/365</f>
        <v>40920.78830701104</v>
      </c>
      <c r="J4" s="41"/>
    </row>
    <row r="5" spans="1:10" x14ac:dyDescent="0.25">
      <c r="A5" s="18" t="s">
        <v>1877</v>
      </c>
      <c r="B5" s="20">
        <v>3162.1</v>
      </c>
      <c r="C5" s="20">
        <v>3000.8</v>
      </c>
      <c r="D5" s="20">
        <v>5158.8999999999996</v>
      </c>
      <c r="E5" s="20">
        <v>8825.9</v>
      </c>
      <c r="F5" s="20">
        <v>10182.799999999999</v>
      </c>
      <c r="G5" s="20">
        <f>'04_PnL'!G2*'02_Assumptions'!$B$31/365</f>
        <v>12647.893282970394</v>
      </c>
      <c r="H5" s="20">
        <f>'04_PnL'!H2*'02_Assumptions'!$B$31/365</f>
        <v>14515.892762600306</v>
      </c>
      <c r="I5" s="20">
        <f>'04_PnL'!I2*'02_Assumptions'!$B$31/365</f>
        <v>15869.305023427298</v>
      </c>
      <c r="J5" s="41"/>
    </row>
    <row r="6" spans="1:10" x14ac:dyDescent="0.25">
      <c r="A6" s="18" t="s">
        <v>1878</v>
      </c>
      <c r="B6" s="20">
        <v>12263.5</v>
      </c>
      <c r="C6" s="20">
        <v>12007</v>
      </c>
      <c r="D6" s="20">
        <v>8825.4</v>
      </c>
      <c r="E6" s="20">
        <v>5145.5</v>
      </c>
      <c r="F6" s="20">
        <v>7621.7</v>
      </c>
      <c r="G6" s="20">
        <f>'04_PnL'!G2*0.0435906534993962</f>
        <v>8417.116017745815</v>
      </c>
      <c r="H6" s="20">
        <f>'04_PnL'!H2*0.0435906534993962</f>
        <v>9660.2612585665975</v>
      </c>
      <c r="I6" s="20">
        <f>'04_PnL'!I2*0.0435906534993962</f>
        <v>10560.951022810485</v>
      </c>
      <c r="J6" s="41"/>
    </row>
    <row r="7" spans="1:10" x14ac:dyDescent="0.25">
      <c r="A7" s="10" t="s">
        <v>1879</v>
      </c>
      <c r="B7" s="43">
        <v>62971.4</v>
      </c>
      <c r="C7" s="43">
        <v>55834.1</v>
      </c>
      <c r="D7" s="43">
        <v>60111.199999999997</v>
      </c>
      <c r="E7" s="43">
        <v>70437.8</v>
      </c>
      <c r="F7" s="43">
        <v>83945.600000000006</v>
      </c>
      <c r="G7" s="43">
        <f>G3+G4+G5+G6</f>
        <v>103118.06728258295</v>
      </c>
      <c r="H7" s="43">
        <f>H3+H4+H5+H6</f>
        <v>124509.58247714375</v>
      </c>
      <c r="I7" s="43">
        <f>I3+I4+I5+I6</f>
        <v>147366.11812644309</v>
      </c>
      <c r="J7" s="41"/>
    </row>
    <row r="9" spans="1:10" x14ac:dyDescent="0.25">
      <c r="A9" s="1" t="s">
        <v>1880</v>
      </c>
    </row>
    <row r="10" spans="1:10" x14ac:dyDescent="0.25">
      <c r="A10" s="18" t="s">
        <v>1881</v>
      </c>
      <c r="B10" s="20">
        <v>24647.5</v>
      </c>
      <c r="C10" s="20">
        <v>16589.3</v>
      </c>
      <c r="D10" s="20">
        <v>25113.7</v>
      </c>
      <c r="E10" s="20">
        <v>27300.2</v>
      </c>
      <c r="F10" s="20">
        <v>29930.9</v>
      </c>
      <c r="G10" s="20">
        <f>F10*(1+'02_Assumptions'!$B$35)</f>
        <v>32675.952095837274</v>
      </c>
      <c r="H10" s="20">
        <f>G10*(1+'02_Assumptions'!$B$35)</f>
        <v>35672.7611053945</v>
      </c>
      <c r="I10" s="20">
        <f>H10*(1+'02_Assumptions'!$B$35)</f>
        <v>38944.416405992393</v>
      </c>
      <c r="J10" s="41"/>
    </row>
    <row r="11" spans="1:10" x14ac:dyDescent="0.25">
      <c r="A11" s="18" t="s">
        <v>1882</v>
      </c>
      <c r="B11" s="20">
        <v>12179.8</v>
      </c>
      <c r="C11" s="20">
        <v>8745.7999999999993</v>
      </c>
      <c r="D11" s="20">
        <v>7927.1</v>
      </c>
      <c r="E11" s="20">
        <v>9179.6</v>
      </c>
      <c r="F11" s="20">
        <v>13113.9</v>
      </c>
      <c r="G11" s="20">
        <f>-'04_PnL'!G4*'02_Assumptions'!$B$32/365</f>
        <v>14593.54726615051</v>
      </c>
      <c r="H11" s="20">
        <f>-'04_PnL'!H4*'02_Assumptions'!$B$32/365</f>
        <v>16754.453643584569</v>
      </c>
      <c r="I11" s="20">
        <f>-'04_PnL'!I4*'02_Assumptions'!$B$32/365</f>
        <v>18316.581674945337</v>
      </c>
      <c r="J11" s="41"/>
    </row>
    <row r="12" spans="1:10" x14ac:dyDescent="0.25">
      <c r="A12" s="10" t="s">
        <v>1883</v>
      </c>
      <c r="B12" s="40">
        <v>20378.2</v>
      </c>
      <c r="C12" s="40">
        <v>23932.6</v>
      </c>
      <c r="D12" s="40">
        <v>23359.599999999999</v>
      </c>
      <c r="E12" s="40">
        <v>28121.599999999999</v>
      </c>
      <c r="F12" s="40">
        <v>33176.1</v>
      </c>
      <c r="G12" s="40">
        <f>F12+'04_PnL'!G15*(1-'02_Assumptions'!$B$27)</f>
        <v>41015.736867914682</v>
      </c>
      <c r="H12" s="40">
        <f>G12+'04_PnL'!H15*(1-'02_Assumptions'!$B$27)</f>
        <v>50701.656162646614</v>
      </c>
      <c r="I12" s="40">
        <f>H12+'04_PnL'!I15*(1-'02_Assumptions'!$B$27)</f>
        <v>62128.053002352484</v>
      </c>
      <c r="J12" s="41"/>
    </row>
    <row r="13" spans="1:10" x14ac:dyDescent="0.25">
      <c r="A13" s="18" t="s">
        <v>1884</v>
      </c>
      <c r="B13" s="20">
        <v>5765.9</v>
      </c>
      <c r="C13" s="20">
        <v>6566.4</v>
      </c>
      <c r="D13" s="20">
        <v>3710.8</v>
      </c>
      <c r="E13" s="20">
        <v>5836.4</v>
      </c>
      <c r="F13" s="20">
        <v>7724.7</v>
      </c>
      <c r="G13" s="20">
        <f>G7-G10-G11-G12</f>
        <v>14832.831052680485</v>
      </c>
      <c r="H13" s="20">
        <f>H7-H10-H11-H12</f>
        <v>21380.711565518068</v>
      </c>
      <c r="I13" s="20">
        <f>I7-I10-I11-I12</f>
        <v>27977.067043152878</v>
      </c>
      <c r="J13" s="41"/>
    </row>
    <row r="14" spans="1:10" x14ac:dyDescent="0.25">
      <c r="A14" s="10" t="s">
        <v>1885</v>
      </c>
      <c r="B14" s="43">
        <v>62971.4</v>
      </c>
      <c r="C14" s="43">
        <v>55834.1</v>
      </c>
      <c r="D14" s="43">
        <v>60111.199999999997</v>
      </c>
      <c r="E14" s="43">
        <v>70437.8</v>
      </c>
      <c r="F14" s="43">
        <v>83945.600000000006</v>
      </c>
      <c r="G14" s="43">
        <f>G10+G11+G13+G12</f>
        <v>103118.06728258295</v>
      </c>
      <c r="H14" s="43">
        <f>H10+H11+H13+H12</f>
        <v>124509.58247714375</v>
      </c>
      <c r="I14" s="43">
        <f>I10+I11+I13+I12</f>
        <v>147366.11812644309</v>
      </c>
      <c r="J14" s="41"/>
    </row>
    <row r="16" spans="1:10" x14ac:dyDescent="0.25">
      <c r="A16" s="18" t="s">
        <v>1886</v>
      </c>
      <c r="B16" s="20">
        <v>6268.9</v>
      </c>
      <c r="C16" s="20">
        <v>1459.1</v>
      </c>
      <c r="D16" s="20">
        <v>811</v>
      </c>
      <c r="E16" s="20">
        <v>-6921.5</v>
      </c>
      <c r="F16" s="20">
        <v>-8943.2999999999993</v>
      </c>
      <c r="G16" s="20">
        <f>G10-G3</f>
        <v>-16773.890454005508</v>
      </c>
      <c r="H16" s="20">
        <f>H10-H3</f>
        <v>-27229.804817614648</v>
      </c>
      <c r="I16" s="20">
        <f>I10-I3</f>
        <v>-41070.657367201886</v>
      </c>
      <c r="J16" s="41"/>
    </row>
    <row r="17" spans="1:10" x14ac:dyDescent="0.25">
      <c r="A17" s="18" t="s">
        <v>1887</v>
      </c>
      <c r="B17" s="25">
        <v>0.308</v>
      </c>
      <c r="C17" s="25">
        <v>6.0999999999999999E-2</v>
      </c>
      <c r="D17" s="25">
        <v>3.5000000000000003E-2</v>
      </c>
      <c r="E17" s="25">
        <v>-0.246</v>
      </c>
      <c r="F17" s="25">
        <v>-0.27</v>
      </c>
      <c r="G17" s="25">
        <f>G16/G12</f>
        <v>-0.40896230897968322</v>
      </c>
      <c r="H17" s="25">
        <f>H16/H12</f>
        <v>-0.53705947455175318</v>
      </c>
      <c r="I17" s="25">
        <f>I16/I12</f>
        <v>-0.66106461384918569</v>
      </c>
      <c r="J17" s="4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/>
  </sheetViews>
  <sheetFormatPr defaultRowHeight="15" x14ac:dyDescent="0.25"/>
  <cols>
    <col min="1" max="1" width="30" customWidth="1"/>
    <col min="2" max="4" width="12" customWidth="1"/>
    <col min="5" max="5" width="40" customWidth="1"/>
  </cols>
  <sheetData>
    <row r="1" spans="1:5" x14ac:dyDescent="0.25">
      <c r="A1" s="19" t="s">
        <v>1854</v>
      </c>
      <c r="B1" s="19" t="s">
        <v>1673</v>
      </c>
      <c r="C1" s="19" t="s">
        <v>1674</v>
      </c>
      <c r="D1" s="19" t="s">
        <v>1675</v>
      </c>
      <c r="E1" s="19" t="s">
        <v>1676</v>
      </c>
    </row>
    <row r="2" spans="1:5" x14ac:dyDescent="0.25">
      <c r="A2" s="18" t="s">
        <v>1870</v>
      </c>
      <c r="B2" s="20">
        <f>'04_PnL'!G15</f>
        <v>11199.481239878121</v>
      </c>
      <c r="C2" s="20">
        <f>'04_PnL'!H15</f>
        <v>13837.027563902757</v>
      </c>
      <c r="D2" s="20">
        <f>'04_PnL'!I15</f>
        <v>16323.424056722673</v>
      </c>
    </row>
    <row r="3" spans="1:5" x14ac:dyDescent="0.25">
      <c r="A3" s="18" t="s">
        <v>1888</v>
      </c>
      <c r="B3" s="20">
        <f>'04_PnL'!G10</f>
        <v>3264.5827264260279</v>
      </c>
      <c r="C3" s="20">
        <f>'04_PnL'!H10</f>
        <v>3746.7372400463737</v>
      </c>
      <c r="D3" s="20">
        <f>'04_PnL'!I10</f>
        <v>4096.070222984963</v>
      </c>
    </row>
    <row r="4" spans="1:5" x14ac:dyDescent="0.25">
      <c r="A4" s="18" t="s">
        <v>1889</v>
      </c>
      <c r="B4" s="20">
        <f>('05_Balance_Sheet'!F4-'05_Balance_Sheet'!G4)+('05_Balance_Sheet'!F5-'05_Balance_Sheet'!G5)+('05_Balance_Sheet'!G11-'05_Balance_Sheet'!F11)</f>
        <v>-6321.7614488438285</v>
      </c>
      <c r="C4" s="20">
        <f>('05_Balance_Sheet'!G4-'05_Balance_Sheet'!H4)+('05_Balance_Sheet'!G5-'05_Balance_Sheet'!H5)+('05_Balance_Sheet'!H11-'05_Balance_Sheet'!G11)</f>
        <v>-4534.7402031396014</v>
      </c>
      <c r="D4" s="20">
        <f>('05_Balance_Sheet'!H4-'05_Balance_Sheet'!I4)+('05_Balance_Sheet'!H5-'05_Balance_Sheet'!I5)+('05_Balance_Sheet'!I11-'05_Balance_Sheet'!H11)</f>
        <v>-3281.21000350957</v>
      </c>
    </row>
    <row r="5" spans="1:5" x14ac:dyDescent="0.25">
      <c r="A5" s="10" t="s">
        <v>1890</v>
      </c>
      <c r="B5" s="37">
        <f>B2+B3+B4</f>
        <v>8142.3025174603208</v>
      </c>
      <c r="C5" s="37">
        <f>C2+C3+C4</f>
        <v>13049.024600809531</v>
      </c>
      <c r="D5" s="37">
        <f>D2+D3+D4</f>
        <v>17138.284276198065</v>
      </c>
    </row>
    <row r="6" spans="1:5" x14ac:dyDescent="0.25">
      <c r="A6" s="18" t="s">
        <v>1891</v>
      </c>
      <c r="B6" s="20">
        <f>-'04_PnL'!G2*'02_Assumptions'!$B$34</f>
        <v>-768.40037697618322</v>
      </c>
      <c r="C6" s="20">
        <f>-'04_PnL'!H2*'02_Assumptions'!$B$34</f>
        <v>-881.88738008614609</v>
      </c>
      <c r="D6" s="20">
        <f>-'04_PnL'!I2*'02_Assumptions'!$B$34</f>
        <v>-964.11154723846494</v>
      </c>
    </row>
    <row r="7" spans="1:5" x14ac:dyDescent="0.25">
      <c r="A7" s="10" t="s">
        <v>1892</v>
      </c>
      <c r="B7" s="37">
        <f>B5+B6</f>
        <v>7373.9021404841378</v>
      </c>
      <c r="C7" s="37">
        <f>C5+C6</f>
        <v>12167.137220723385</v>
      </c>
      <c r="D7" s="37">
        <f>D5+D6</f>
        <v>16174.1727289596</v>
      </c>
    </row>
    <row r="8" spans="1:5" x14ac:dyDescent="0.25">
      <c r="A8" s="18" t="s">
        <v>1893</v>
      </c>
      <c r="B8" s="27">
        <f>B7/'02_Assumptions'!$B$4</f>
        <v>6.3577439284068685E-2</v>
      </c>
      <c r="C8" s="27">
        <f>C7/'02_Assumptions'!$B$4</f>
        <v>0.10490448790532565</v>
      </c>
      <c r="D8" s="27">
        <f>D7/'02_Assumptions'!$B$4</f>
        <v>0.13945296059732548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7"/>
  <sheetViews>
    <sheetView workbookViewId="0"/>
  </sheetViews>
  <sheetFormatPr defaultRowHeight="15" x14ac:dyDescent="0.25"/>
  <cols>
    <col min="1" max="1" width="38" customWidth="1"/>
    <col min="2" max="4" width="16" customWidth="1"/>
    <col min="5" max="5" width="46" customWidth="1"/>
  </cols>
  <sheetData>
    <row r="1" spans="1:5" ht="20.25" x14ac:dyDescent="0.25">
      <c r="A1" s="64" t="s">
        <v>1894</v>
      </c>
      <c r="B1" s="62"/>
      <c r="C1" s="62"/>
      <c r="D1" s="62"/>
      <c r="E1" s="62"/>
    </row>
    <row r="2" spans="1:5" x14ac:dyDescent="0.25">
      <c r="A2" s="44" t="s">
        <v>1895</v>
      </c>
      <c r="B2" s="45">
        <f>B28</f>
        <v>0.13880521932517759</v>
      </c>
    </row>
    <row r="3" spans="1:5" x14ac:dyDescent="0.25">
      <c r="A3" s="44" t="s">
        <v>1896</v>
      </c>
      <c r="B3" s="45">
        <f>B29</f>
        <v>0.03</v>
      </c>
    </row>
    <row r="5" spans="1:5" x14ac:dyDescent="0.25">
      <c r="A5" s="46" t="s">
        <v>1897</v>
      </c>
      <c r="B5" s="46" t="s">
        <v>1898</v>
      </c>
      <c r="C5" s="46" t="s">
        <v>1658</v>
      </c>
    </row>
    <row r="6" spans="1:5" x14ac:dyDescent="0.25">
      <c r="A6" s="44" t="s">
        <v>1899</v>
      </c>
      <c r="B6" s="17">
        <f>'02_Assumptions'!$B$47</f>
        <v>0.2</v>
      </c>
      <c r="C6" s="13">
        <f>B20</f>
        <v>123187.26442102724</v>
      </c>
    </row>
    <row r="7" spans="1:5" x14ac:dyDescent="0.25">
      <c r="A7" s="44" t="s">
        <v>1900</v>
      </c>
      <c r="B7" s="17">
        <f>'02_Assumptions'!$B$48</f>
        <v>0.2</v>
      </c>
      <c r="C7" s="13">
        <f>B25</f>
        <v>104771.49111497933</v>
      </c>
    </row>
    <row r="8" spans="1:5" x14ac:dyDescent="0.25">
      <c r="A8" s="44" t="s">
        <v>1901</v>
      </c>
      <c r="B8" s="17">
        <f>'02_Assumptions'!$B$49</f>
        <v>0.1</v>
      </c>
      <c r="C8" s="13">
        <f>B39</f>
        <v>75197.470107157162</v>
      </c>
    </row>
    <row r="9" spans="1:5" x14ac:dyDescent="0.25">
      <c r="A9" s="44" t="s">
        <v>1902</v>
      </c>
      <c r="B9" s="17">
        <f>'02_Assumptions'!$B$50</f>
        <v>0.5</v>
      </c>
      <c r="C9" s="13">
        <f>B47</f>
        <v>84378.898363317232</v>
      </c>
    </row>
    <row r="11" spans="1:5" x14ac:dyDescent="0.25">
      <c r="A11" s="47" t="s">
        <v>1903</v>
      </c>
      <c r="C11" s="48">
        <f>SUMPRODUCT(B6:B9,C6:C9)</f>
        <v>95300.947299575637</v>
      </c>
    </row>
    <row r="12" spans="1:5" x14ac:dyDescent="0.25">
      <c r="A12" s="44" t="s">
        <v>1904</v>
      </c>
      <c r="C12" s="13">
        <f>'02_Assumptions'!$B$2</f>
        <v>78900</v>
      </c>
    </row>
    <row r="13" spans="1:5" x14ac:dyDescent="0.25">
      <c r="A13" s="47" t="s">
        <v>1659</v>
      </c>
      <c r="C13" s="49">
        <f>C11/C12-1</f>
        <v>0.20787005449398777</v>
      </c>
    </row>
    <row r="17" spans="1:4" x14ac:dyDescent="0.25">
      <c r="A17" s="47" t="s">
        <v>1905</v>
      </c>
    </row>
    <row r="18" spans="1:4" x14ac:dyDescent="0.25">
      <c r="A18" s="44" t="s">
        <v>1906</v>
      </c>
      <c r="B18" s="15">
        <f>'02_Assumptions'!$B$39</f>
        <v>16.3</v>
      </c>
    </row>
    <row r="19" spans="1:4" x14ac:dyDescent="0.25">
      <c r="A19" s="44" t="s">
        <v>1907</v>
      </c>
      <c r="B19" s="13">
        <f>'04_PnL'!G17</f>
        <v>7557.5008847255976</v>
      </c>
    </row>
    <row r="20" spans="1:4" x14ac:dyDescent="0.25">
      <c r="A20" s="47" t="s">
        <v>1908</v>
      </c>
      <c r="B20" s="50">
        <f>B18*B19</f>
        <v>123187.26442102724</v>
      </c>
    </row>
    <row r="22" spans="1:4" x14ac:dyDescent="0.25">
      <c r="A22" s="47" t="s">
        <v>1909</v>
      </c>
    </row>
    <row r="23" spans="1:4" x14ac:dyDescent="0.25">
      <c r="A23" s="44" t="s">
        <v>1910</v>
      </c>
      <c r="B23" s="15">
        <f>'02_Assumptions'!$B$40</f>
        <v>3.7549999999999999</v>
      </c>
    </row>
    <row r="24" spans="1:4" x14ac:dyDescent="0.25">
      <c r="A24" s="44" t="s">
        <v>1911</v>
      </c>
      <c r="B24" s="13">
        <f>'05_Balance_Sheet'!G12*1000000000/('02_Assumptions'!$B$3*1000000)</f>
        <v>27901.861814907945</v>
      </c>
    </row>
    <row r="25" spans="1:4" x14ac:dyDescent="0.25">
      <c r="A25" s="47" t="s">
        <v>1912</v>
      </c>
      <c r="B25" s="50">
        <f>B23*B24</f>
        <v>104771.49111497933</v>
      </c>
    </row>
    <row r="27" spans="1:4" x14ac:dyDescent="0.25">
      <c r="A27" s="47" t="s">
        <v>1913</v>
      </c>
    </row>
    <row r="28" spans="1:4" x14ac:dyDescent="0.25">
      <c r="A28" s="44" t="s">
        <v>1895</v>
      </c>
      <c r="B28" s="45">
        <f>'02_Assumptions'!$B$45</f>
        <v>0.13880521932517759</v>
      </c>
    </row>
    <row r="29" spans="1:4" x14ac:dyDescent="0.25">
      <c r="A29" s="44" t="s">
        <v>1896</v>
      </c>
      <c r="B29" s="45">
        <f>'02_Assumptions'!$B$46</f>
        <v>0.03</v>
      </c>
    </row>
    <row r="30" spans="1:4" x14ac:dyDescent="0.25">
      <c r="A30" s="44" t="s">
        <v>1914</v>
      </c>
      <c r="B30" s="13">
        <f>'05_Balance_Sheet'!F12*1000000000/('02_Assumptions'!$B$3*1000000)</f>
        <v>22568.775510204083</v>
      </c>
    </row>
    <row r="31" spans="1:4" x14ac:dyDescent="0.25">
      <c r="A31" s="44" t="s">
        <v>1915</v>
      </c>
      <c r="B31" s="13">
        <f>'04_PnL'!G17</f>
        <v>7557.5008847255976</v>
      </c>
      <c r="C31" s="13">
        <f>'04_PnL'!H17</f>
        <v>9372.4682621618886</v>
      </c>
      <c r="D31" s="13">
        <f>'04_PnL'!I17</f>
        <v>11056.621315155622</v>
      </c>
    </row>
    <row r="32" spans="1:4" x14ac:dyDescent="0.25">
      <c r="A32" s="44" t="s">
        <v>1916</v>
      </c>
      <c r="B32" s="13">
        <f>B30</f>
        <v>22568.775510204083</v>
      </c>
      <c r="C32" s="13">
        <f>B32+B31*(1-'02_Assumptions'!$B$27)</f>
        <v>27859.026129512</v>
      </c>
      <c r="D32" s="13">
        <f>C32+C31*(1-'02_Assumptions'!$B$27)</f>
        <v>34419.753913025321</v>
      </c>
    </row>
    <row r="33" spans="1:6" x14ac:dyDescent="0.25">
      <c r="A33" s="44" t="s">
        <v>1917</v>
      </c>
      <c r="B33" s="13">
        <f>B32*$B$28</f>
        <v>3132.6638345945744</v>
      </c>
      <c r="C33" s="13">
        <f>C32*$B$28</f>
        <v>3866.9782320927666</v>
      </c>
      <c r="D33" s="13">
        <f>D32*$B$28</f>
        <v>4777.6414910161193</v>
      </c>
    </row>
    <row r="34" spans="1:6" x14ac:dyDescent="0.25">
      <c r="A34" s="44" t="s">
        <v>1918</v>
      </c>
      <c r="B34" s="13">
        <f>B31-B33</f>
        <v>4424.8370501310237</v>
      </c>
      <c r="C34" s="13">
        <f>C31-C33</f>
        <v>5505.4900300691224</v>
      </c>
      <c r="D34" s="13">
        <f>D31-D33</f>
        <v>6278.9798241395029</v>
      </c>
    </row>
    <row r="35" spans="1:6" x14ac:dyDescent="0.25">
      <c r="A35" s="44" t="s">
        <v>1919</v>
      </c>
      <c r="B35" s="13">
        <f>B34/(1+$B$28)^1</f>
        <v>3885.5082283105899</v>
      </c>
      <c r="C35" s="13">
        <f>C34/(1+$B$28)^2</f>
        <v>4245.1895125792389</v>
      </c>
      <c r="D35" s="13">
        <f>D34/(1+$B$28)^3</f>
        <v>4251.4858777377412</v>
      </c>
    </row>
    <row r="36" spans="1:6" x14ac:dyDescent="0.25">
      <c r="A36" s="44" t="s">
        <v>1920</v>
      </c>
      <c r="B36" s="13">
        <f>SUM(B35:D35)</f>
        <v>12382.18361862757</v>
      </c>
    </row>
    <row r="37" spans="1:6" x14ac:dyDescent="0.25">
      <c r="A37" s="44" t="s">
        <v>1921</v>
      </c>
      <c r="B37" s="13">
        <f>D34*(1+$B$29)/($B$28-$B$29)</f>
        <v>59439.696541902384</v>
      </c>
    </row>
    <row r="38" spans="1:6" x14ac:dyDescent="0.25">
      <c r="A38" s="44" t="s">
        <v>1922</v>
      </c>
      <c r="B38" s="13">
        <f>B37/(1+$B$28)^3</f>
        <v>40246.510978325503</v>
      </c>
    </row>
    <row r="39" spans="1:6" x14ac:dyDescent="0.25">
      <c r="A39" s="47" t="s">
        <v>1923</v>
      </c>
      <c r="B39" s="50">
        <f>B30+B36+B38</f>
        <v>75197.470107157162</v>
      </c>
    </row>
    <row r="41" spans="1:6" x14ac:dyDescent="0.25">
      <c r="A41" s="47" t="s">
        <v>1924</v>
      </c>
    </row>
    <row r="42" spans="1:6" x14ac:dyDescent="0.25">
      <c r="A42" s="46" t="s">
        <v>1925</v>
      </c>
      <c r="B42" s="46" t="s">
        <v>1897</v>
      </c>
      <c r="C42" s="46" t="s">
        <v>1926</v>
      </c>
      <c r="D42" s="46" t="s">
        <v>1927</v>
      </c>
      <c r="E42" s="46" t="s">
        <v>1928</v>
      </c>
      <c r="F42" s="46" t="s">
        <v>1929</v>
      </c>
    </row>
    <row r="43" spans="1:6" x14ac:dyDescent="0.25">
      <c r="A43" s="44" t="s">
        <v>1930</v>
      </c>
      <c r="B43" s="44" t="s">
        <v>1931</v>
      </c>
      <c r="C43" s="13">
        <f>'03_Revenue_Model'!G5</f>
        <v>42862.36475085951</v>
      </c>
      <c r="D43" s="45">
        <v>4.4999999999999998E-2</v>
      </c>
      <c r="E43" s="15">
        <v>10</v>
      </c>
      <c r="F43" s="13">
        <f>C43*D43*E43</f>
        <v>19288.06413788678</v>
      </c>
    </row>
    <row r="44" spans="1:6" x14ac:dyDescent="0.25">
      <c r="A44" s="44" t="s">
        <v>1932</v>
      </c>
      <c r="B44" s="44" t="s">
        <v>1931</v>
      </c>
      <c r="C44" s="13">
        <f>'03_Revenue_Model'!G9</f>
        <v>87100.324602232868</v>
      </c>
      <c r="D44" s="45">
        <v>0.04</v>
      </c>
      <c r="E44" s="15">
        <v>15</v>
      </c>
      <c r="F44" s="13">
        <f>C44*D44*E44</f>
        <v>52260.194761339721</v>
      </c>
    </row>
    <row r="45" spans="1:6" x14ac:dyDescent="0.25">
      <c r="A45" s="44" t="s">
        <v>1687</v>
      </c>
      <c r="B45" s="44" t="s">
        <v>1933</v>
      </c>
      <c r="C45" s="13">
        <f>'03_Revenue_Model'!G13</f>
        <v>61127.455211575354</v>
      </c>
      <c r="D45" s="44"/>
      <c r="E45" s="15">
        <v>0.85</v>
      </c>
      <c r="F45" s="13">
        <f>C45*E45</f>
        <v>51958.336929839046</v>
      </c>
    </row>
    <row r="46" spans="1:6" x14ac:dyDescent="0.25">
      <c r="A46" s="44" t="s">
        <v>1934</v>
      </c>
      <c r="B46" s="44" t="s">
        <v>1931</v>
      </c>
      <c r="C46" s="13">
        <f>'03_Revenue_Model'!G17</f>
        <v>4419.8730417565675</v>
      </c>
      <c r="D46" s="45">
        <v>0.01</v>
      </c>
      <c r="E46" s="15">
        <v>12</v>
      </c>
      <c r="F46" s="13">
        <f>C46*D46*E46</f>
        <v>530.3847650107881</v>
      </c>
    </row>
    <row r="47" spans="1:6" x14ac:dyDescent="0.25">
      <c r="A47" s="47" t="s">
        <v>1935</v>
      </c>
      <c r="B47" s="50">
        <f>(F43+F44+F45+F46)*1000000000/('02_Assumptions'!$B$3*1000000)</f>
        <v>84378.898363317232</v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"/>
  <sheetViews>
    <sheetView workbookViewId="0"/>
  </sheetViews>
  <sheetFormatPr defaultRowHeight="15" x14ac:dyDescent="0.25"/>
  <cols>
    <col min="1" max="6" width="14" customWidth="1"/>
  </cols>
  <sheetData>
    <row r="1" spans="1:6" x14ac:dyDescent="0.25">
      <c r="A1" s="65" t="s">
        <v>1936</v>
      </c>
      <c r="B1" s="62"/>
      <c r="C1" s="62"/>
      <c r="D1" s="62"/>
      <c r="E1" s="62"/>
      <c r="F1" s="62"/>
    </row>
    <row r="2" spans="1:6" x14ac:dyDescent="0.25">
      <c r="A2" s="51" t="s">
        <v>1937</v>
      </c>
      <c r="B2" s="52">
        <f>'07_Valuation'!$B$19*(1+-0.1)</f>
        <v>6801.7507962530381</v>
      </c>
      <c r="C2" s="52">
        <f>'07_Valuation'!$B$19*(1+-0.05)</f>
        <v>7179.6258404893179</v>
      </c>
      <c r="D2" s="52">
        <f>'07_Valuation'!$B$19*(1+0)</f>
        <v>7557.5008847255976</v>
      </c>
      <c r="E2" s="52">
        <f>'07_Valuation'!$B$19*(1+0.05)</f>
        <v>7935.3759289618774</v>
      </c>
      <c r="F2" s="52">
        <f>'07_Valuation'!$B$19*(1+0.1)</f>
        <v>8313.2509731981572</v>
      </c>
    </row>
    <row r="3" spans="1:6" x14ac:dyDescent="0.25">
      <c r="A3" s="53">
        <f>'07_Valuation'!$B$18+-2</f>
        <v>14.3</v>
      </c>
      <c r="B3" s="29">
        <f t="shared" ref="B3:F7" si="0">$A3*B$2</f>
        <v>97265.036386418447</v>
      </c>
      <c r="C3" s="29">
        <f t="shared" si="0"/>
        <v>102668.64951899725</v>
      </c>
      <c r="D3" s="29">
        <f t="shared" si="0"/>
        <v>108072.26265157605</v>
      </c>
      <c r="E3" s="29">
        <f t="shared" si="0"/>
        <v>113475.87578415485</v>
      </c>
      <c r="F3" s="29">
        <f t="shared" si="0"/>
        <v>118879.48891673365</v>
      </c>
    </row>
    <row r="4" spans="1:6" x14ac:dyDescent="0.25">
      <c r="A4" s="53">
        <f>'07_Valuation'!$B$18+-1</f>
        <v>15.3</v>
      </c>
      <c r="B4" s="29">
        <f t="shared" si="0"/>
        <v>104066.78718267148</v>
      </c>
      <c r="C4" s="29">
        <f t="shared" si="0"/>
        <v>109848.27535948656</v>
      </c>
      <c r="D4" s="29">
        <f t="shared" si="0"/>
        <v>115629.76353630165</v>
      </c>
      <c r="E4" s="29">
        <f t="shared" si="0"/>
        <v>121411.25171311673</v>
      </c>
      <c r="F4" s="29">
        <f t="shared" si="0"/>
        <v>127192.73988993181</v>
      </c>
    </row>
    <row r="5" spans="1:6" x14ac:dyDescent="0.25">
      <c r="A5" s="53">
        <f>'07_Valuation'!$B$18+0</f>
        <v>16.3</v>
      </c>
      <c r="B5" s="29">
        <f t="shared" si="0"/>
        <v>110868.53797892452</v>
      </c>
      <c r="C5" s="29">
        <f t="shared" si="0"/>
        <v>117027.90119997588</v>
      </c>
      <c r="D5" s="29">
        <f t="shared" si="0"/>
        <v>123187.26442102724</v>
      </c>
      <c r="E5" s="29">
        <f t="shared" si="0"/>
        <v>129346.6276420786</v>
      </c>
      <c r="F5" s="29">
        <f t="shared" si="0"/>
        <v>135505.99086312996</v>
      </c>
    </row>
    <row r="6" spans="1:6" x14ac:dyDescent="0.25">
      <c r="A6" s="53">
        <f>'07_Valuation'!$B$18+1</f>
        <v>17.3</v>
      </c>
      <c r="B6" s="29">
        <f t="shared" si="0"/>
        <v>117670.28877517756</v>
      </c>
      <c r="C6" s="29">
        <f t="shared" si="0"/>
        <v>124207.52704046521</v>
      </c>
      <c r="D6" s="29">
        <f t="shared" si="0"/>
        <v>130744.76530575285</v>
      </c>
      <c r="E6" s="29">
        <f t="shared" si="0"/>
        <v>137282.00357104049</v>
      </c>
      <c r="F6" s="29">
        <f t="shared" si="0"/>
        <v>143819.24183632812</v>
      </c>
    </row>
    <row r="7" spans="1:6" x14ac:dyDescent="0.25">
      <c r="A7" s="53">
        <f>'07_Valuation'!$B$18+2</f>
        <v>18.3</v>
      </c>
      <c r="B7" s="29">
        <f t="shared" si="0"/>
        <v>124472.03957143061</v>
      </c>
      <c r="C7" s="29">
        <f t="shared" si="0"/>
        <v>131387.15288095453</v>
      </c>
      <c r="D7" s="29">
        <f t="shared" si="0"/>
        <v>138302.26619047843</v>
      </c>
      <c r="E7" s="29">
        <f t="shared" si="0"/>
        <v>145217.37950000237</v>
      </c>
      <c r="F7" s="29">
        <f t="shared" si="0"/>
        <v>152132.49280952627</v>
      </c>
    </row>
    <row r="10" spans="1:6" x14ac:dyDescent="0.25">
      <c r="A10" s="65" t="s">
        <v>1938</v>
      </c>
      <c r="B10" s="62"/>
      <c r="C10" s="62"/>
      <c r="D10" s="62"/>
      <c r="E10" s="62"/>
      <c r="F10" s="62"/>
    </row>
    <row r="11" spans="1:6" x14ac:dyDescent="0.25">
      <c r="A11" s="51" t="s">
        <v>1939</v>
      </c>
      <c r="B11" s="52">
        <f>'07_Valuation'!$B$24*(1+-0.1)</f>
        <v>25111.675633417151</v>
      </c>
      <c r="C11" s="52">
        <f>'07_Valuation'!$B$24*(1+-0.05)</f>
        <v>26506.768724162546</v>
      </c>
      <c r="D11" s="52">
        <f>'07_Valuation'!$B$24*(1+0)</f>
        <v>27901.861814907945</v>
      </c>
      <c r="E11" s="52">
        <f>'07_Valuation'!$B$24*(1+0.05)</f>
        <v>29296.954905653343</v>
      </c>
      <c r="F11" s="52">
        <f>'07_Valuation'!$B$24*(1+0.1)</f>
        <v>30692.047996398742</v>
      </c>
    </row>
    <row r="12" spans="1:6" x14ac:dyDescent="0.25">
      <c r="A12" s="53">
        <f>'07_Valuation'!$B$23+-0.5</f>
        <v>3.2549999999999999</v>
      </c>
      <c r="B12" s="29">
        <f t="shared" ref="B12:F16" si="1">$A12*B$11</f>
        <v>81738.504186772829</v>
      </c>
      <c r="C12" s="29">
        <f t="shared" si="1"/>
        <v>86279.532197149092</v>
      </c>
      <c r="D12" s="29">
        <f t="shared" si="1"/>
        <v>90820.560207525356</v>
      </c>
      <c r="E12" s="29">
        <f t="shared" si="1"/>
        <v>95361.588217901633</v>
      </c>
      <c r="F12" s="29">
        <f t="shared" si="1"/>
        <v>99902.616228277897</v>
      </c>
    </row>
    <row r="13" spans="1:6" x14ac:dyDescent="0.25">
      <c r="A13" s="53">
        <f>'07_Valuation'!$B$23+-0.25</f>
        <v>3.5049999999999999</v>
      </c>
      <c r="B13" s="29">
        <f t="shared" si="1"/>
        <v>88016.423095127117</v>
      </c>
      <c r="C13" s="29">
        <f t="shared" si="1"/>
        <v>92906.224378189727</v>
      </c>
      <c r="D13" s="29">
        <f t="shared" si="1"/>
        <v>97796.025661252337</v>
      </c>
      <c r="E13" s="29">
        <f t="shared" si="1"/>
        <v>102685.82694431496</v>
      </c>
      <c r="F13" s="29">
        <f t="shared" si="1"/>
        <v>107575.62822737759</v>
      </c>
    </row>
    <row r="14" spans="1:6" x14ac:dyDescent="0.25">
      <c r="A14" s="53">
        <f>'07_Valuation'!$B$23+0</f>
        <v>3.7549999999999999</v>
      </c>
      <c r="B14" s="29">
        <f t="shared" si="1"/>
        <v>94294.342003481404</v>
      </c>
      <c r="C14" s="29">
        <f t="shared" si="1"/>
        <v>99532.916559230362</v>
      </c>
      <c r="D14" s="29">
        <f t="shared" si="1"/>
        <v>104771.49111497933</v>
      </c>
      <c r="E14" s="29">
        <f t="shared" si="1"/>
        <v>110010.06567072831</v>
      </c>
      <c r="F14" s="29">
        <f t="shared" si="1"/>
        <v>115248.64022647728</v>
      </c>
    </row>
    <row r="15" spans="1:6" x14ac:dyDescent="0.25">
      <c r="A15" s="53">
        <f>'07_Valuation'!$B$23+0.25</f>
        <v>4.0049999999999999</v>
      </c>
      <c r="B15" s="29">
        <f t="shared" si="1"/>
        <v>100572.26091183569</v>
      </c>
      <c r="C15" s="29">
        <f t="shared" si="1"/>
        <v>106159.608740271</v>
      </c>
      <c r="D15" s="29">
        <f t="shared" si="1"/>
        <v>111746.95656870632</v>
      </c>
      <c r="E15" s="29">
        <f t="shared" si="1"/>
        <v>117334.30439714163</v>
      </c>
      <c r="F15" s="29">
        <f t="shared" si="1"/>
        <v>122921.65222557695</v>
      </c>
    </row>
    <row r="16" spans="1:6" x14ac:dyDescent="0.25">
      <c r="A16" s="53">
        <f>'07_Valuation'!$B$23+0.5</f>
        <v>4.2549999999999999</v>
      </c>
      <c r="B16" s="29">
        <f t="shared" si="1"/>
        <v>106850.17982018998</v>
      </c>
      <c r="C16" s="29">
        <f t="shared" si="1"/>
        <v>112786.30092131163</v>
      </c>
      <c r="D16" s="29">
        <f t="shared" si="1"/>
        <v>118722.4220224333</v>
      </c>
      <c r="E16" s="29">
        <f t="shared" si="1"/>
        <v>124658.54312355498</v>
      </c>
      <c r="F16" s="29">
        <f t="shared" si="1"/>
        <v>130594.66422467664</v>
      </c>
    </row>
  </sheetData>
  <mergeCells count="2">
    <mergeCell ref="A1:F1"/>
    <mergeCell ref="A10:F10"/>
  </mergeCell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00000000-000E-0000-0A00-000001000000}">
            <xm:f>'02_Assumptions'!$B$2</xm:f>
            <x14:dxf>
              <fill>
                <patternFill patternType="solid">
                  <fgColor rgb="FFF8D7DA"/>
                  <bgColor rgb="FFF8D7DA"/>
                </patternFill>
              </fill>
            </x14:dxf>
          </x14:cfRule>
          <x14:cfRule type="cellIs" priority="2" operator="greaterThan" id="{00000000-000E-0000-0A00-000002000000}">
            <xm:f>'07_Valuation'!$C$12</xm:f>
            <x14:dxf>
              <fill>
                <patternFill patternType="solid">
                  <fgColor rgb="FFD4EDDA"/>
                  <bgColor rgb="FFD4EDDA"/>
                </patternFill>
              </fill>
            </x14:dxf>
          </x14:cfRule>
          <xm:sqref>B3:F7</xm:sqref>
        </x14:conditionalFormatting>
        <x14:conditionalFormatting xmlns:xm="http://schemas.microsoft.com/office/excel/2006/main">
          <x14:cfRule type="cellIs" priority="51" operator="lessThan" id="{00000000-000E-0000-0A00-000033000000}">
            <xm:f>'02_Assumptions'!$B$2</xm:f>
            <x14:dxf>
              <fill>
                <patternFill patternType="solid">
                  <fgColor rgb="FFF8D7DA"/>
                  <bgColor rgb="FFF8D7DA"/>
                </patternFill>
              </fill>
            </x14:dxf>
          </x14:cfRule>
          <x14:cfRule type="cellIs" priority="52" operator="greaterThan" id="{00000000-000E-0000-0A00-000034000000}">
            <xm:f>'07_Valuation'!$C$12</xm:f>
            <x14:dxf>
              <fill>
                <patternFill patternType="solid">
                  <fgColor rgb="FFD4EDDA"/>
                  <bgColor rgb="FFD4EDDA"/>
                </patternFill>
              </fill>
            </x14:dxf>
          </x14:cfRule>
          <xm:sqref>B12:F16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7"/>
  <sheetViews>
    <sheetView workbookViewId="0"/>
  </sheetViews>
  <sheetFormatPr defaultRowHeight="15" x14ac:dyDescent="0.25"/>
  <cols>
    <col min="1" max="1" width="16" customWidth="1"/>
    <col min="2" max="2" width="70" customWidth="1"/>
    <col min="3" max="3" width="40" customWidth="1"/>
    <col min="4" max="4" width="14" customWidth="1"/>
  </cols>
  <sheetData>
    <row r="1" spans="1:4" x14ac:dyDescent="0.25">
      <c r="A1" s="19" t="s">
        <v>1940</v>
      </c>
      <c r="B1" s="19" t="s">
        <v>1941</v>
      </c>
      <c r="C1" s="19" t="s">
        <v>1942</v>
      </c>
      <c r="D1" s="19" t="s">
        <v>1943</v>
      </c>
    </row>
    <row r="2" spans="1:4" ht="60" customHeight="1" x14ac:dyDescent="0.25">
      <c r="A2" s="54" t="s">
        <v>1944</v>
      </c>
      <c r="B2" s="55" t="s">
        <v>1945</v>
      </c>
      <c r="C2" s="55" t="s">
        <v>1946</v>
      </c>
      <c r="D2" s="54" t="s">
        <v>1947</v>
      </c>
    </row>
    <row r="3" spans="1:4" ht="60" customHeight="1" x14ac:dyDescent="0.25">
      <c r="A3" s="54" t="s">
        <v>1948</v>
      </c>
      <c r="B3" s="55" t="s">
        <v>1949</v>
      </c>
      <c r="C3" s="55" t="s">
        <v>1950</v>
      </c>
      <c r="D3" s="54" t="s">
        <v>1951</v>
      </c>
    </row>
    <row r="4" spans="1:4" ht="60" customHeight="1" x14ac:dyDescent="0.25">
      <c r="A4" s="54" t="s">
        <v>1952</v>
      </c>
      <c r="B4" s="55" t="s">
        <v>1953</v>
      </c>
      <c r="C4" s="55" t="s">
        <v>1954</v>
      </c>
      <c r="D4" s="54" t="s">
        <v>1951</v>
      </c>
    </row>
    <row r="5" spans="1:4" ht="60" customHeight="1" x14ac:dyDescent="0.25">
      <c r="A5" s="54" t="s">
        <v>1955</v>
      </c>
      <c r="B5" s="55" t="s">
        <v>1956</v>
      </c>
      <c r="C5" s="55" t="s">
        <v>1957</v>
      </c>
      <c r="D5" s="54" t="s">
        <v>1951</v>
      </c>
    </row>
    <row r="6" spans="1:4" ht="60" customHeight="1" x14ac:dyDescent="0.25">
      <c r="A6" s="54" t="s">
        <v>1958</v>
      </c>
      <c r="B6" s="55" t="s">
        <v>1959</v>
      </c>
      <c r="C6" s="55" t="s">
        <v>1960</v>
      </c>
      <c r="D6" s="54" t="s">
        <v>1947</v>
      </c>
    </row>
    <row r="7" spans="1:4" ht="60" customHeight="1" x14ac:dyDescent="0.25">
      <c r="A7" s="54" t="s">
        <v>1961</v>
      </c>
      <c r="B7" s="55" t="s">
        <v>1962</v>
      </c>
      <c r="C7" s="55" t="s">
        <v>1963</v>
      </c>
      <c r="D7" s="54" t="s">
        <v>1964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9"/>
  <sheetViews>
    <sheetView workbookViewId="0"/>
  </sheetViews>
  <sheetFormatPr defaultRowHeight="15" x14ac:dyDescent="0.25"/>
  <cols>
    <col min="1" max="1" width="30" customWidth="1"/>
    <col min="2" max="3" width="22" customWidth="1"/>
    <col min="4" max="4" width="20" customWidth="1"/>
    <col min="5" max="5" width="16" customWidth="1"/>
  </cols>
  <sheetData>
    <row r="1" spans="1:5" x14ac:dyDescent="0.25">
      <c r="A1" s="19" t="s">
        <v>1965</v>
      </c>
      <c r="B1" s="19" t="s">
        <v>1966</v>
      </c>
      <c r="C1" s="19" t="s">
        <v>1967</v>
      </c>
      <c r="D1" s="19" t="s">
        <v>1968</v>
      </c>
      <c r="E1" s="19" t="s">
        <v>1969</v>
      </c>
    </row>
    <row r="2" spans="1:5" x14ac:dyDescent="0.25">
      <c r="A2" s="54" t="s">
        <v>1970</v>
      </c>
      <c r="B2" s="54" t="s">
        <v>1971</v>
      </c>
      <c r="C2" s="54" t="s">
        <v>1972</v>
      </c>
      <c r="D2" s="54" t="s">
        <v>1973</v>
      </c>
      <c r="E2" s="56" t="s">
        <v>1951</v>
      </c>
    </row>
    <row r="3" spans="1:5" x14ac:dyDescent="0.25">
      <c r="A3" s="54" t="s">
        <v>1974</v>
      </c>
      <c r="B3" s="54" t="s">
        <v>1975</v>
      </c>
      <c r="C3" s="54" t="s">
        <v>1976</v>
      </c>
      <c r="D3" s="54" t="s">
        <v>1977</v>
      </c>
      <c r="E3" s="56" t="s">
        <v>1951</v>
      </c>
    </row>
    <row r="4" spans="1:5" x14ac:dyDescent="0.25">
      <c r="A4" s="54" t="s">
        <v>1978</v>
      </c>
      <c r="B4" s="54" t="s">
        <v>1979</v>
      </c>
      <c r="C4" s="54" t="s">
        <v>1980</v>
      </c>
      <c r="D4" s="54" t="s">
        <v>1981</v>
      </c>
      <c r="E4" s="56" t="s">
        <v>1951</v>
      </c>
    </row>
    <row r="5" spans="1:5" x14ac:dyDescent="0.25">
      <c r="A5" s="54" t="s">
        <v>1982</v>
      </c>
      <c r="B5" s="54" t="s">
        <v>1983</v>
      </c>
      <c r="C5" s="54" t="s">
        <v>1984</v>
      </c>
      <c r="D5" s="54" t="s">
        <v>1985</v>
      </c>
      <c r="E5" s="56" t="s">
        <v>1951</v>
      </c>
    </row>
    <row r="6" spans="1:5" x14ac:dyDescent="0.25">
      <c r="A6" s="54" t="s">
        <v>1986</v>
      </c>
      <c r="B6" s="54" t="s">
        <v>1987</v>
      </c>
      <c r="C6" s="54" t="s">
        <v>1988</v>
      </c>
      <c r="D6" s="54" t="s">
        <v>1989</v>
      </c>
      <c r="E6" s="54" t="s">
        <v>1990</v>
      </c>
    </row>
    <row r="7" spans="1:5" x14ac:dyDescent="0.25">
      <c r="A7" s="54" t="s">
        <v>1991</v>
      </c>
      <c r="B7" s="54" t="s">
        <v>1992</v>
      </c>
      <c r="C7" s="54" t="s">
        <v>1993</v>
      </c>
      <c r="D7" s="54" t="s">
        <v>1994</v>
      </c>
      <c r="E7" s="54" t="s">
        <v>1947</v>
      </c>
    </row>
    <row r="8" spans="1:5" x14ac:dyDescent="0.25">
      <c r="A8" s="54" t="s">
        <v>1995</v>
      </c>
      <c r="B8" s="54" t="s">
        <v>1996</v>
      </c>
      <c r="C8" s="54" t="s">
        <v>1997</v>
      </c>
      <c r="D8" s="54" t="s">
        <v>1998</v>
      </c>
      <c r="E8" s="54" t="s">
        <v>1990</v>
      </c>
    </row>
    <row r="9" spans="1:5" x14ac:dyDescent="0.25">
      <c r="A9" s="54" t="s">
        <v>1999</v>
      </c>
      <c r="B9" s="54" t="s">
        <v>2000</v>
      </c>
      <c r="C9" s="54" t="s">
        <v>2001</v>
      </c>
      <c r="D9" s="54" t="s">
        <v>2002</v>
      </c>
      <c r="E9" s="56" t="s">
        <v>1951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7"/>
  <sheetViews>
    <sheetView workbookViewId="0"/>
  </sheetViews>
  <sheetFormatPr defaultRowHeight="15" x14ac:dyDescent="0.25"/>
  <cols>
    <col min="1" max="1" width="26" customWidth="1"/>
    <col min="2" max="2" width="80" customWidth="1"/>
    <col min="3" max="3" width="14" customWidth="1"/>
  </cols>
  <sheetData>
    <row r="1" spans="1:3" x14ac:dyDescent="0.25">
      <c r="A1" s="19" t="s">
        <v>2003</v>
      </c>
      <c r="B1" s="19" t="s">
        <v>2004</v>
      </c>
      <c r="C1" s="19" t="s">
        <v>2005</v>
      </c>
    </row>
    <row r="2" spans="1:3" ht="50.1" customHeight="1" x14ac:dyDescent="0.25">
      <c r="A2" s="54" t="s">
        <v>2006</v>
      </c>
      <c r="B2" s="55" t="s">
        <v>2007</v>
      </c>
      <c r="C2" s="54" t="s">
        <v>2008</v>
      </c>
    </row>
    <row r="3" spans="1:3" ht="50.1" customHeight="1" x14ac:dyDescent="0.25">
      <c r="A3" s="54" t="s">
        <v>2009</v>
      </c>
      <c r="B3" s="55" t="s">
        <v>2010</v>
      </c>
      <c r="C3" s="54" t="s">
        <v>2008</v>
      </c>
    </row>
    <row r="4" spans="1:3" ht="50.1" customHeight="1" x14ac:dyDescent="0.25">
      <c r="A4" s="54" t="s">
        <v>2011</v>
      </c>
      <c r="B4" s="55" t="s">
        <v>2012</v>
      </c>
      <c r="C4" s="54" t="s">
        <v>2008</v>
      </c>
    </row>
    <row r="5" spans="1:3" ht="50.1" customHeight="1" x14ac:dyDescent="0.25">
      <c r="A5" s="54" t="s">
        <v>2013</v>
      </c>
      <c r="B5" s="55" t="s">
        <v>2014</v>
      </c>
      <c r="C5" s="54" t="s">
        <v>2015</v>
      </c>
    </row>
    <row r="6" spans="1:3" ht="50.1" customHeight="1" x14ac:dyDescent="0.25">
      <c r="A6" s="54" t="s">
        <v>2016</v>
      </c>
      <c r="B6" s="55" t="s">
        <v>2017</v>
      </c>
      <c r="C6" s="54" t="s">
        <v>2008</v>
      </c>
    </row>
    <row r="7" spans="1:3" ht="50.1" customHeight="1" x14ac:dyDescent="0.25">
      <c r="A7" s="54" t="s">
        <v>2018</v>
      </c>
      <c r="B7" s="55" t="s">
        <v>2019</v>
      </c>
      <c r="C7" s="54" t="s">
        <v>1990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3"/>
  <sheetViews>
    <sheetView workbookViewId="0"/>
  </sheetViews>
  <sheetFormatPr defaultRowHeight="15" x14ac:dyDescent="0.25"/>
  <cols>
    <col min="1" max="1" width="30" customWidth="1"/>
    <col min="2" max="9" width="11" customWidth="1"/>
    <col min="10" max="10" width="14" customWidth="1"/>
  </cols>
  <sheetData>
    <row r="1" spans="1:10" x14ac:dyDescent="0.25">
      <c r="A1" s="19" t="s">
        <v>1758</v>
      </c>
      <c r="B1" s="19" t="s">
        <v>1668</v>
      </c>
      <c r="C1" s="19" t="s">
        <v>1669</v>
      </c>
      <c r="D1" s="19" t="s">
        <v>1670</v>
      </c>
      <c r="E1" s="19" t="s">
        <v>1671</v>
      </c>
      <c r="F1" s="19" t="s">
        <v>1672</v>
      </c>
      <c r="G1" s="19" t="s">
        <v>1673</v>
      </c>
      <c r="H1" s="19" t="s">
        <v>1674</v>
      </c>
      <c r="I1" s="19" t="s">
        <v>1675</v>
      </c>
      <c r="J1" s="19" t="s">
        <v>2020</v>
      </c>
    </row>
    <row r="2" spans="1:10" x14ac:dyDescent="0.25">
      <c r="A2" s="10" t="s">
        <v>1856</v>
      </c>
      <c r="B2" s="40">
        <v>122958.1</v>
      </c>
      <c r="C2" s="40">
        <v>133404.79999999999</v>
      </c>
      <c r="D2" s="40">
        <v>118279.8</v>
      </c>
      <c r="E2" s="40">
        <v>134341.20000000001</v>
      </c>
      <c r="F2" s="40">
        <v>155928.1</v>
      </c>
      <c r="G2" s="40">
        <f>'04_PnL'!G2</f>
        <v>193094.51320481821</v>
      </c>
      <c r="H2" s="40">
        <f>'04_PnL'!H2</f>
        <v>221613.13224405795</v>
      </c>
      <c r="I2" s="40">
        <f>'04_PnL'!I2</f>
        <v>242275.58375459479</v>
      </c>
      <c r="J2" s="39">
        <f>(I2/F2)^(1/2)-1</f>
        <v>0.2465009987946889</v>
      </c>
    </row>
    <row r="3" spans="1:10" x14ac:dyDescent="0.25">
      <c r="A3" s="18" t="s">
        <v>1860</v>
      </c>
      <c r="B3" s="20">
        <v>27632.100000000009</v>
      </c>
      <c r="C3" s="20">
        <v>30862.099999999991</v>
      </c>
      <c r="D3" s="20">
        <v>22520.600000000009</v>
      </c>
      <c r="E3" s="20">
        <v>27499.300000000021</v>
      </c>
      <c r="F3" s="20">
        <v>31001.8</v>
      </c>
      <c r="G3" s="20">
        <f>'04_PnL'!G5</f>
        <v>40194.999495281721</v>
      </c>
      <c r="H3" s="20">
        <f>'04_PnL'!H5</f>
        <v>46073.370193539653</v>
      </c>
      <c r="I3" s="20">
        <f>'04_PnL'!I5</f>
        <v>50369.093862580252</v>
      </c>
      <c r="J3" s="39">
        <f>(I3/F3)^(1/2)-1</f>
        <v>0.27464314266368484</v>
      </c>
    </row>
    <row r="4" spans="1:10" x14ac:dyDescent="0.25">
      <c r="A4" s="18" t="s">
        <v>1866</v>
      </c>
      <c r="B4" s="20">
        <v>8815.2000000000044</v>
      </c>
      <c r="C4" s="20">
        <v>10184.599999999989</v>
      </c>
      <c r="D4" s="20">
        <v>3787.500000000005</v>
      </c>
      <c r="E4" s="20">
        <v>6997.1000000000186</v>
      </c>
      <c r="F4" s="20">
        <v>8965.7000000000025</v>
      </c>
      <c r="G4" s="20">
        <f>'04_PnL'!G11</f>
        <v>15375.104555688629</v>
      </c>
      <c r="H4" s="20">
        <f>'04_PnL'!H11</f>
        <v>19038.043364886376</v>
      </c>
      <c r="I4" s="20">
        <f>'04_PnL'!I11</f>
        <v>22315.194121330485</v>
      </c>
      <c r="J4" s="39">
        <f>(I4/F4)^(1/2)-1</f>
        <v>0.57764117748698318</v>
      </c>
    </row>
    <row r="5" spans="1:10" x14ac:dyDescent="0.25">
      <c r="A5" s="10" t="s">
        <v>1871</v>
      </c>
      <c r="B5" s="37">
        <v>4898.8999999999996</v>
      </c>
      <c r="C5" s="37">
        <v>4099.8</v>
      </c>
      <c r="D5" s="37">
        <v>167.7</v>
      </c>
      <c r="E5" s="37">
        <v>3721.9</v>
      </c>
      <c r="F5" s="37">
        <v>7033.7</v>
      </c>
      <c r="G5" s="37">
        <f>'04_PnL'!G16</f>
        <v>11109.526300546629</v>
      </c>
      <c r="H5" s="37">
        <f>'04_PnL'!H16</f>
        <v>13777.528345377976</v>
      </c>
      <c r="I5" s="37">
        <f>'04_PnL'!I16</f>
        <v>16253.233333278766</v>
      </c>
      <c r="J5" s="39">
        <f>(I5/F5)^(1/2)-1</f>
        <v>0.52012032071591463</v>
      </c>
    </row>
    <row r="6" spans="1:10" x14ac:dyDescent="0.25">
      <c r="A6" s="18" t="s">
        <v>2021</v>
      </c>
      <c r="B6" s="20">
        <v>6871</v>
      </c>
      <c r="C6" s="20">
        <v>2800</v>
      </c>
      <c r="D6" s="20">
        <v>115</v>
      </c>
      <c r="E6" s="20">
        <v>2546</v>
      </c>
      <c r="F6" s="20">
        <v>4785</v>
      </c>
      <c r="G6" s="20">
        <f>'04_PnL'!G17</f>
        <v>7557.5008847255976</v>
      </c>
      <c r="H6" s="20">
        <f>'04_PnL'!H17</f>
        <v>9372.4682621618886</v>
      </c>
      <c r="I6" s="20">
        <f>'04_PnL'!I17</f>
        <v>11056.621315155622</v>
      </c>
      <c r="J6" s="39">
        <f>(I6/F6)^(1/2)-1</f>
        <v>0.52009330648799224</v>
      </c>
    </row>
    <row r="7" spans="1:10" x14ac:dyDescent="0.25">
      <c r="A7" s="18" t="s">
        <v>2022</v>
      </c>
      <c r="B7" s="20">
        <v>4976.8999999999996</v>
      </c>
      <c r="C7" s="20">
        <v>4465.3999999999996</v>
      </c>
      <c r="D7" s="20">
        <v>523.4</v>
      </c>
      <c r="E7" s="20">
        <v>303.7</v>
      </c>
      <c r="F7" s="20">
        <v>888.5</v>
      </c>
      <c r="G7" s="20">
        <f>-'06_Cash_Flow'!B6</f>
        <v>768.40037697618322</v>
      </c>
      <c r="H7" s="20">
        <f>-'06_Cash_Flow'!C6</f>
        <v>881.88738008614609</v>
      </c>
      <c r="I7" s="20">
        <f>-'06_Cash_Flow'!D6</f>
        <v>964.11154723846494</v>
      </c>
    </row>
    <row r="8" spans="1:10" x14ac:dyDescent="0.25">
      <c r="A8" s="18" t="s">
        <v>2023</v>
      </c>
      <c r="B8" s="20">
        <v>6268.9</v>
      </c>
      <c r="C8" s="20">
        <v>1459.1</v>
      </c>
      <c r="D8" s="20">
        <v>811</v>
      </c>
      <c r="E8" s="20">
        <v>-6921.5</v>
      </c>
      <c r="F8" s="20">
        <v>-8943.2999999999993</v>
      </c>
      <c r="G8" s="20">
        <f>'05_Balance_Sheet'!G16</f>
        <v>-16773.890454005508</v>
      </c>
      <c r="H8" s="20">
        <f>'05_Balance_Sheet'!H16</f>
        <v>-27229.804817614648</v>
      </c>
      <c r="I8" s="20">
        <f>'05_Balance_Sheet'!I16</f>
        <v>-41070.657367201886</v>
      </c>
    </row>
    <row r="9" spans="1:10" x14ac:dyDescent="0.25">
      <c r="A9" s="18" t="s">
        <v>1883</v>
      </c>
      <c r="B9" s="20">
        <v>20378.2</v>
      </c>
      <c r="C9" s="20">
        <v>23932.6</v>
      </c>
      <c r="D9" s="20">
        <v>23359.599999999999</v>
      </c>
      <c r="E9" s="20">
        <v>28121.599999999999</v>
      </c>
      <c r="F9" s="20">
        <v>33176.1</v>
      </c>
      <c r="G9" s="20">
        <f>'05_Balance_Sheet'!G12</f>
        <v>41015.736867914682</v>
      </c>
      <c r="H9" s="20">
        <f>'05_Balance_Sheet'!H12</f>
        <v>50701.656162646614</v>
      </c>
      <c r="I9" s="20">
        <f>'05_Balance_Sheet'!I12</f>
        <v>62128.053002352484</v>
      </c>
      <c r="J9" s="39">
        <f>(I9/F9)^(1/2)-1</f>
        <v>0.3684571597373123</v>
      </c>
    </row>
    <row r="11" spans="1:10" x14ac:dyDescent="0.25">
      <c r="A11" s="18" t="s">
        <v>2024</v>
      </c>
      <c r="B11" s="27">
        <f t="shared" ref="B11:I11" si="0">B5/B9</f>
        <v>0.24039905389092261</v>
      </c>
      <c r="C11" s="27">
        <f t="shared" si="0"/>
        <v>0.17130608458755006</v>
      </c>
      <c r="D11" s="27">
        <f t="shared" si="0"/>
        <v>7.1790612852959809E-3</v>
      </c>
      <c r="E11" s="27">
        <f t="shared" si="0"/>
        <v>0.13235022189349113</v>
      </c>
      <c r="F11" s="27">
        <f t="shared" si="0"/>
        <v>0.21201105615186835</v>
      </c>
      <c r="G11" s="27">
        <f t="shared" si="0"/>
        <v>0.27086009295220687</v>
      </c>
      <c r="H11" s="27">
        <f t="shared" si="0"/>
        <v>0.271737244660822</v>
      </c>
      <c r="I11" s="27">
        <f t="shared" si="0"/>
        <v>0.26160860590083734</v>
      </c>
    </row>
    <row r="12" spans="1:10" x14ac:dyDescent="0.25">
      <c r="A12" s="18" t="s">
        <v>2025</v>
      </c>
      <c r="B12" s="25">
        <f>'02_Assumptions'!$B$2*'02_Assumptions'!$B$3/(B5*1000)</f>
        <v>23.675314866602708</v>
      </c>
      <c r="C12" s="25">
        <f>'02_Assumptions'!$B$2*'02_Assumptions'!$B$3/(C5*1000)</f>
        <v>28.289916581296648</v>
      </c>
      <c r="D12" s="25">
        <f>'02_Assumptions'!$B$2*'02_Assumptions'!$B$3/(D5*1000)</f>
        <v>691.61001788908766</v>
      </c>
      <c r="E12" s="25">
        <f>'02_Assumptions'!$B$2*'02_Assumptions'!$B$3/(E5*1000)</f>
        <v>31.162309573067521</v>
      </c>
      <c r="F12" s="25">
        <f>'02_Assumptions'!$B$2*'02_Assumptions'!$B$3/(F5*1000)</f>
        <v>16.48961428551118</v>
      </c>
      <c r="G12" s="25">
        <f>'02_Assumptions'!$B$2*'02_Assumptions'!$B$3/(G5*1000)</f>
        <v>10.439959082170157</v>
      </c>
      <c r="H12" s="25">
        <f>'02_Assumptions'!$B$2*'02_Assumptions'!$B$3/(H5*1000)</f>
        <v>8.4182733718642258</v>
      </c>
      <c r="I12" s="25">
        <f>'02_Assumptions'!$B$2*'02_Assumptions'!$B$3/(I5*1000)</f>
        <v>7.1359955045081938</v>
      </c>
    </row>
    <row r="13" spans="1:10" x14ac:dyDescent="0.25">
      <c r="A13" s="18" t="s">
        <v>1652</v>
      </c>
      <c r="B13" s="25">
        <f>('02_Assumptions'!$B$2*'02_Assumptions'!$B$3/1000)/B9</f>
        <v>5.6915232945009864</v>
      </c>
      <c r="C13" s="25">
        <f>('02_Assumptions'!$B$2*'02_Assumptions'!$B$3/1000)/C9</f>
        <v>4.8462348428503379</v>
      </c>
      <c r="D13" s="25">
        <f>('02_Assumptions'!$B$2*'02_Assumptions'!$B$3/1000)/D9</f>
        <v>4.9651107039504101</v>
      </c>
      <c r="E13" s="25">
        <f>('02_Assumptions'!$B$2*'02_Assumptions'!$B$3/1000)/E9</f>
        <v>4.1243385867091487</v>
      </c>
      <c r="F13" s="25">
        <f>('02_Assumptions'!$B$2*'02_Assumptions'!$B$3/1000)/F9</f>
        <v>3.4959805402081621</v>
      </c>
      <c r="G13" s="25">
        <f>('02_Assumptions'!$B$2*'02_Assumptions'!$B$3/1000)/G9</f>
        <v>2.827768287413845</v>
      </c>
      <c r="H13" s="25">
        <f>('02_Assumptions'!$B$2*'02_Assumptions'!$B$3/1000)/H9</f>
        <v>2.2875584108719522</v>
      </c>
      <c r="I13" s="25">
        <f>('02_Assumptions'!$B$2*'02_Assumptions'!$B$3/1000)/I9</f>
        <v>1.8668378356490312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37"/>
  <sheetViews>
    <sheetView workbookViewId="0"/>
  </sheetViews>
  <sheetFormatPr defaultRowHeight="15" x14ac:dyDescent="0.25"/>
  <cols>
    <col min="1" max="3" width="14" customWidth="1"/>
    <col min="4" max="4" width="16" customWidth="1"/>
  </cols>
  <sheetData>
    <row r="1" spans="1:4" x14ac:dyDescent="0.25">
      <c r="A1" s="19" t="s">
        <v>2026</v>
      </c>
      <c r="B1" s="19" t="s">
        <v>2025</v>
      </c>
      <c r="C1" s="19" t="s">
        <v>1652</v>
      </c>
      <c r="D1" s="19" t="s">
        <v>2027</v>
      </c>
    </row>
    <row r="2" spans="1:4" x14ac:dyDescent="0.25">
      <c r="A2" s="54" t="s">
        <v>2028</v>
      </c>
      <c r="B2" s="54">
        <v>14.72</v>
      </c>
      <c r="C2" s="54">
        <v>5.16</v>
      </c>
      <c r="D2" s="54">
        <v>10.96</v>
      </c>
    </row>
    <row r="3" spans="1:4" x14ac:dyDescent="0.25">
      <c r="A3" s="54" t="s">
        <v>2029</v>
      </c>
      <c r="B3" s="54">
        <v>12.62</v>
      </c>
      <c r="C3" s="54">
        <v>4.5999999999999996</v>
      </c>
      <c r="D3" s="54">
        <v>8.9600000000000009</v>
      </c>
    </row>
    <row r="4" spans="1:4" x14ac:dyDescent="0.25">
      <c r="A4" s="54" t="s">
        <v>2030</v>
      </c>
      <c r="B4" s="54">
        <v>12.97</v>
      </c>
      <c r="C4" s="54">
        <v>4.54</v>
      </c>
      <c r="D4" s="54">
        <v>8.57</v>
      </c>
    </row>
    <row r="5" spans="1:4" x14ac:dyDescent="0.25">
      <c r="A5" s="54" t="s">
        <v>2031</v>
      </c>
      <c r="B5" s="54">
        <v>13.08</v>
      </c>
      <c r="C5" s="54">
        <v>4.1900000000000004</v>
      </c>
      <c r="D5" s="54">
        <v>8.09</v>
      </c>
    </row>
    <row r="6" spans="1:4" x14ac:dyDescent="0.25">
      <c r="A6" s="54" t="s">
        <v>2032</v>
      </c>
      <c r="B6" s="54">
        <v>14.45</v>
      </c>
      <c r="C6" s="54">
        <v>4.59</v>
      </c>
      <c r="D6" s="54">
        <v>9.7799999999999994</v>
      </c>
    </row>
    <row r="7" spans="1:4" x14ac:dyDescent="0.25">
      <c r="A7" s="54" t="s">
        <v>2033</v>
      </c>
      <c r="B7" s="54">
        <v>16.04</v>
      </c>
      <c r="C7" s="54">
        <v>5.39</v>
      </c>
      <c r="D7" s="54">
        <v>10.87</v>
      </c>
    </row>
    <row r="8" spans="1:4" x14ac:dyDescent="0.25">
      <c r="A8" s="54" t="s">
        <v>2034</v>
      </c>
      <c r="B8" s="54">
        <v>14.32</v>
      </c>
      <c r="C8" s="54">
        <v>4.75</v>
      </c>
      <c r="D8" s="54">
        <v>9.91</v>
      </c>
    </row>
    <row r="9" spans="1:4" x14ac:dyDescent="0.25">
      <c r="A9" s="54" t="s">
        <v>2035</v>
      </c>
      <c r="B9" s="54">
        <v>9.36</v>
      </c>
      <c r="C9" s="54">
        <v>3.02</v>
      </c>
      <c r="D9" s="54">
        <v>6.69</v>
      </c>
    </row>
    <row r="10" spans="1:4" x14ac:dyDescent="0.25">
      <c r="A10" s="54" t="s">
        <v>2036</v>
      </c>
      <c r="B10" s="54">
        <v>8.43</v>
      </c>
      <c r="C10" s="54">
        <v>2.52</v>
      </c>
      <c r="D10" s="54">
        <v>6.16</v>
      </c>
    </row>
    <row r="11" spans="1:4" x14ac:dyDescent="0.25">
      <c r="A11" s="54" t="s">
        <v>2037</v>
      </c>
      <c r="B11" s="54">
        <v>12.24</v>
      </c>
      <c r="C11" s="54">
        <v>3.25</v>
      </c>
      <c r="D11" s="54">
        <v>8.1300000000000008</v>
      </c>
    </row>
    <row r="12" spans="1:4" x14ac:dyDescent="0.25">
      <c r="A12" s="54" t="s">
        <v>2038</v>
      </c>
      <c r="B12" s="54">
        <v>15.6</v>
      </c>
      <c r="C12" s="54">
        <v>4.03</v>
      </c>
      <c r="D12" s="54">
        <v>10.1</v>
      </c>
    </row>
    <row r="13" spans="1:4" x14ac:dyDescent="0.25">
      <c r="A13" s="54" t="s">
        <v>2039</v>
      </c>
      <c r="B13" s="54">
        <v>16.3</v>
      </c>
      <c r="C13" s="54">
        <v>4.3</v>
      </c>
      <c r="D13" s="54">
        <v>10.44</v>
      </c>
    </row>
    <row r="14" spans="1:4" x14ac:dyDescent="0.25">
      <c r="A14" s="54" t="s">
        <v>2040</v>
      </c>
      <c r="B14" s="54">
        <v>19.62</v>
      </c>
      <c r="C14" s="54">
        <v>4.93</v>
      </c>
      <c r="D14" s="54">
        <v>13.05</v>
      </c>
    </row>
    <row r="15" spans="1:4" x14ac:dyDescent="0.25">
      <c r="A15" s="54" t="s">
        <v>2041</v>
      </c>
      <c r="B15" s="54">
        <v>21.43</v>
      </c>
      <c r="C15" s="54">
        <v>4.93</v>
      </c>
      <c r="D15" s="54">
        <v>13.46</v>
      </c>
    </row>
    <row r="16" spans="1:4" x14ac:dyDescent="0.25">
      <c r="A16" s="54" t="s">
        <v>2042</v>
      </c>
      <c r="B16" s="54">
        <v>21.7</v>
      </c>
      <c r="C16" s="54">
        <v>5.36</v>
      </c>
      <c r="D16" s="54">
        <v>14.08</v>
      </c>
    </row>
    <row r="17" spans="1:4" x14ac:dyDescent="0.25">
      <c r="A17" s="54" t="s">
        <v>2043</v>
      </c>
      <c r="B17" s="54">
        <v>18.43</v>
      </c>
      <c r="C17" s="54">
        <v>4.2300000000000004</v>
      </c>
      <c r="D17" s="54">
        <v>12.47</v>
      </c>
    </row>
    <row r="18" spans="1:4" x14ac:dyDescent="0.25">
      <c r="A18" s="54" t="s">
        <v>2044</v>
      </c>
      <c r="B18" s="54">
        <v>16.96</v>
      </c>
      <c r="C18" s="54">
        <v>3.76</v>
      </c>
      <c r="D18" s="54">
        <v>10.54</v>
      </c>
    </row>
    <row r="19" spans="1:4" x14ac:dyDescent="0.25">
      <c r="A19" s="54" t="s">
        <v>2045</v>
      </c>
      <c r="B19" s="54">
        <v>12.13</v>
      </c>
      <c r="C19" s="54">
        <v>2.64</v>
      </c>
      <c r="D19" s="54">
        <v>7.13</v>
      </c>
    </row>
    <row r="20" spans="1:4" x14ac:dyDescent="0.25">
      <c r="A20" s="54" t="s">
        <v>2046</v>
      </c>
      <c r="B20" s="54">
        <v>14.24</v>
      </c>
      <c r="C20" s="54">
        <v>2.4500000000000002</v>
      </c>
      <c r="D20" s="54">
        <v>7.3</v>
      </c>
    </row>
    <row r="21" spans="1:4" x14ac:dyDescent="0.25">
      <c r="A21" s="54" t="s">
        <v>2047</v>
      </c>
      <c r="B21" s="54">
        <v>26.88</v>
      </c>
      <c r="C21" s="54">
        <v>3</v>
      </c>
      <c r="D21" s="54">
        <v>10.16</v>
      </c>
    </row>
    <row r="22" spans="1:4" x14ac:dyDescent="0.25">
      <c r="A22" s="54" t="s">
        <v>2048</v>
      </c>
      <c r="B22" s="54">
        <v>45.28</v>
      </c>
      <c r="C22" s="54">
        <v>3.05</v>
      </c>
      <c r="D22" s="54">
        <v>13.98</v>
      </c>
    </row>
    <row r="23" spans="1:4" x14ac:dyDescent="0.25">
      <c r="A23" s="54" t="s">
        <v>2049</v>
      </c>
      <c r="B23" s="54"/>
      <c r="C23" s="54">
        <v>2.63</v>
      </c>
      <c r="D23" s="54">
        <v>16.920000000000002</v>
      </c>
    </row>
    <row r="24" spans="1:4" x14ac:dyDescent="0.25">
      <c r="A24" s="54" t="s">
        <v>2050</v>
      </c>
      <c r="B24" s="54"/>
      <c r="C24" s="54">
        <v>3.26</v>
      </c>
      <c r="D24" s="54">
        <v>25.51</v>
      </c>
    </row>
    <row r="25" spans="1:4" x14ac:dyDescent="0.25">
      <c r="A25" s="54" t="s">
        <v>2051</v>
      </c>
      <c r="B25" s="54"/>
      <c r="C25" s="54">
        <v>3.75</v>
      </c>
      <c r="D25" s="54">
        <v>24.97</v>
      </c>
    </row>
    <row r="26" spans="1:4" x14ac:dyDescent="0.25">
      <c r="A26" s="54" t="s">
        <v>2052</v>
      </c>
      <c r="B26" s="54">
        <v>42.21</v>
      </c>
      <c r="C26" s="54">
        <v>3.56</v>
      </c>
      <c r="D26" s="54">
        <v>18.84</v>
      </c>
    </row>
    <row r="27" spans="1:4" x14ac:dyDescent="0.25">
      <c r="A27" s="54" t="s">
        <v>2053</v>
      </c>
      <c r="B27" s="54">
        <v>28.21</v>
      </c>
      <c r="C27" s="54">
        <v>3.11</v>
      </c>
      <c r="D27" s="54">
        <v>14.82</v>
      </c>
    </row>
    <row r="28" spans="1:4" x14ac:dyDescent="0.25">
      <c r="A28" s="54" t="s">
        <v>2054</v>
      </c>
      <c r="B28" s="54">
        <v>22.44</v>
      </c>
      <c r="C28" s="54">
        <v>3.01</v>
      </c>
      <c r="D28" s="54">
        <v>14.01</v>
      </c>
    </row>
    <row r="29" spans="1:4" x14ac:dyDescent="0.25">
      <c r="A29" s="54" t="s">
        <v>2055</v>
      </c>
      <c r="B29" s="54">
        <v>23.18</v>
      </c>
      <c r="C29" s="54">
        <v>3.46</v>
      </c>
      <c r="D29" s="54">
        <v>17.14</v>
      </c>
    </row>
    <row r="30" spans="1:4" x14ac:dyDescent="0.25">
      <c r="A30" s="54" t="s">
        <v>2056</v>
      </c>
      <c r="B30" s="54">
        <v>25.48</v>
      </c>
      <c r="C30" s="54">
        <v>4.2</v>
      </c>
      <c r="D30" s="54">
        <v>20.37</v>
      </c>
    </row>
    <row r="31" spans="1:4" x14ac:dyDescent="0.25">
      <c r="A31" s="54" t="s">
        <v>2057</v>
      </c>
      <c r="B31" s="54">
        <v>21.6</v>
      </c>
      <c r="C31" s="54">
        <v>4.0199999999999996</v>
      </c>
      <c r="D31" s="54">
        <v>19.100000000000001</v>
      </c>
    </row>
    <row r="32" spans="1:4" x14ac:dyDescent="0.25">
      <c r="A32" s="54" t="s">
        <v>2058</v>
      </c>
      <c r="B32" s="54">
        <v>16.75</v>
      </c>
      <c r="C32" s="54">
        <v>3.6</v>
      </c>
      <c r="D32" s="54">
        <v>15.73</v>
      </c>
    </row>
    <row r="33" spans="1:4" x14ac:dyDescent="0.25">
      <c r="A33" s="54" t="s">
        <v>2059</v>
      </c>
      <c r="B33" s="54">
        <v>14.21</v>
      </c>
      <c r="C33" s="54">
        <v>3.28</v>
      </c>
      <c r="D33" s="54">
        <v>13.77</v>
      </c>
    </row>
    <row r="35" spans="1:4" x14ac:dyDescent="0.25">
      <c r="A35" s="57" t="s">
        <v>2060</v>
      </c>
      <c r="B35" s="58">
        <f>MEDIAN(B2:B33)</f>
        <v>16.3</v>
      </c>
      <c r="C35" s="58">
        <f>MEDIAN(C2:C33)</f>
        <v>3.7549999999999999</v>
      </c>
      <c r="D35" s="58">
        <f>MEDIAN(D2:D33)</f>
        <v>11.715</v>
      </c>
    </row>
    <row r="37" spans="1:4" ht="45" customHeight="1" x14ac:dyDescent="0.25">
      <c r="A37" s="66" t="s">
        <v>2061</v>
      </c>
      <c r="B37" s="62"/>
      <c r="C37" s="62"/>
      <c r="D37" s="62"/>
    </row>
  </sheetData>
  <mergeCells count="1">
    <mergeCell ref="A37:D3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34"/>
  <sheetViews>
    <sheetView workbookViewId="0"/>
  </sheetViews>
  <sheetFormatPr defaultRowHeight="15" x14ac:dyDescent="0.25"/>
  <cols>
    <col min="1" max="1" width="12" customWidth="1"/>
    <col min="2" max="6" width="14" customWidth="1"/>
    <col min="7" max="7" width="16" customWidth="1"/>
    <col min="8" max="9" width="18" customWidth="1"/>
  </cols>
  <sheetData>
    <row r="1" spans="1:9" ht="25.5" x14ac:dyDescent="0.25">
      <c r="A1" s="19" t="s">
        <v>2026</v>
      </c>
      <c r="B1" s="19" t="s">
        <v>2062</v>
      </c>
      <c r="C1" s="19" t="s">
        <v>2063</v>
      </c>
      <c r="D1" s="19" t="s">
        <v>2064</v>
      </c>
      <c r="E1" s="19" t="s">
        <v>1982</v>
      </c>
      <c r="F1" s="19" t="s">
        <v>1927</v>
      </c>
      <c r="G1" s="19" t="s">
        <v>2065</v>
      </c>
      <c r="H1" s="19" t="s">
        <v>2066</v>
      </c>
      <c r="I1" s="19" t="s">
        <v>2067</v>
      </c>
    </row>
    <row r="2" spans="1:9" x14ac:dyDescent="0.25">
      <c r="A2" s="54" t="s">
        <v>2028</v>
      </c>
      <c r="B2" s="29">
        <v>22763.5</v>
      </c>
      <c r="C2" s="29">
        <v>3974.8</v>
      </c>
      <c r="D2" s="29">
        <v>807.4</v>
      </c>
      <c r="E2" s="31">
        <v>0.17460000000000001</v>
      </c>
      <c r="F2" s="31">
        <v>3.5499999999999997E-2</v>
      </c>
      <c r="G2" s="31">
        <v>0.44429999999999997</v>
      </c>
      <c r="H2" s="59"/>
      <c r="I2" s="59"/>
    </row>
    <row r="3" spans="1:9" x14ac:dyDescent="0.25">
      <c r="A3" s="54" t="s">
        <v>2029</v>
      </c>
      <c r="B3" s="29">
        <v>21806.9</v>
      </c>
      <c r="C3" s="29">
        <v>3861.6</v>
      </c>
      <c r="D3" s="29">
        <v>732</v>
      </c>
      <c r="E3" s="31">
        <v>0.17710000000000001</v>
      </c>
      <c r="F3" s="31">
        <v>3.3599999999999998E-2</v>
      </c>
      <c r="G3" s="31">
        <v>0.39610000000000001</v>
      </c>
      <c r="H3" s="59"/>
      <c r="I3" s="59"/>
    </row>
    <row r="4" spans="1:9" x14ac:dyDescent="0.25">
      <c r="A4" s="54" t="s">
        <v>2030</v>
      </c>
      <c r="B4" s="29">
        <v>20907.599999999999</v>
      </c>
      <c r="C4" s="29">
        <v>3702.6</v>
      </c>
      <c r="D4" s="29">
        <v>647.4</v>
      </c>
      <c r="E4" s="31">
        <v>0.17710000000000001</v>
      </c>
      <c r="F4" s="31">
        <v>3.1E-2</v>
      </c>
      <c r="G4" s="31">
        <v>0.33029999999999998</v>
      </c>
      <c r="H4" s="59"/>
      <c r="I4" s="59"/>
    </row>
    <row r="5" spans="1:9" x14ac:dyDescent="0.25">
      <c r="A5" s="54" t="s">
        <v>2031</v>
      </c>
      <c r="B5" s="29">
        <v>21038.3</v>
      </c>
      <c r="C5" s="29">
        <v>3753.2</v>
      </c>
      <c r="D5" s="29">
        <v>692</v>
      </c>
      <c r="E5" s="31">
        <v>0.1784</v>
      </c>
      <c r="F5" s="31">
        <v>3.2899999999999999E-2</v>
      </c>
      <c r="G5" s="31">
        <v>0.32290000000000002</v>
      </c>
      <c r="H5" s="59"/>
      <c r="I5" s="59"/>
    </row>
    <row r="6" spans="1:9" x14ac:dyDescent="0.25">
      <c r="A6" s="54" t="s">
        <v>2032</v>
      </c>
      <c r="B6" s="29">
        <v>25017.4</v>
      </c>
      <c r="C6" s="29">
        <v>4433.8</v>
      </c>
      <c r="D6" s="29">
        <v>1040.4000000000001</v>
      </c>
      <c r="E6" s="31">
        <v>0.1772</v>
      </c>
      <c r="F6" s="31">
        <v>4.1599999999999998E-2</v>
      </c>
      <c r="G6" s="31">
        <v>0.43809999999999999</v>
      </c>
      <c r="H6" s="59">
        <v>0.11550000000000001</v>
      </c>
      <c r="I6" s="59">
        <v>0.28870000000000001</v>
      </c>
    </row>
    <row r="7" spans="1:9" x14ac:dyDescent="0.25">
      <c r="A7" s="54" t="s">
        <v>2033</v>
      </c>
      <c r="B7" s="29">
        <v>26603.8</v>
      </c>
      <c r="C7" s="29">
        <v>4748.3999999999996</v>
      </c>
      <c r="D7" s="29">
        <v>1079.2</v>
      </c>
      <c r="E7" s="31">
        <v>0.17849999999999999</v>
      </c>
      <c r="F7" s="31">
        <v>4.0599999999999997E-2</v>
      </c>
      <c r="G7" s="31">
        <v>0.42220000000000002</v>
      </c>
      <c r="H7" s="59">
        <v>0.2296</v>
      </c>
      <c r="I7" s="59">
        <v>0.47439999999999999</v>
      </c>
    </row>
    <row r="8" spans="1:9" x14ac:dyDescent="0.25">
      <c r="A8" s="54" t="s">
        <v>2034</v>
      </c>
      <c r="B8" s="29">
        <v>25142.1</v>
      </c>
      <c r="C8" s="29">
        <v>4940.6000000000004</v>
      </c>
      <c r="D8" s="29">
        <v>855.1</v>
      </c>
      <c r="E8" s="31">
        <v>0.19650000000000001</v>
      </c>
      <c r="F8" s="31">
        <v>3.4000000000000002E-2</v>
      </c>
      <c r="G8" s="31">
        <v>0.31490000000000001</v>
      </c>
      <c r="H8" s="59">
        <v>0.33439999999999998</v>
      </c>
      <c r="I8" s="59">
        <v>0.32090000000000002</v>
      </c>
    </row>
    <row r="9" spans="1:9" x14ac:dyDescent="0.25">
      <c r="A9" s="54" t="s">
        <v>2035</v>
      </c>
      <c r="B9" s="29">
        <v>25411</v>
      </c>
      <c r="C9" s="29">
        <v>5365</v>
      </c>
      <c r="D9" s="29">
        <v>859.6</v>
      </c>
      <c r="E9" s="31">
        <v>0.21110000000000001</v>
      </c>
      <c r="F9" s="31">
        <v>3.3799999999999997E-2</v>
      </c>
      <c r="G9" s="31">
        <v>0.29349999999999998</v>
      </c>
      <c r="H9" s="59">
        <v>0.4294</v>
      </c>
      <c r="I9" s="59">
        <v>0.24210000000000001</v>
      </c>
    </row>
    <row r="10" spans="1:9" x14ac:dyDescent="0.25">
      <c r="A10" s="54" t="s">
        <v>2036</v>
      </c>
      <c r="B10" s="29">
        <v>29353.200000000001</v>
      </c>
      <c r="C10" s="29">
        <v>6160</v>
      </c>
      <c r="D10" s="29">
        <v>1131.5</v>
      </c>
      <c r="E10" s="31">
        <v>0.2099</v>
      </c>
      <c r="F10" s="31">
        <v>3.85E-2</v>
      </c>
      <c r="G10" s="31">
        <v>0.35470000000000002</v>
      </c>
      <c r="H10" s="59">
        <v>0.38929999999999998</v>
      </c>
      <c r="I10" s="59">
        <v>8.7499999999999994E-2</v>
      </c>
    </row>
    <row r="11" spans="1:9" x14ac:dyDescent="0.25">
      <c r="A11" s="54" t="s">
        <v>2037</v>
      </c>
      <c r="B11" s="29">
        <v>26285.599999999999</v>
      </c>
      <c r="C11" s="29">
        <v>5770.1</v>
      </c>
      <c r="D11" s="29">
        <v>893.9</v>
      </c>
      <c r="E11" s="31">
        <v>0.2195</v>
      </c>
      <c r="F11" s="31">
        <v>3.4000000000000002E-2</v>
      </c>
      <c r="G11" s="31">
        <v>0.2586</v>
      </c>
      <c r="H11" s="59">
        <v>0.2152</v>
      </c>
      <c r="I11" s="59">
        <v>-0.17169999999999999</v>
      </c>
    </row>
    <row r="12" spans="1:9" x14ac:dyDescent="0.25">
      <c r="A12" s="54" t="s">
        <v>2038</v>
      </c>
      <c r="B12" s="29">
        <v>25713.599999999999</v>
      </c>
      <c r="C12" s="29">
        <v>5749.7</v>
      </c>
      <c r="D12" s="29">
        <v>950.5</v>
      </c>
      <c r="E12" s="31">
        <v>0.22359999999999999</v>
      </c>
      <c r="F12" s="31">
        <v>3.6999999999999998E-2</v>
      </c>
      <c r="G12" s="31">
        <v>0.25779999999999997</v>
      </c>
      <c r="H12" s="59">
        <v>0.1638</v>
      </c>
      <c r="I12" s="59">
        <v>0.1116</v>
      </c>
    </row>
    <row r="13" spans="1:9" x14ac:dyDescent="0.25">
      <c r="A13" s="54" t="s">
        <v>2039</v>
      </c>
      <c r="B13" s="29">
        <v>27193.7</v>
      </c>
      <c r="C13" s="29">
        <v>6274.7</v>
      </c>
      <c r="D13" s="29">
        <v>941.8</v>
      </c>
      <c r="E13" s="31">
        <v>0.23069999999999999</v>
      </c>
      <c r="F13" s="31">
        <v>3.4599999999999999E-2</v>
      </c>
      <c r="G13" s="31">
        <v>0.24540000000000001</v>
      </c>
      <c r="H13" s="59">
        <v>0.1696</v>
      </c>
      <c r="I13" s="59">
        <v>9.5699999999999993E-2</v>
      </c>
    </row>
    <row r="14" spans="1:9" x14ac:dyDescent="0.25">
      <c r="A14" s="54" t="s">
        <v>2040</v>
      </c>
      <c r="B14" s="29">
        <v>30828.1</v>
      </c>
      <c r="C14" s="29">
        <v>7024.9</v>
      </c>
      <c r="D14" s="29">
        <v>1338</v>
      </c>
      <c r="E14" s="31">
        <v>0.22789999999999999</v>
      </c>
      <c r="F14" s="31">
        <v>4.3400000000000001E-2</v>
      </c>
      <c r="G14" s="31">
        <v>0.33</v>
      </c>
      <c r="H14" s="59">
        <v>0.1404</v>
      </c>
      <c r="I14" s="59">
        <v>0.1825</v>
      </c>
    </row>
    <row r="15" spans="1:9" x14ac:dyDescent="0.25">
      <c r="A15" s="54" t="s">
        <v>2068</v>
      </c>
      <c r="B15" s="29">
        <v>31658.400000000001</v>
      </c>
      <c r="C15" s="29">
        <v>7143.6</v>
      </c>
      <c r="D15" s="29">
        <v>1213</v>
      </c>
      <c r="E15" s="31">
        <v>0.22559999999999999</v>
      </c>
      <c r="F15" s="31">
        <v>3.8300000000000001E-2</v>
      </c>
      <c r="G15" s="31">
        <v>0.27560000000000001</v>
      </c>
      <c r="H15" s="59">
        <v>0.23799999999999999</v>
      </c>
      <c r="I15" s="59">
        <v>0.35699999999999998</v>
      </c>
    </row>
    <row r="16" spans="1:9" x14ac:dyDescent="0.25">
      <c r="A16" s="54" t="s">
        <v>2041</v>
      </c>
      <c r="B16" s="29">
        <v>24333.200000000001</v>
      </c>
      <c r="C16" s="29">
        <v>6088.7</v>
      </c>
      <c r="D16" s="29">
        <v>785.4</v>
      </c>
      <c r="E16" s="31">
        <v>0.25019999999999998</v>
      </c>
      <c r="F16" s="31">
        <v>3.2300000000000002E-2</v>
      </c>
      <c r="G16" s="31">
        <v>0.16950000000000001</v>
      </c>
      <c r="H16" s="59">
        <v>5.8999999999999997E-2</v>
      </c>
      <c r="I16" s="59">
        <v>-0.17369999999999999</v>
      </c>
    </row>
    <row r="17" spans="1:9" x14ac:dyDescent="0.25">
      <c r="A17" s="54" t="s">
        <v>2042</v>
      </c>
      <c r="B17" s="29">
        <v>36138.300000000003</v>
      </c>
      <c r="C17" s="29">
        <v>7374.9</v>
      </c>
      <c r="D17" s="29">
        <v>1562.5</v>
      </c>
      <c r="E17" s="31">
        <v>0.2041</v>
      </c>
      <c r="F17" s="31">
        <v>4.3200000000000002E-2</v>
      </c>
      <c r="G17" s="31">
        <v>0.31900000000000001</v>
      </c>
      <c r="H17" s="59">
        <v>0.17530000000000001</v>
      </c>
      <c r="I17" s="59">
        <v>0.65900000000000003</v>
      </c>
    </row>
    <row r="18" spans="1:9" x14ac:dyDescent="0.25">
      <c r="A18" s="54" t="s">
        <v>2043</v>
      </c>
      <c r="B18" s="29">
        <v>36466.699999999997</v>
      </c>
      <c r="C18" s="29">
        <v>8124.3</v>
      </c>
      <c r="D18" s="29">
        <v>1444.5</v>
      </c>
      <c r="E18" s="31">
        <v>0.2228</v>
      </c>
      <c r="F18" s="31">
        <v>3.9600000000000003E-2</v>
      </c>
      <c r="G18" s="31">
        <v>0.27389999999999998</v>
      </c>
      <c r="H18" s="59">
        <v>0.1565</v>
      </c>
      <c r="I18" s="59">
        <v>7.9600000000000004E-2</v>
      </c>
    </row>
    <row r="19" spans="1:9" x14ac:dyDescent="0.25">
      <c r="A19" s="54" t="s">
        <v>2044</v>
      </c>
      <c r="B19" s="29">
        <v>34337.699999999997</v>
      </c>
      <c r="C19" s="29">
        <v>7336.4</v>
      </c>
      <c r="D19" s="29">
        <v>1130</v>
      </c>
      <c r="E19" s="31">
        <v>0.2137</v>
      </c>
      <c r="F19" s="31">
        <v>3.2899999999999999E-2</v>
      </c>
      <c r="G19" s="31">
        <v>0.20449999999999999</v>
      </c>
      <c r="H19" s="59">
        <v>2.7E-2</v>
      </c>
      <c r="I19" s="59">
        <v>-6.8400000000000002E-2</v>
      </c>
    </row>
    <row r="20" spans="1:9" x14ac:dyDescent="0.25">
      <c r="A20" s="54" t="s">
        <v>2045</v>
      </c>
      <c r="B20" s="29">
        <v>32012</v>
      </c>
      <c r="C20" s="29">
        <v>7392</v>
      </c>
      <c r="D20" s="29">
        <v>906.2</v>
      </c>
      <c r="E20" s="31">
        <v>0.23089999999999999</v>
      </c>
      <c r="F20" s="31">
        <v>2.8299999999999999E-2</v>
      </c>
      <c r="G20" s="31">
        <v>0.15859999999999999</v>
      </c>
      <c r="H20" s="59">
        <v>0.21410000000000001</v>
      </c>
      <c r="I20" s="59">
        <v>0.15390000000000001</v>
      </c>
    </row>
    <row r="21" spans="1:9" x14ac:dyDescent="0.25">
      <c r="A21" s="54" t="s">
        <v>2046</v>
      </c>
      <c r="B21" s="29">
        <v>30588.400000000001</v>
      </c>
      <c r="C21" s="29">
        <v>7929.5</v>
      </c>
      <c r="D21" s="29">
        <v>619</v>
      </c>
      <c r="E21" s="31">
        <v>0.25919999999999999</v>
      </c>
      <c r="F21" s="31">
        <v>2.0199999999999999E-2</v>
      </c>
      <c r="G21" s="31">
        <v>0.1048</v>
      </c>
      <c r="H21" s="59">
        <v>7.5200000000000003E-2</v>
      </c>
      <c r="I21" s="59">
        <v>-0.6038</v>
      </c>
    </row>
    <row r="22" spans="1:9" x14ac:dyDescent="0.25">
      <c r="A22" s="54" t="s">
        <v>2047</v>
      </c>
      <c r="B22" s="29">
        <v>27105.8</v>
      </c>
      <c r="C22" s="29">
        <v>5214.5</v>
      </c>
      <c r="D22" s="29">
        <v>21.3</v>
      </c>
      <c r="E22" s="31">
        <v>0.19239999999999999</v>
      </c>
      <c r="F22" s="31">
        <v>8.0000000000000004E-4</v>
      </c>
      <c r="G22" s="31">
        <v>3.5999999999999999E-3</v>
      </c>
      <c r="H22" s="59">
        <v>-0.35820000000000002</v>
      </c>
      <c r="I22" s="59">
        <v>-0.98529999999999995</v>
      </c>
    </row>
    <row r="23" spans="1:9" x14ac:dyDescent="0.25">
      <c r="A23" s="54" t="s">
        <v>2048</v>
      </c>
      <c r="B23" s="29">
        <v>29464.799999999999</v>
      </c>
      <c r="C23" s="29">
        <v>5441.2</v>
      </c>
      <c r="D23" s="29">
        <v>17.399999999999999</v>
      </c>
      <c r="E23" s="31">
        <v>0.1847</v>
      </c>
      <c r="F23" s="31">
        <v>5.9999999999999995E-4</v>
      </c>
      <c r="G23" s="31">
        <v>3.0000000000000001E-3</v>
      </c>
      <c r="H23" s="59">
        <v>-0.25829999999999997</v>
      </c>
      <c r="I23" s="59">
        <v>-0.98460000000000003</v>
      </c>
    </row>
    <row r="24" spans="1:9" x14ac:dyDescent="0.25">
      <c r="A24" s="54" t="s">
        <v>2049</v>
      </c>
      <c r="B24" s="29">
        <v>30287.7</v>
      </c>
      <c r="C24" s="29">
        <v>5678.5</v>
      </c>
      <c r="D24" s="29">
        <v>38.700000000000003</v>
      </c>
      <c r="E24" s="31">
        <v>0.1875</v>
      </c>
      <c r="F24" s="31">
        <v>1.2999999999999999E-3</v>
      </c>
      <c r="G24" s="31">
        <v>6.7000000000000002E-3</v>
      </c>
      <c r="H24" s="59">
        <v>-0.23180000000000001</v>
      </c>
      <c r="I24" s="59">
        <v>-0.95730000000000004</v>
      </c>
    </row>
    <row r="25" spans="1:9" x14ac:dyDescent="0.25">
      <c r="A25" s="54" t="s">
        <v>2050</v>
      </c>
      <c r="B25" s="29">
        <v>31421.5</v>
      </c>
      <c r="C25" s="29">
        <v>6186.5</v>
      </c>
      <c r="D25" s="29">
        <v>90.3</v>
      </c>
      <c r="E25" s="31">
        <v>0.19689999999999999</v>
      </c>
      <c r="F25" s="31">
        <v>2.8999999999999998E-3</v>
      </c>
      <c r="G25" s="31">
        <v>1.55E-2</v>
      </c>
      <c r="H25" s="59">
        <v>-0.2198</v>
      </c>
      <c r="I25" s="59">
        <v>-0.85419999999999996</v>
      </c>
    </row>
    <row r="26" spans="1:9" x14ac:dyDescent="0.25">
      <c r="A26" s="54" t="s">
        <v>2051</v>
      </c>
      <c r="B26" s="29">
        <v>31486.5</v>
      </c>
      <c r="C26" s="29">
        <v>6712.6</v>
      </c>
      <c r="D26" s="29">
        <v>902.4</v>
      </c>
      <c r="E26" s="31">
        <v>0.2132</v>
      </c>
      <c r="F26" s="31">
        <v>2.87E-2</v>
      </c>
      <c r="G26" s="31">
        <v>0.1462</v>
      </c>
      <c r="H26" s="59">
        <v>0.2873</v>
      </c>
      <c r="I26" s="59">
        <v>41.433799999999998</v>
      </c>
    </row>
    <row r="27" spans="1:9" x14ac:dyDescent="0.25">
      <c r="A27" s="54" t="s">
        <v>2052</v>
      </c>
      <c r="B27" s="29">
        <v>34134.1</v>
      </c>
      <c r="C27" s="29">
        <v>7307.7</v>
      </c>
      <c r="D27" s="29">
        <v>1172.3</v>
      </c>
      <c r="E27" s="31">
        <v>0.21410000000000001</v>
      </c>
      <c r="F27" s="31">
        <v>3.4299999999999997E-2</v>
      </c>
      <c r="G27" s="31">
        <v>0.17860000000000001</v>
      </c>
      <c r="H27" s="59">
        <v>0.34300000000000003</v>
      </c>
      <c r="I27" s="59">
        <v>66.350300000000004</v>
      </c>
    </row>
    <row r="28" spans="1:9" x14ac:dyDescent="0.25">
      <c r="A28" s="54" t="s">
        <v>2053</v>
      </c>
      <c r="B28" s="29">
        <v>34146.699999999997</v>
      </c>
      <c r="C28" s="29">
        <v>6891.9</v>
      </c>
      <c r="D28" s="29">
        <v>800.1</v>
      </c>
      <c r="E28" s="31">
        <v>0.20180000000000001</v>
      </c>
      <c r="F28" s="31">
        <v>2.3400000000000001E-2</v>
      </c>
      <c r="G28" s="31">
        <v>0.1191</v>
      </c>
      <c r="H28" s="59">
        <v>0.2137</v>
      </c>
      <c r="I28" s="59">
        <v>19.654800000000002</v>
      </c>
    </row>
    <row r="29" spans="1:9" x14ac:dyDescent="0.25">
      <c r="A29" s="54" t="s">
        <v>2054</v>
      </c>
      <c r="B29" s="29">
        <v>34573.9</v>
      </c>
      <c r="C29" s="29">
        <v>6587</v>
      </c>
      <c r="D29" s="29">
        <v>847</v>
      </c>
      <c r="E29" s="31">
        <v>0.1905</v>
      </c>
      <c r="F29" s="31">
        <v>2.4500000000000001E-2</v>
      </c>
      <c r="G29" s="31">
        <v>0.12230000000000001</v>
      </c>
      <c r="H29" s="59">
        <v>6.4699999999999994E-2</v>
      </c>
      <c r="I29" s="59">
        <v>8.3842999999999996</v>
      </c>
    </row>
    <row r="30" spans="1:9" x14ac:dyDescent="0.25">
      <c r="A30" s="54" t="s">
        <v>2055</v>
      </c>
      <c r="B30" s="29">
        <v>36135</v>
      </c>
      <c r="C30" s="29">
        <v>7200.4</v>
      </c>
      <c r="D30" s="29">
        <v>1545.9</v>
      </c>
      <c r="E30" s="31">
        <v>0.1993</v>
      </c>
      <c r="F30" s="31">
        <v>4.2799999999999998E-2</v>
      </c>
      <c r="G30" s="31">
        <v>0.214</v>
      </c>
      <c r="H30" s="59">
        <v>7.2700000000000001E-2</v>
      </c>
      <c r="I30" s="59">
        <v>0.71309999999999996</v>
      </c>
    </row>
    <row r="31" spans="1:9" x14ac:dyDescent="0.25">
      <c r="A31" s="54" t="s">
        <v>2056</v>
      </c>
      <c r="B31" s="29">
        <v>37620</v>
      </c>
      <c r="C31" s="29">
        <v>7568.7</v>
      </c>
      <c r="D31" s="29">
        <v>1648.1</v>
      </c>
      <c r="E31" s="31">
        <v>0.20119999999999999</v>
      </c>
      <c r="F31" s="31">
        <v>4.3799999999999999E-2</v>
      </c>
      <c r="G31" s="31">
        <v>0.22090000000000001</v>
      </c>
      <c r="H31" s="59">
        <v>3.5700000000000003E-2</v>
      </c>
      <c r="I31" s="59">
        <v>0.40589999999999998</v>
      </c>
    </row>
    <row r="32" spans="1:9" x14ac:dyDescent="0.25">
      <c r="A32" s="54" t="s">
        <v>2057</v>
      </c>
      <c r="B32" s="29">
        <v>39852.5</v>
      </c>
      <c r="C32" s="29">
        <v>7478.2</v>
      </c>
      <c r="D32" s="29">
        <v>1770.9</v>
      </c>
      <c r="E32" s="31">
        <v>0.18759999999999999</v>
      </c>
      <c r="F32" s="31">
        <v>4.4400000000000002E-2</v>
      </c>
      <c r="G32" s="31">
        <v>0.22919999999999999</v>
      </c>
      <c r="H32" s="59">
        <v>8.5099999999999995E-2</v>
      </c>
      <c r="I32" s="59">
        <v>1.2132000000000001</v>
      </c>
    </row>
    <row r="33" spans="1:9" x14ac:dyDescent="0.25">
      <c r="A33" s="54" t="s">
        <v>2058</v>
      </c>
      <c r="B33" s="29">
        <v>42320.7</v>
      </c>
      <c r="C33" s="29">
        <v>8754.6</v>
      </c>
      <c r="D33" s="29">
        <v>2068.6999999999998</v>
      </c>
      <c r="E33" s="31">
        <v>0.2069</v>
      </c>
      <c r="F33" s="31">
        <v>4.8899999999999999E-2</v>
      </c>
      <c r="G33" s="31">
        <v>0.25469999999999998</v>
      </c>
      <c r="H33" s="59">
        <v>0.3291</v>
      </c>
      <c r="I33" s="59">
        <v>1.4423999999999999</v>
      </c>
    </row>
    <row r="34" spans="1:9" x14ac:dyDescent="0.25">
      <c r="A34" s="54" t="s">
        <v>2059</v>
      </c>
      <c r="B34" s="29">
        <v>46462</v>
      </c>
      <c r="C34" s="29">
        <v>9710.1</v>
      </c>
      <c r="D34" s="29">
        <v>2714.4</v>
      </c>
      <c r="E34" s="31">
        <v>0.20899999999999999</v>
      </c>
      <c r="F34" s="31">
        <v>5.8400000000000001E-2</v>
      </c>
      <c r="G34" s="31">
        <v>0.31419999999999998</v>
      </c>
      <c r="H34" s="59">
        <v>0.34860000000000002</v>
      </c>
      <c r="I34" s="59">
        <v>0.75580000000000003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5"/>
  <sheetViews>
    <sheetView workbookViewId="0"/>
  </sheetViews>
  <sheetFormatPr defaultRowHeight="15" x14ac:dyDescent="0.25"/>
  <cols>
    <col min="1" max="1" width="40" customWidth="1"/>
    <col min="2" max="2" width="55" customWidth="1"/>
    <col min="3" max="3" width="16" customWidth="1"/>
  </cols>
  <sheetData>
    <row r="1" spans="1:3" x14ac:dyDescent="0.25">
      <c r="A1" s="19" t="s">
        <v>2069</v>
      </c>
      <c r="B1" s="19" t="s">
        <v>2070</v>
      </c>
      <c r="C1" s="19" t="s">
        <v>2071</v>
      </c>
    </row>
    <row r="2" spans="1:3" x14ac:dyDescent="0.25">
      <c r="A2" s="54" t="s">
        <v>2072</v>
      </c>
      <c r="B2" s="60" t="s">
        <v>2073</v>
      </c>
      <c r="C2" s="56" t="s">
        <v>2074</v>
      </c>
    </row>
    <row r="3" spans="1:3" x14ac:dyDescent="0.25">
      <c r="A3" s="54" t="s">
        <v>2075</v>
      </c>
      <c r="B3" s="60" t="s">
        <v>2076</v>
      </c>
      <c r="C3" s="56" t="s">
        <v>2074</v>
      </c>
    </row>
    <row r="4" spans="1:3" x14ac:dyDescent="0.25">
      <c r="A4" s="54" t="s">
        <v>2077</v>
      </c>
      <c r="B4" s="60" t="s">
        <v>2078</v>
      </c>
      <c r="C4" s="56" t="s">
        <v>2074</v>
      </c>
    </row>
    <row r="5" spans="1:3" x14ac:dyDescent="0.25">
      <c r="A5" s="54" t="s">
        <v>1886</v>
      </c>
      <c r="B5" s="60" t="s">
        <v>2079</v>
      </c>
      <c r="C5" s="56" t="s">
        <v>2074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00_Beta</vt:lpstr>
      <vt:lpstr>00_COE</vt:lpstr>
      <vt:lpstr>01_Cover</vt:lpstr>
      <vt:lpstr>02_Assumptions</vt:lpstr>
      <vt:lpstr>03a_Monthly_Data</vt:lpstr>
      <vt:lpstr>03_Revenue_Model</vt:lpstr>
      <vt:lpstr>04_PnL</vt:lpstr>
      <vt:lpstr>05_Balance_Sheet</vt:lpstr>
      <vt:lpstr>06_Cash_Flow</vt:lpstr>
      <vt:lpstr>07_Valuation</vt:lpstr>
      <vt:lpstr>08_Sensitivity</vt:lpstr>
      <vt:lpstr>09_PESTLE</vt:lpstr>
      <vt:lpstr>10_Leading_Indicators</vt:lpstr>
      <vt:lpstr>11_Investment_Thesis</vt:lpstr>
      <vt:lpstr>12_Summary_Snapshot</vt:lpstr>
      <vt:lpstr>13_PE_PB_History</vt:lpstr>
      <vt:lpstr>14_Quarterly_Ratios</vt:lpstr>
      <vt:lpstr>15_Asset_Quality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2026-07-04T17:17:31Z</dcterms:created>
  <dcterms:modified xsi:type="dcterms:W3CDTF">2026-07-04T17:18:09Z</dcterms:modified>
</cp:coreProperties>
</file>