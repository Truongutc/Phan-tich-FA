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a_Monthly_Data" sheetId="5" state="visible" r:id="rId5"/>
    <sheet xmlns:r="http://schemas.openxmlformats.org/officeDocument/2006/relationships" name="03_Revenue_Model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Cash_Flow" sheetId="9" state="visible" r:id="rId9"/>
    <sheet xmlns:r="http://schemas.openxmlformats.org/officeDocument/2006/relationships" name="07_Valuation" sheetId="10" state="visible" r:id="rId10"/>
    <sheet xmlns:r="http://schemas.openxmlformats.org/officeDocument/2006/relationships" name="08_Sensitivity" sheetId="11" state="visible" r:id="rId11"/>
    <sheet xmlns:r="http://schemas.openxmlformats.org/officeDocument/2006/relationships" name="09_PESTLE" sheetId="12" state="visible" r:id="rId12"/>
    <sheet xmlns:r="http://schemas.openxmlformats.org/officeDocument/2006/relationships" name="10_Leading_Indicators" sheetId="13" state="visible" r:id="rId13"/>
    <sheet xmlns:r="http://schemas.openxmlformats.org/officeDocument/2006/relationships" name="11_Investment_Thesis" sheetId="14" state="visible" r:id="rId14"/>
    <sheet xmlns:r="http://schemas.openxmlformats.org/officeDocument/2006/relationships" name="12_Summary_Snapshot" sheetId="15" state="visible" r:id="rId15"/>
    <sheet xmlns:r="http://schemas.openxmlformats.org/officeDocument/2006/relationships" name="13_PE_PB_History" sheetId="16" state="visible" r:id="rId16"/>
    <sheet xmlns:r="http://schemas.openxmlformats.org/officeDocument/2006/relationships" name="14_Quarterly_Ratios" sheetId="17" state="visible" r:id="rId17"/>
    <sheet xmlns:r="http://schemas.openxmlformats.org/officeDocument/2006/relationships" name="15_Asset_Qua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"/>
    <numFmt numFmtId="165" formatCode="0.00&quot;x&quot;"/>
    <numFmt numFmtId="166" formatCode="0.0%"/>
    <numFmt numFmtId="167" formatCode="0.0000"/>
    <numFmt numFmtId="168" formatCode="0.0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pivotButton="0" quotePrefix="0" xfId="0"/>
    <xf numFmtId="167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0" fontId="2" fillId="4" borderId="1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0" fontId="3" fillId="2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2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6" fillId="0" borderId="0" pivotButton="0" quotePrefix="0" xfId="0"/>
    <xf numFmtId="3" fontId="6" fillId="0" borderId="1" pivotButton="0" quotePrefix="0" xfId="0"/>
    <xf numFmtId="3" fontId="2" fillId="3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doanh thu theo mảng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'03_Revenue_Model'!$H$5</f>
            </numRef>
          </val>
        </ser>
        <ser>
          <idx val="7"/>
          <order val="7"/>
          <tx>
            <v>TGDD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'03_Revenue_Model'!$H$9</f>
            </numRef>
          </val>
        </ser>
        <ser>
          <idx val="15"/>
          <order val="15"/>
          <tx>
            <v>DMX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'03_Revenue_Model'!$H$13</f>
            </numRef>
          </val>
        </ser>
        <ser>
          <idx val="23"/>
          <order val="23"/>
          <tx>
            <v>BHX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'03_Revenue_Model'!$H$17</f>
            </numRef>
          </val>
        </ser>
        <ser>
          <idx val="31"/>
          <order val="31"/>
          <tx>
            <v>Khac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cửa hàng theo mảng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'03_Revenue_Model'!$H$3</f>
            </numRef>
          </val>
        </ser>
        <ser>
          <idx val="2"/>
          <order val="2"/>
          <tx>
            <v>TGDD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'03_Revenue_Model'!$H$7</f>
            </numRef>
          </val>
        </ser>
        <ser>
          <idx val="5"/>
          <order val="5"/>
          <tx>
            <v>DMX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'03_Revenue_Model'!$H$11</f>
            </numRef>
          </val>
        </ser>
        <ser>
          <idx val="8"/>
          <order val="8"/>
          <tx>
            <v>BHX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'03_Revenue_Model'!$H$15</f>
            </numRef>
          </val>
        </ser>
        <ser>
          <idx val="11"/>
          <order val="11"/>
          <tx>
            <v>Khac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Cửa hàng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 theo năm</a:t>
            </a:r>
          </a:p>
        </rich>
      </tx>
    </title>
    <plotArea>
      <barChart>
        <barDir val="col"/>
        <grouping val="clustered"/>
        <ser>
          <idx val="0"/>
          <order val="0"/>
          <tx>
            <v>Doanh thu thuần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8"/>
          <order val="8"/>
          <tx>
            <v>LNST Cổ đông mẹ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'04_PnL'!$C$16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'04_PnL'!$D$16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'04_PnL'!$E$16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'04_PnL'!$F$16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'04_PnL'!$G$16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'04_PnL'!$H$16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'04_PnL'!$I$16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 (LNST)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biên lợi nhuận</a:t>
            </a:r>
          </a:p>
        </rich>
      </tx>
    </title>
    <plotArea>
      <lineChart>
        <grouping val="standard"/>
        <ser>
          <idx val="0"/>
          <order val="0"/>
          <tx>
            <v>Biên LNG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'04_PnL'!$B$6</f>
            </numRef>
          </val>
        </ser>
        <ser>
          <idx val="1"/>
          <order val="1"/>
          <tx>
            <v>Biên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COVAR(C1138:C1637,E1138:E1637)/VAR(E1138:E1637)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>
        <f>COUNT(C1138:C1637)</f>
        <v/>
      </c>
    </row>
    <row r="4">
      <c r="A4" s="4" t="inlineStr">
        <is>
          <t>Ngày</t>
        </is>
      </c>
      <c r="B4" s="4" t="inlineStr">
        <is>
          <t>Giá MWG</t>
        </is>
      </c>
      <c r="C4" s="4" t="inlineStr">
        <is>
          <t>Tỷ suất sinh lời MWG</t>
        </is>
      </c>
      <c r="D4" s="4" t="inlineStr">
        <is>
          <t>Giá VNINDEX</t>
        </is>
      </c>
      <c r="E4" s="4" t="inlineStr">
        <is>
          <t>Tỷ suất sinh lời VNINDEX</t>
        </is>
      </c>
    </row>
    <row r="5">
      <c r="A5" t="inlineStr">
        <is>
          <t>2020-01-02</t>
        </is>
      </c>
      <c r="B5" t="n">
        <v>36902</v>
      </c>
      <c r="D5" t="n">
        <v>966.67</v>
      </c>
    </row>
    <row r="6">
      <c r="A6" t="inlineStr">
        <is>
          <t>2020-01-03</t>
        </is>
      </c>
      <c r="B6" t="n">
        <v>36366</v>
      </c>
      <c r="C6" s="5">
        <f>(B6-B5)/B5</f>
        <v/>
      </c>
      <c r="D6" t="n">
        <v>965.14</v>
      </c>
      <c r="E6" s="5">
        <f>(D6-D5)/D5</f>
        <v/>
      </c>
    </row>
    <row r="7">
      <c r="A7" t="inlineStr">
        <is>
          <t>2020-01-06</t>
        </is>
      </c>
      <c r="B7" t="n">
        <v>36176</v>
      </c>
      <c r="C7" s="5">
        <f>(B7-B6)/B6</f>
        <v/>
      </c>
      <c r="D7" t="n">
        <v>955.79</v>
      </c>
      <c r="E7" s="5">
        <f>(D7-D6)/D6</f>
        <v/>
      </c>
    </row>
    <row r="8">
      <c r="A8" t="inlineStr">
        <is>
          <t>2020-01-07</t>
        </is>
      </c>
      <c r="B8" t="n">
        <v>36460</v>
      </c>
      <c r="C8" s="5">
        <f>(B8-B7)/B7</f>
        <v/>
      </c>
      <c r="D8" t="n">
        <v>958.88</v>
      </c>
      <c r="E8" s="5">
        <f>(D8-D7)/D7</f>
        <v/>
      </c>
    </row>
    <row r="9">
      <c r="A9" t="inlineStr">
        <is>
          <t>2020-01-08</t>
        </is>
      </c>
      <c r="B9" t="n">
        <v>35577</v>
      </c>
      <c r="C9" s="5">
        <f>(B9-B8)/B8</f>
        <v/>
      </c>
      <c r="D9" t="n">
        <v>948.98</v>
      </c>
      <c r="E9" s="5">
        <f>(D9-D8)/D8</f>
        <v/>
      </c>
    </row>
    <row r="10">
      <c r="A10" t="inlineStr">
        <is>
          <t>2020-01-09</t>
        </is>
      </c>
      <c r="B10" t="n">
        <v>36113</v>
      </c>
      <c r="C10" s="5">
        <f>(B10-B9)/B9</f>
        <v/>
      </c>
      <c r="D10" t="n">
        <v>960.15</v>
      </c>
      <c r="E10" s="5">
        <f>(D10-D9)/D9</f>
        <v/>
      </c>
    </row>
    <row r="11">
      <c r="A11" t="inlineStr">
        <is>
          <t>2020-01-10</t>
        </is>
      </c>
      <c r="B11" t="n">
        <v>36303</v>
      </c>
      <c r="C11" s="5">
        <f>(B11-B10)/B10</f>
        <v/>
      </c>
      <c r="D11" t="n">
        <v>968.54</v>
      </c>
      <c r="E11" s="5">
        <f>(D11-D10)/D10</f>
        <v/>
      </c>
    </row>
    <row r="12">
      <c r="A12" t="inlineStr">
        <is>
          <t>2020-01-13</t>
        </is>
      </c>
      <c r="B12" t="n">
        <v>36113</v>
      </c>
      <c r="C12" s="5">
        <f>(B12-B11)/B11</f>
        <v/>
      </c>
      <c r="D12" t="n">
        <v>965.84</v>
      </c>
      <c r="E12" s="5">
        <f>(D12-D11)/D11</f>
        <v/>
      </c>
    </row>
    <row r="13">
      <c r="A13" t="inlineStr">
        <is>
          <t>2020-01-14</t>
        </is>
      </c>
      <c r="B13" t="n">
        <v>35924</v>
      </c>
      <c r="C13" s="5">
        <f>(B13-B12)/B12</f>
        <v/>
      </c>
      <c r="D13" t="n">
        <v>967</v>
      </c>
      <c r="E13" s="5">
        <f>(D13-D12)/D12</f>
        <v/>
      </c>
    </row>
    <row r="14">
      <c r="A14" t="inlineStr">
        <is>
          <t>2020-01-15</t>
        </is>
      </c>
      <c r="B14" t="n">
        <v>35956</v>
      </c>
      <c r="C14" s="5">
        <f>(B14-B13)/B13</f>
        <v/>
      </c>
      <c r="D14" t="n">
        <v>967.5599999999999</v>
      </c>
      <c r="E14" s="5">
        <f>(D14-D13)/D13</f>
        <v/>
      </c>
    </row>
    <row r="15">
      <c r="A15" t="inlineStr">
        <is>
          <t>2020-01-16</t>
        </is>
      </c>
      <c r="B15" t="n">
        <v>36397</v>
      </c>
      <c r="C15" s="5">
        <f>(B15-B14)/B14</f>
        <v/>
      </c>
      <c r="D15" t="n">
        <v>974.3099999999999</v>
      </c>
      <c r="E15" s="5">
        <f>(D15-D14)/D14</f>
        <v/>
      </c>
    </row>
    <row r="16">
      <c r="A16" t="inlineStr">
        <is>
          <t>2020-01-17</t>
        </is>
      </c>
      <c r="B16" t="n">
        <v>36618</v>
      </c>
      <c r="C16" s="5">
        <f>(B16-B15)/B15</f>
        <v/>
      </c>
      <c r="D16" t="n">
        <v>978.96</v>
      </c>
      <c r="E16" s="5">
        <f>(D16-D15)/D15</f>
        <v/>
      </c>
    </row>
    <row r="17">
      <c r="A17" t="inlineStr">
        <is>
          <t>2020-01-20</t>
        </is>
      </c>
      <c r="B17" t="n">
        <v>37406</v>
      </c>
      <c r="C17" s="5">
        <f>(B17-B16)/B16</f>
        <v/>
      </c>
      <c r="D17" t="n">
        <v>978.63</v>
      </c>
      <c r="E17" s="5">
        <f>(D17-D16)/D16</f>
        <v/>
      </c>
    </row>
    <row r="18">
      <c r="A18" t="inlineStr">
        <is>
          <t>2020-01-21</t>
        </is>
      </c>
      <c r="B18" t="n">
        <v>37848</v>
      </c>
      <c r="C18" s="5">
        <f>(B18-B17)/B17</f>
        <v/>
      </c>
      <c r="D18" t="n">
        <v>986.37</v>
      </c>
      <c r="E18" s="5">
        <f>(D18-D17)/D17</f>
        <v/>
      </c>
    </row>
    <row r="19">
      <c r="A19" t="inlineStr">
        <is>
          <t>2020-01-22</t>
        </is>
      </c>
      <c r="B19" t="n">
        <v>37596</v>
      </c>
      <c r="C19" s="5">
        <f>(B19-B18)/B18</f>
        <v/>
      </c>
      <c r="D19" t="n">
        <v>991.46</v>
      </c>
      <c r="E19" s="5">
        <f>(D19-D18)/D18</f>
        <v/>
      </c>
    </row>
    <row r="20">
      <c r="A20" t="inlineStr">
        <is>
          <t>2020-01-30</t>
        </is>
      </c>
      <c r="B20" t="n">
        <v>35956</v>
      </c>
      <c r="C20" s="5">
        <f>(B20-B19)/B19</f>
        <v/>
      </c>
      <c r="D20" t="n">
        <v>959.58</v>
      </c>
      <c r="E20" s="5">
        <f>(D20-D19)/D19</f>
        <v/>
      </c>
    </row>
    <row r="21">
      <c r="A21" t="inlineStr">
        <is>
          <t>2020-01-31</t>
        </is>
      </c>
      <c r="B21" t="n">
        <v>34946</v>
      </c>
      <c r="C21" s="5">
        <f>(B21-B20)/B20</f>
        <v/>
      </c>
      <c r="D21" t="n">
        <v>936.62</v>
      </c>
      <c r="E21" s="5">
        <f>(D21-D20)/D20</f>
        <v/>
      </c>
    </row>
    <row r="22">
      <c r="A22" t="inlineStr">
        <is>
          <t>2020-02-03</t>
        </is>
      </c>
      <c r="B22" t="n">
        <v>34316</v>
      </c>
      <c r="C22" s="5">
        <f>(B22-B21)/B21</f>
        <v/>
      </c>
      <c r="D22" t="n">
        <v>928.14</v>
      </c>
      <c r="E22" s="5">
        <f>(D22-D21)/D21</f>
        <v/>
      </c>
    </row>
    <row r="23">
      <c r="A23" t="inlineStr">
        <is>
          <t>2020-02-04</t>
        </is>
      </c>
      <c r="B23" t="n">
        <v>34032</v>
      </c>
      <c r="C23" s="5">
        <f>(B23-B22)/B22</f>
        <v/>
      </c>
      <c r="D23" t="n">
        <v>929.09</v>
      </c>
      <c r="E23" s="5">
        <f>(D23-D22)/D22</f>
        <v/>
      </c>
    </row>
    <row r="24">
      <c r="A24" t="inlineStr">
        <is>
          <t>2020-02-05</t>
        </is>
      </c>
      <c r="B24" t="n">
        <v>34063</v>
      </c>
      <c r="C24" s="5">
        <f>(B24-B23)/B23</f>
        <v/>
      </c>
      <c r="D24" t="n">
        <v>925.91</v>
      </c>
      <c r="E24" s="5">
        <f>(D24-D23)/D23</f>
        <v/>
      </c>
    </row>
    <row r="25">
      <c r="A25" t="inlineStr">
        <is>
          <t>2020-02-06</t>
        </is>
      </c>
      <c r="B25" t="n">
        <v>34536</v>
      </c>
      <c r="C25" s="5">
        <f>(B25-B24)/B24</f>
        <v/>
      </c>
      <c r="D25" t="n">
        <v>938.54</v>
      </c>
      <c r="E25" s="5">
        <f>(D25-D24)/D24</f>
        <v/>
      </c>
    </row>
    <row r="26">
      <c r="A26" t="inlineStr">
        <is>
          <t>2020-02-07</t>
        </is>
      </c>
      <c r="B26" t="n">
        <v>34284</v>
      </c>
      <c r="C26" s="5">
        <f>(B26-B25)/B25</f>
        <v/>
      </c>
      <c r="D26" t="n">
        <v>940.75</v>
      </c>
      <c r="E26" s="5">
        <f>(D26-D25)/D25</f>
        <v/>
      </c>
    </row>
    <row r="27">
      <c r="A27" t="inlineStr">
        <is>
          <t>2020-02-10</t>
        </is>
      </c>
      <c r="B27" t="n">
        <v>33369</v>
      </c>
      <c r="C27" s="5">
        <f>(B27-B26)/B26</f>
        <v/>
      </c>
      <c r="D27" t="n">
        <v>930.73</v>
      </c>
      <c r="E27" s="5">
        <f>(D27-D26)/D26</f>
        <v/>
      </c>
    </row>
    <row r="28">
      <c r="A28" t="inlineStr">
        <is>
          <t>2020-02-11</t>
        </is>
      </c>
      <c r="B28" t="n">
        <v>33590</v>
      </c>
      <c r="C28" s="5">
        <f>(B28-B27)/B27</f>
        <v/>
      </c>
      <c r="D28" t="n">
        <v>934.67</v>
      </c>
      <c r="E28" s="5">
        <f>(D28-D27)/D27</f>
        <v/>
      </c>
    </row>
    <row r="29">
      <c r="A29" t="inlineStr">
        <is>
          <t>2020-02-12</t>
        </is>
      </c>
      <c r="B29" t="n">
        <v>34379</v>
      </c>
      <c r="C29" s="5">
        <f>(B29-B28)/B28</f>
        <v/>
      </c>
      <c r="D29" t="n">
        <v>937.6799999999999</v>
      </c>
      <c r="E29" s="5">
        <f>(D29-D28)/D28</f>
        <v/>
      </c>
    </row>
    <row r="30">
      <c r="A30" t="inlineStr">
        <is>
          <t>2020-02-13</t>
        </is>
      </c>
      <c r="B30" t="n">
        <v>34063</v>
      </c>
      <c r="C30" s="5">
        <f>(B30-B29)/B29</f>
        <v/>
      </c>
      <c r="D30" t="n">
        <v>938.24</v>
      </c>
      <c r="E30" s="5">
        <f>(D30-D29)/D29</f>
        <v/>
      </c>
    </row>
    <row r="31">
      <c r="A31" t="inlineStr">
        <is>
          <t>2020-02-14</t>
        </is>
      </c>
      <c r="B31" t="n">
        <v>33779</v>
      </c>
      <c r="C31" s="5">
        <f>(B31-B30)/B30</f>
        <v/>
      </c>
      <c r="D31" t="n">
        <v>937.45</v>
      </c>
      <c r="E31" s="5">
        <f>(D31-D30)/D30</f>
        <v/>
      </c>
    </row>
    <row r="32">
      <c r="A32" t="inlineStr">
        <is>
          <t>2020-02-17</t>
        </is>
      </c>
      <c r="B32" t="n">
        <v>33906</v>
      </c>
      <c r="C32" s="5">
        <f>(B32-B31)/B31</f>
        <v/>
      </c>
      <c r="D32" t="n">
        <v>934.77</v>
      </c>
      <c r="E32" s="5">
        <f>(D32-D31)/D31</f>
        <v/>
      </c>
    </row>
    <row r="33">
      <c r="A33" t="inlineStr">
        <is>
          <t>2020-02-18</t>
        </is>
      </c>
      <c r="B33" t="n">
        <v>34347</v>
      </c>
      <c r="C33" s="5">
        <f>(B33-B32)/B32</f>
        <v/>
      </c>
      <c r="D33" t="n">
        <v>927.9299999999999</v>
      </c>
      <c r="E33" s="5">
        <f>(D33-D32)/D32</f>
        <v/>
      </c>
    </row>
    <row r="34">
      <c r="A34" t="inlineStr">
        <is>
          <t>2020-02-19</t>
        </is>
      </c>
      <c r="B34" t="n">
        <v>34852</v>
      </c>
      <c r="C34" s="5">
        <f>(B34-B33)/B33</f>
        <v/>
      </c>
      <c r="D34" t="n">
        <v>928.76</v>
      </c>
      <c r="E34" s="5">
        <f>(D34-D33)/D33</f>
        <v/>
      </c>
    </row>
    <row r="35">
      <c r="A35" t="inlineStr">
        <is>
          <t>2020-02-20</t>
        </is>
      </c>
      <c r="B35" t="n">
        <v>34883</v>
      </c>
      <c r="C35" s="5">
        <f>(B35-B34)/B34</f>
        <v/>
      </c>
      <c r="D35" t="n">
        <v>938.13</v>
      </c>
      <c r="E35" s="5">
        <f>(D35-D34)/D34</f>
        <v/>
      </c>
    </row>
    <row r="36">
      <c r="A36" t="inlineStr">
        <is>
          <t>2020-02-21</t>
        </is>
      </c>
      <c r="B36" t="n">
        <v>34883</v>
      </c>
      <c r="C36" s="5">
        <f>(B36-B35)/B35</f>
        <v/>
      </c>
      <c r="D36" t="n">
        <v>933.09</v>
      </c>
      <c r="E36" s="5">
        <f>(D36-D35)/D35</f>
        <v/>
      </c>
    </row>
    <row r="37">
      <c r="A37" t="inlineStr">
        <is>
          <t>2020-02-24</t>
        </is>
      </c>
      <c r="B37" t="n">
        <v>33496</v>
      </c>
      <c r="C37" s="5">
        <f>(B37-B36)/B36</f>
        <v/>
      </c>
      <c r="D37" t="n">
        <v>903.34</v>
      </c>
      <c r="E37" s="5">
        <f>(D37-D36)/D36</f>
        <v/>
      </c>
    </row>
    <row r="38">
      <c r="A38" t="inlineStr">
        <is>
          <t>2020-02-25</t>
        </is>
      </c>
      <c r="B38" t="n">
        <v>33748</v>
      </c>
      <c r="C38" s="5">
        <f>(B38-B37)/B37</f>
        <v/>
      </c>
      <c r="D38" t="n">
        <v>909.67</v>
      </c>
      <c r="E38" s="5">
        <f>(D38-D37)/D37</f>
        <v/>
      </c>
    </row>
    <row r="39">
      <c r="A39" t="inlineStr">
        <is>
          <t>2020-02-26</t>
        </is>
      </c>
      <c r="B39" t="n">
        <v>33496</v>
      </c>
      <c r="C39" s="5">
        <f>(B39-B38)/B38</f>
        <v/>
      </c>
      <c r="D39" t="n">
        <v>895.97</v>
      </c>
      <c r="E39" s="5">
        <f>(D39-D38)/D38</f>
        <v/>
      </c>
    </row>
    <row r="40">
      <c r="A40" t="inlineStr">
        <is>
          <t>2020-02-27</t>
        </is>
      </c>
      <c r="B40" t="n">
        <v>34189</v>
      </c>
      <c r="C40" s="5">
        <f>(B40-B39)/B39</f>
        <v/>
      </c>
      <c r="D40" t="n">
        <v>898.4400000000001</v>
      </c>
      <c r="E40" s="5">
        <f>(D40-D39)/D39</f>
        <v/>
      </c>
    </row>
    <row r="41">
      <c r="A41" t="inlineStr">
        <is>
          <t>2020-02-28</t>
        </is>
      </c>
      <c r="B41" t="n">
        <v>33590</v>
      </c>
      <c r="C41" s="5">
        <f>(B41-B40)/B40</f>
        <v/>
      </c>
      <c r="D41" t="n">
        <v>882.1900000000001</v>
      </c>
      <c r="E41" s="5">
        <f>(D41-D40)/D40</f>
        <v/>
      </c>
    </row>
    <row r="42">
      <c r="A42" t="inlineStr">
        <is>
          <t>2020-03-02</t>
        </is>
      </c>
      <c r="B42" t="n">
        <v>33590</v>
      </c>
      <c r="C42" s="5">
        <f>(B42-B41)/B41</f>
        <v/>
      </c>
      <c r="D42" t="n">
        <v>884.4299999999999</v>
      </c>
      <c r="E42" s="5">
        <f>(D42-D41)/D41</f>
        <v/>
      </c>
    </row>
    <row r="43">
      <c r="A43" t="inlineStr">
        <is>
          <t>2020-03-03</t>
        </is>
      </c>
      <c r="B43" t="n">
        <v>33559</v>
      </c>
      <c r="C43" s="5">
        <f>(B43-B42)/B42</f>
        <v/>
      </c>
      <c r="D43" t="n">
        <v>890.61</v>
      </c>
      <c r="E43" s="5">
        <f>(D43-D42)/D42</f>
        <v/>
      </c>
    </row>
    <row r="44">
      <c r="A44" t="inlineStr">
        <is>
          <t>2020-03-04</t>
        </is>
      </c>
      <c r="B44" t="n">
        <v>33432</v>
      </c>
      <c r="C44" s="5">
        <f>(B44-B43)/B43</f>
        <v/>
      </c>
      <c r="D44" t="n">
        <v>889.37</v>
      </c>
      <c r="E44" s="5">
        <f>(D44-D43)/D43</f>
        <v/>
      </c>
    </row>
    <row r="45">
      <c r="A45" t="inlineStr">
        <is>
          <t>2020-03-05</t>
        </is>
      </c>
      <c r="B45" t="n">
        <v>33275</v>
      </c>
      <c r="C45" s="5">
        <f>(B45-B44)/B44</f>
        <v/>
      </c>
      <c r="D45" t="n">
        <v>893.3099999999999</v>
      </c>
      <c r="E45" s="5">
        <f>(D45-D44)/D44</f>
        <v/>
      </c>
    </row>
    <row r="46">
      <c r="A46" t="inlineStr">
        <is>
          <t>2020-03-06</t>
        </is>
      </c>
      <c r="B46" t="n">
        <v>32518</v>
      </c>
      <c r="C46" s="5">
        <f>(B46-B45)/B45</f>
        <v/>
      </c>
      <c r="D46" t="n">
        <v>891.4400000000001</v>
      </c>
      <c r="E46" s="5">
        <f>(D46-D45)/D45</f>
        <v/>
      </c>
    </row>
    <row r="47">
      <c r="A47" t="inlineStr">
        <is>
          <t>2020-03-09</t>
        </is>
      </c>
      <c r="B47" t="n">
        <v>30247</v>
      </c>
      <c r="C47" s="5">
        <f>(B47-B46)/B46</f>
        <v/>
      </c>
      <c r="D47" t="n">
        <v>835.49</v>
      </c>
      <c r="E47" s="5">
        <f>(D47-D46)/D46</f>
        <v/>
      </c>
    </row>
    <row r="48">
      <c r="A48" t="inlineStr">
        <is>
          <t>2020-03-10</t>
        </is>
      </c>
      <c r="B48" t="n">
        <v>29616</v>
      </c>
      <c r="C48" s="5">
        <f>(B48-B47)/B47</f>
        <v/>
      </c>
      <c r="D48" t="n">
        <v>837.5</v>
      </c>
      <c r="E48" s="5">
        <f>(D48-D47)/D47</f>
        <v/>
      </c>
    </row>
    <row r="49">
      <c r="A49" t="inlineStr">
        <is>
          <t>2020-03-11</t>
        </is>
      </c>
      <c r="B49" t="n">
        <v>27566</v>
      </c>
      <c r="C49" s="5">
        <f>(B49-B48)/B48</f>
        <v/>
      </c>
      <c r="D49" t="n">
        <v>811.35</v>
      </c>
      <c r="E49" s="5">
        <f>(D49-D48)/D48</f>
        <v/>
      </c>
    </row>
    <row r="50">
      <c r="A50" t="inlineStr">
        <is>
          <t>2020-03-12</t>
        </is>
      </c>
      <c r="B50" t="n">
        <v>25642</v>
      </c>
      <c r="C50" s="5">
        <f>(B50-B49)/B49</f>
        <v/>
      </c>
      <c r="D50" t="n">
        <v>769.25</v>
      </c>
      <c r="E50" s="5">
        <f>(D50-D49)/D49</f>
        <v/>
      </c>
    </row>
    <row r="51">
      <c r="A51" t="inlineStr">
        <is>
          <t>2020-03-13</t>
        </is>
      </c>
      <c r="B51" t="n">
        <v>24917</v>
      </c>
      <c r="C51" s="5">
        <f>(B51-B50)/B50</f>
        <v/>
      </c>
      <c r="D51" t="n">
        <v>761.78</v>
      </c>
      <c r="E51" s="5">
        <f>(D51-D50)/D50</f>
        <v/>
      </c>
    </row>
    <row r="52">
      <c r="A52" t="inlineStr">
        <is>
          <t>2020-03-16</t>
        </is>
      </c>
      <c r="B52" t="n">
        <v>23970</v>
      </c>
      <c r="C52" s="5">
        <f>(B52-B51)/B51</f>
        <v/>
      </c>
      <c r="D52" t="n">
        <v>747.86</v>
      </c>
      <c r="E52" s="5">
        <f>(D52-D51)/D51</f>
        <v/>
      </c>
    </row>
    <row r="53">
      <c r="A53" t="inlineStr">
        <is>
          <t>2020-03-17</t>
        </is>
      </c>
      <c r="B53" t="n">
        <v>24380</v>
      </c>
      <c r="C53" s="5">
        <f>(B53-B52)/B52</f>
        <v/>
      </c>
      <c r="D53" t="n">
        <v>745.78</v>
      </c>
      <c r="E53" s="5">
        <f>(D53-D52)/D52</f>
        <v/>
      </c>
    </row>
    <row r="54">
      <c r="A54" t="inlineStr">
        <is>
          <t>2020-03-18</t>
        </is>
      </c>
      <c r="B54" t="n">
        <v>24854</v>
      </c>
      <c r="C54" s="5">
        <f>(B54-B53)/B53</f>
        <v/>
      </c>
      <c r="D54" t="n">
        <v>747.66</v>
      </c>
      <c r="E54" s="5">
        <f>(D54-D53)/D53</f>
        <v/>
      </c>
    </row>
    <row r="55">
      <c r="A55" t="inlineStr">
        <is>
          <t>2020-03-19</t>
        </is>
      </c>
      <c r="B55" t="n">
        <v>23844</v>
      </c>
      <c r="C55" s="5">
        <f>(B55-B54)/B54</f>
        <v/>
      </c>
      <c r="D55" t="n">
        <v>725.9400000000001</v>
      </c>
      <c r="E55" s="5">
        <f>(D55-D54)/D54</f>
        <v/>
      </c>
    </row>
    <row r="56">
      <c r="A56" t="inlineStr">
        <is>
          <t>2020-03-20</t>
        </is>
      </c>
      <c r="B56" t="n">
        <v>24349</v>
      </c>
      <c r="C56" s="5">
        <f>(B56-B55)/B55</f>
        <v/>
      </c>
      <c r="D56" t="n">
        <v>709.73</v>
      </c>
      <c r="E56" s="5">
        <f>(D56-D55)/D55</f>
        <v/>
      </c>
    </row>
    <row r="57">
      <c r="A57" t="inlineStr">
        <is>
          <t>2020-03-23</t>
        </is>
      </c>
      <c r="B57" t="n">
        <v>22646</v>
      </c>
      <c r="C57" s="5">
        <f>(B57-B56)/B56</f>
        <v/>
      </c>
      <c r="D57" t="n">
        <v>666.59</v>
      </c>
      <c r="E57" s="5">
        <f>(D57-D56)/D56</f>
        <v/>
      </c>
    </row>
    <row r="58">
      <c r="A58" t="inlineStr">
        <is>
          <t>2020-03-24</t>
        </is>
      </c>
      <c r="B58" t="n">
        <v>21700</v>
      </c>
      <c r="C58" s="5">
        <f>(B58-B57)/B57</f>
        <v/>
      </c>
      <c r="D58" t="n">
        <v>659.21</v>
      </c>
      <c r="E58" s="5">
        <f>(D58-D57)/D57</f>
        <v/>
      </c>
    </row>
    <row r="59">
      <c r="A59" t="inlineStr">
        <is>
          <t>2020-03-25</t>
        </is>
      </c>
      <c r="B59" t="n">
        <v>23024</v>
      </c>
      <c r="C59" s="5">
        <f>(B59-B58)/B58</f>
        <v/>
      </c>
      <c r="D59" t="n">
        <v>690.25</v>
      </c>
      <c r="E59" s="5">
        <f>(D59-D58)/D58</f>
        <v/>
      </c>
    </row>
    <row r="60">
      <c r="A60" t="inlineStr">
        <is>
          <t>2020-03-26</t>
        </is>
      </c>
      <c r="B60" t="n">
        <v>21447</v>
      </c>
      <c r="C60" s="5">
        <f>(B60-B59)/B59</f>
        <v/>
      </c>
      <c r="D60" t="n">
        <v>694.21</v>
      </c>
      <c r="E60" s="5">
        <f>(D60-D59)/D59</f>
        <v/>
      </c>
    </row>
    <row r="61">
      <c r="A61" t="inlineStr">
        <is>
          <t>2020-03-27</t>
        </is>
      </c>
      <c r="B61" t="n">
        <v>19965</v>
      </c>
      <c r="C61" s="5">
        <f>(B61-B60)/B60</f>
        <v/>
      </c>
      <c r="D61" t="n">
        <v>696.0599999999999</v>
      </c>
      <c r="E61" s="5">
        <f>(D61-D60)/D60</f>
        <v/>
      </c>
    </row>
    <row r="62">
      <c r="A62" t="inlineStr">
        <is>
          <t>2020-03-30</t>
        </is>
      </c>
      <c r="B62" t="n">
        <v>18766</v>
      </c>
      <c r="C62" s="5">
        <f>(B62-B61)/B61</f>
        <v/>
      </c>
      <c r="D62" t="n">
        <v>662.26</v>
      </c>
      <c r="E62" s="5">
        <f>(D62-D61)/D61</f>
        <v/>
      </c>
    </row>
    <row r="63">
      <c r="A63" t="inlineStr">
        <is>
          <t>2020-03-31</t>
        </is>
      </c>
      <c r="B63" t="n">
        <v>18577</v>
      </c>
      <c r="C63" s="5">
        <f>(B63-B62)/B62</f>
        <v/>
      </c>
      <c r="D63" t="n">
        <v>662.53</v>
      </c>
      <c r="E63" s="5">
        <f>(D63-D62)/D62</f>
        <v/>
      </c>
    </row>
    <row r="64">
      <c r="A64" t="inlineStr">
        <is>
          <t>2020-04-01</t>
        </is>
      </c>
      <c r="B64" t="n">
        <v>19302</v>
      </c>
      <c r="C64" s="5">
        <f>(B64-B63)/B63</f>
        <v/>
      </c>
      <c r="D64" t="n">
        <v>680.23</v>
      </c>
      <c r="E64" s="5">
        <f>(D64-D63)/D63</f>
        <v/>
      </c>
    </row>
    <row r="65">
      <c r="A65" t="inlineStr">
        <is>
          <t>2020-04-03</t>
        </is>
      </c>
      <c r="B65" t="n">
        <v>20627</v>
      </c>
      <c r="C65" s="5">
        <f>(B65-B64)/B64</f>
        <v/>
      </c>
      <c r="D65" t="n">
        <v>701.8</v>
      </c>
      <c r="E65" s="5">
        <f>(D65-D64)/D64</f>
        <v/>
      </c>
    </row>
    <row r="66">
      <c r="A66" t="inlineStr">
        <is>
          <t>2020-04-06</t>
        </is>
      </c>
      <c r="B66" t="n">
        <v>22046</v>
      </c>
      <c r="C66" s="5">
        <f>(B66-B65)/B65</f>
        <v/>
      </c>
      <c r="D66" t="n">
        <v>736.75</v>
      </c>
      <c r="E66" s="5">
        <f>(D66-D65)/D65</f>
        <v/>
      </c>
    </row>
    <row r="67">
      <c r="A67" t="inlineStr">
        <is>
          <t>2020-04-07</t>
        </is>
      </c>
      <c r="B67" t="n">
        <v>23529</v>
      </c>
      <c r="C67" s="5">
        <f>(B67-B66)/B66</f>
        <v/>
      </c>
      <c r="D67" t="n">
        <v>746.6900000000001</v>
      </c>
      <c r="E67" s="5">
        <f>(D67-D66)/D66</f>
        <v/>
      </c>
    </row>
    <row r="68">
      <c r="A68" t="inlineStr">
        <is>
          <t>2020-04-08</t>
        </is>
      </c>
      <c r="B68" t="n">
        <v>23340</v>
      </c>
      <c r="C68" s="5">
        <f>(B68-B67)/B67</f>
        <v/>
      </c>
      <c r="D68" t="n">
        <v>748.02</v>
      </c>
      <c r="E68" s="5">
        <f>(D68-D67)/D67</f>
        <v/>
      </c>
    </row>
    <row r="69">
      <c r="A69" t="inlineStr">
        <is>
          <t>2020-04-09</t>
        </is>
      </c>
      <c r="B69" t="n">
        <v>23024</v>
      </c>
      <c r="C69" s="5">
        <f>(B69-B68)/B68</f>
        <v/>
      </c>
      <c r="D69" t="n">
        <v>760.33</v>
      </c>
      <c r="E69" s="5">
        <f>(D69-D68)/D68</f>
        <v/>
      </c>
    </row>
    <row r="70">
      <c r="A70" t="inlineStr">
        <is>
          <t>2020-04-10</t>
        </is>
      </c>
      <c r="B70" t="n">
        <v>22614</v>
      </c>
      <c r="C70" s="5">
        <f>(B70-B69)/B69</f>
        <v/>
      </c>
      <c r="D70" t="n">
        <v>757.9400000000001</v>
      </c>
      <c r="E70" s="5">
        <f>(D70-D69)/D69</f>
        <v/>
      </c>
    </row>
    <row r="71">
      <c r="A71" t="inlineStr">
        <is>
          <t>2020-04-13</t>
        </is>
      </c>
      <c r="B71" t="n">
        <v>23655</v>
      </c>
      <c r="C71" s="5">
        <f>(B71-B70)/B70</f>
        <v/>
      </c>
      <c r="D71" t="n">
        <v>765.79</v>
      </c>
      <c r="E71" s="5">
        <f>(D71-D70)/D70</f>
        <v/>
      </c>
    </row>
    <row r="72">
      <c r="A72" t="inlineStr">
        <is>
          <t>2020-04-14</t>
        </is>
      </c>
      <c r="B72" t="n">
        <v>23592</v>
      </c>
      <c r="C72" s="5">
        <f>(B72-B71)/B71</f>
        <v/>
      </c>
      <c r="D72" t="n">
        <v>767.41</v>
      </c>
      <c r="E72" s="5">
        <f>(D72-D71)/D71</f>
        <v/>
      </c>
    </row>
    <row r="73">
      <c r="A73" t="inlineStr">
        <is>
          <t>2020-04-15</t>
        </is>
      </c>
      <c r="B73" t="n">
        <v>24223</v>
      </c>
      <c r="C73" s="5">
        <f>(B73-B72)/B72</f>
        <v/>
      </c>
      <c r="D73" t="n">
        <v>777.22</v>
      </c>
      <c r="E73" s="5">
        <f>(D73-D72)/D72</f>
        <v/>
      </c>
    </row>
    <row r="74">
      <c r="A74" t="inlineStr">
        <is>
          <t>2020-04-16</t>
        </is>
      </c>
      <c r="B74" t="n">
        <v>24254</v>
      </c>
      <c r="C74" s="5">
        <f>(B74-B73)/B73</f>
        <v/>
      </c>
      <c r="D74" t="n">
        <v>780.7</v>
      </c>
      <c r="E74" s="5">
        <f>(D74-D73)/D73</f>
        <v/>
      </c>
    </row>
    <row r="75">
      <c r="A75" t="inlineStr">
        <is>
          <t>2020-04-17</t>
        </is>
      </c>
      <c r="B75" t="n">
        <v>25863</v>
      </c>
      <c r="C75" s="5">
        <f>(B75-B74)/B74</f>
        <v/>
      </c>
      <c r="D75" t="n">
        <v>789.6</v>
      </c>
      <c r="E75" s="5">
        <f>(D75-D74)/D74</f>
        <v/>
      </c>
    </row>
    <row r="76">
      <c r="A76" t="inlineStr">
        <is>
          <t>2020-04-20</t>
        </is>
      </c>
      <c r="B76" t="n">
        <v>26588</v>
      </c>
      <c r="C76" s="5">
        <f>(B76-B75)/B75</f>
        <v/>
      </c>
      <c r="D76" t="n">
        <v>794.97</v>
      </c>
      <c r="E76" s="5">
        <f>(D76-D75)/D75</f>
        <v/>
      </c>
    </row>
    <row r="77">
      <c r="A77" t="inlineStr">
        <is>
          <t>2020-04-21</t>
        </is>
      </c>
      <c r="B77" t="n">
        <v>25043</v>
      </c>
      <c r="C77" s="5">
        <f>(B77-B76)/B76</f>
        <v/>
      </c>
      <c r="D77" t="n">
        <v>766.84</v>
      </c>
      <c r="E77" s="5">
        <f>(D77-D76)/D76</f>
        <v/>
      </c>
    </row>
    <row r="78">
      <c r="A78" t="inlineStr">
        <is>
          <t>2020-04-22</t>
        </is>
      </c>
      <c r="B78" t="n">
        <v>25863</v>
      </c>
      <c r="C78" s="5">
        <f>(B78-B77)/B77</f>
        <v/>
      </c>
      <c r="D78" t="n">
        <v>768.92</v>
      </c>
      <c r="E78" s="5">
        <f>(D78-D77)/D77</f>
        <v/>
      </c>
    </row>
    <row r="79">
      <c r="A79" t="inlineStr">
        <is>
          <t>2020-04-23</t>
        </is>
      </c>
      <c r="B79" t="n">
        <v>26336</v>
      </c>
      <c r="C79" s="5">
        <f>(B79-B78)/B78</f>
        <v/>
      </c>
      <c r="D79" t="n">
        <v>773.91</v>
      </c>
      <c r="E79" s="5">
        <f>(D79-D78)/D78</f>
        <v/>
      </c>
    </row>
    <row r="80">
      <c r="A80" t="inlineStr">
        <is>
          <t>2020-04-24</t>
        </is>
      </c>
      <c r="B80" t="n">
        <v>26178</v>
      </c>
      <c r="C80" s="5">
        <f>(B80-B79)/B79</f>
        <v/>
      </c>
      <c r="D80" t="n">
        <v>776.66</v>
      </c>
      <c r="E80" s="5">
        <f>(D80-D79)/D79</f>
        <v/>
      </c>
    </row>
    <row r="81">
      <c r="A81" t="inlineStr">
        <is>
          <t>2020-04-27</t>
        </is>
      </c>
      <c r="B81" t="n">
        <v>25926</v>
      </c>
      <c r="C81" s="5">
        <f>(B81-B80)/B80</f>
        <v/>
      </c>
      <c r="D81" t="n">
        <v>770.77</v>
      </c>
      <c r="E81" s="5">
        <f>(D81-D80)/D80</f>
        <v/>
      </c>
    </row>
    <row r="82">
      <c r="A82" t="inlineStr">
        <is>
          <t>2020-04-28</t>
        </is>
      </c>
      <c r="B82" t="n">
        <v>25516</v>
      </c>
      <c r="C82" s="5">
        <f>(B82-B81)/B81</f>
        <v/>
      </c>
      <c r="D82" t="n">
        <v>767.21</v>
      </c>
      <c r="E82" s="5">
        <f>(D82-D81)/D81</f>
        <v/>
      </c>
    </row>
    <row r="83">
      <c r="A83" t="inlineStr">
        <is>
          <t>2020-04-29</t>
        </is>
      </c>
      <c r="B83" t="n">
        <v>25768</v>
      </c>
      <c r="C83" s="5">
        <f>(B83-B82)/B82</f>
        <v/>
      </c>
      <c r="D83" t="n">
        <v>769.11</v>
      </c>
      <c r="E83" s="5">
        <f>(D83-D82)/D82</f>
        <v/>
      </c>
    </row>
    <row r="84">
      <c r="A84" t="inlineStr">
        <is>
          <t>2020-05-04</t>
        </is>
      </c>
      <c r="B84" t="n">
        <v>25043</v>
      </c>
      <c r="C84" s="5">
        <f>(B84-B83)/B83</f>
        <v/>
      </c>
      <c r="D84" t="n">
        <v>762.47</v>
      </c>
      <c r="E84" s="5">
        <f>(D84-D83)/D83</f>
        <v/>
      </c>
    </row>
    <row r="85">
      <c r="A85" t="inlineStr">
        <is>
          <t>2020-05-05</t>
        </is>
      </c>
      <c r="B85" t="n">
        <v>25011</v>
      </c>
      <c r="C85" s="5">
        <f>(B85-B84)/B84</f>
        <v/>
      </c>
      <c r="D85" t="n">
        <v>764.16</v>
      </c>
      <c r="E85" s="5">
        <f>(D85-D84)/D84</f>
        <v/>
      </c>
    </row>
    <row r="86">
      <c r="A86" t="inlineStr">
        <is>
          <t>2020-05-06</t>
        </is>
      </c>
      <c r="B86" t="n">
        <v>25610</v>
      </c>
      <c r="C86" s="5">
        <f>(B86-B85)/B85</f>
        <v/>
      </c>
      <c r="D86" t="n">
        <v>782.59</v>
      </c>
      <c r="E86" s="5">
        <f>(D86-D85)/D85</f>
        <v/>
      </c>
    </row>
    <row r="87">
      <c r="A87" t="inlineStr">
        <is>
          <t>2020-05-07</t>
        </is>
      </c>
      <c r="B87" t="n">
        <v>26052</v>
      </c>
      <c r="C87" s="5">
        <f>(B87-B86)/B86</f>
        <v/>
      </c>
      <c r="D87" t="n">
        <v>796.54</v>
      </c>
      <c r="E87" s="5">
        <f>(D87-D86)/D86</f>
        <v/>
      </c>
    </row>
    <row r="88">
      <c r="A88" t="inlineStr">
        <is>
          <t>2020-05-08</t>
        </is>
      </c>
      <c r="B88" t="n">
        <v>26431</v>
      </c>
      <c r="C88" s="5">
        <f>(B88-B87)/B87</f>
        <v/>
      </c>
      <c r="D88" t="n">
        <v>813.73</v>
      </c>
      <c r="E88" s="5">
        <f>(D88-D87)/D87</f>
        <v/>
      </c>
    </row>
    <row r="89">
      <c r="A89" t="inlineStr">
        <is>
          <t>2020-05-11</t>
        </is>
      </c>
      <c r="B89" t="n">
        <v>26809</v>
      </c>
      <c r="C89" s="5">
        <f>(B89-B88)/B88</f>
        <v/>
      </c>
      <c r="D89" t="n">
        <v>828.33</v>
      </c>
      <c r="E89" s="5">
        <f>(D89-D88)/D88</f>
        <v/>
      </c>
    </row>
    <row r="90">
      <c r="A90" t="inlineStr">
        <is>
          <t>2020-05-12</t>
        </is>
      </c>
      <c r="B90" t="n">
        <v>26273</v>
      </c>
      <c r="C90" s="5">
        <f>(B90-B89)/B89</f>
        <v/>
      </c>
      <c r="D90" t="n">
        <v>835.3200000000001</v>
      </c>
      <c r="E90" s="5">
        <f>(D90-D89)/D89</f>
        <v/>
      </c>
    </row>
    <row r="91">
      <c r="A91" t="inlineStr">
        <is>
          <t>2020-05-13</t>
        </is>
      </c>
      <c r="B91" t="n">
        <v>26462</v>
      </c>
      <c r="C91" s="5">
        <f>(B91-B90)/B90</f>
        <v/>
      </c>
      <c r="D91" t="n">
        <v>834.21</v>
      </c>
      <c r="E91" s="5">
        <f>(D91-D90)/D90</f>
        <v/>
      </c>
    </row>
    <row r="92">
      <c r="A92" t="inlineStr">
        <is>
          <t>2020-05-14</t>
        </is>
      </c>
      <c r="B92" t="n">
        <v>26178</v>
      </c>
      <c r="C92" s="5">
        <f>(B92-B91)/B91</f>
        <v/>
      </c>
      <c r="D92" t="n">
        <v>832.4</v>
      </c>
      <c r="E92" s="5">
        <f>(D92-D91)/D91</f>
        <v/>
      </c>
    </row>
    <row r="93">
      <c r="A93" t="inlineStr">
        <is>
          <t>2020-05-15</t>
        </is>
      </c>
      <c r="B93" t="n">
        <v>25894</v>
      </c>
      <c r="C93" s="5">
        <f>(B93-B92)/B92</f>
        <v/>
      </c>
      <c r="D93" t="n">
        <v>827.03</v>
      </c>
      <c r="E93" s="5">
        <f>(D93-D92)/D92</f>
        <v/>
      </c>
    </row>
    <row r="94">
      <c r="A94" t="inlineStr">
        <is>
          <t>2020-05-18</t>
        </is>
      </c>
      <c r="B94" t="n">
        <v>26967</v>
      </c>
      <c r="C94" s="5">
        <f>(B94-B93)/B93</f>
        <v/>
      </c>
      <c r="D94" t="n">
        <v>837.01</v>
      </c>
      <c r="E94" s="5">
        <f>(D94-D93)/D93</f>
        <v/>
      </c>
    </row>
    <row r="95">
      <c r="A95" t="inlineStr">
        <is>
          <t>2020-05-19</t>
        </is>
      </c>
      <c r="B95" t="n">
        <v>27503</v>
      </c>
      <c r="C95" s="5">
        <f>(B95-B94)/B94</f>
        <v/>
      </c>
      <c r="D95" t="n">
        <v>845.92</v>
      </c>
      <c r="E95" s="5">
        <f>(D95-D94)/D94</f>
        <v/>
      </c>
    </row>
    <row r="96">
      <c r="A96" t="inlineStr">
        <is>
          <t>2020-05-20</t>
        </is>
      </c>
      <c r="B96" t="n">
        <v>27282</v>
      </c>
      <c r="C96" s="5">
        <f>(B96-B95)/B95</f>
        <v/>
      </c>
      <c r="D96" t="n">
        <v>852.91</v>
      </c>
      <c r="E96" s="5">
        <f>(D96-D95)/D95</f>
        <v/>
      </c>
    </row>
    <row r="97">
      <c r="A97" t="inlineStr">
        <is>
          <t>2020-05-21</t>
        </is>
      </c>
      <c r="B97" t="n">
        <v>27440</v>
      </c>
      <c r="C97" s="5">
        <f>(B97-B96)/B96</f>
        <v/>
      </c>
      <c r="D97" t="n">
        <v>862.73</v>
      </c>
      <c r="E97" s="5">
        <f>(D97-D96)/D96</f>
        <v/>
      </c>
    </row>
    <row r="98">
      <c r="A98" t="inlineStr">
        <is>
          <t>2020-05-22</t>
        </is>
      </c>
      <c r="B98" t="n">
        <v>26809</v>
      </c>
      <c r="C98" s="5">
        <f>(B98-B97)/B97</f>
        <v/>
      </c>
      <c r="D98" t="n">
        <v>852.74</v>
      </c>
      <c r="E98" s="5">
        <f>(D98-D97)/D97</f>
        <v/>
      </c>
    </row>
    <row r="99">
      <c r="A99" t="inlineStr">
        <is>
          <t>2020-05-25</t>
        </is>
      </c>
      <c r="B99" t="n">
        <v>27156</v>
      </c>
      <c r="C99" s="5">
        <f>(B99-B98)/B98</f>
        <v/>
      </c>
      <c r="D99" t="n">
        <v>859.04</v>
      </c>
      <c r="E99" s="5">
        <f>(D99-D98)/D98</f>
        <v/>
      </c>
    </row>
    <row r="100">
      <c r="A100" t="inlineStr">
        <is>
          <t>2020-05-26</t>
        </is>
      </c>
      <c r="B100" t="n">
        <v>27282</v>
      </c>
      <c r="C100" s="5">
        <f>(B100-B99)/B99</f>
        <v/>
      </c>
      <c r="D100" t="n">
        <v>869.13</v>
      </c>
      <c r="E100" s="5">
        <f>(D100-D99)/D99</f>
        <v/>
      </c>
    </row>
    <row r="101">
      <c r="A101" t="inlineStr">
        <is>
          <t>2020-05-27</t>
        </is>
      </c>
      <c r="B101" t="n">
        <v>26746</v>
      </c>
      <c r="C101" s="5">
        <f>(B101-B100)/B100</f>
        <v/>
      </c>
      <c r="D101" t="n">
        <v>857.48</v>
      </c>
      <c r="E101" s="5">
        <f>(D101-D100)/D100</f>
        <v/>
      </c>
    </row>
    <row r="102">
      <c r="A102" t="inlineStr">
        <is>
          <t>2020-05-28</t>
        </is>
      </c>
      <c r="B102" t="n">
        <v>26714</v>
      </c>
      <c r="C102" s="5">
        <f>(B102-B101)/B101</f>
        <v/>
      </c>
      <c r="D102" t="n">
        <v>861.39</v>
      </c>
      <c r="E102" s="5">
        <f>(D102-D101)/D101</f>
        <v/>
      </c>
    </row>
    <row r="103">
      <c r="A103" t="inlineStr">
        <is>
          <t>2020-05-29</t>
        </is>
      </c>
      <c r="B103" t="n">
        <v>26683</v>
      </c>
      <c r="C103" s="5">
        <f>(B103-B102)/B102</f>
        <v/>
      </c>
      <c r="D103" t="n">
        <v>864.47</v>
      </c>
      <c r="E103" s="5">
        <f>(D103-D102)/D102</f>
        <v/>
      </c>
    </row>
    <row r="104">
      <c r="A104" t="inlineStr">
        <is>
          <t>2020-06-01</t>
        </is>
      </c>
      <c r="B104" t="n">
        <v>27124</v>
      </c>
      <c r="C104" s="5">
        <f>(B104-B103)/B103</f>
        <v/>
      </c>
      <c r="D104" t="n">
        <v>878.67</v>
      </c>
      <c r="E104" s="5">
        <f>(D104-D103)/D103</f>
        <v/>
      </c>
    </row>
    <row r="105">
      <c r="A105" t="inlineStr">
        <is>
          <t>2020-06-02</t>
        </is>
      </c>
      <c r="B105" t="n">
        <v>26904</v>
      </c>
      <c r="C105" s="5">
        <f>(B105-B104)/B104</f>
        <v/>
      </c>
      <c r="D105" t="n">
        <v>874.8</v>
      </c>
      <c r="E105" s="5">
        <f>(D105-D104)/D104</f>
        <v/>
      </c>
    </row>
    <row r="106">
      <c r="A106" t="inlineStr">
        <is>
          <t>2020-06-03</t>
        </is>
      </c>
      <c r="B106" t="n">
        <v>26935</v>
      </c>
      <c r="C106" s="5">
        <f>(B106-B105)/B105</f>
        <v/>
      </c>
      <c r="D106" t="n">
        <v>881.17</v>
      </c>
      <c r="E106" s="5">
        <f>(D106-D105)/D105</f>
        <v/>
      </c>
    </row>
    <row r="107">
      <c r="A107" t="inlineStr">
        <is>
          <t>2020-06-04</t>
        </is>
      </c>
      <c r="B107" t="n">
        <v>26967</v>
      </c>
      <c r="C107" s="5">
        <f>(B107-B106)/B106</f>
        <v/>
      </c>
      <c r="D107" t="n">
        <v>883.9</v>
      </c>
      <c r="E107" s="5">
        <f>(D107-D106)/D106</f>
        <v/>
      </c>
    </row>
    <row r="108">
      <c r="A108" t="inlineStr">
        <is>
          <t>2020-06-05</t>
        </is>
      </c>
      <c r="B108" t="n">
        <v>27156</v>
      </c>
      <c r="C108" s="5">
        <f>(B108-B107)/B107</f>
        <v/>
      </c>
      <c r="D108" t="n">
        <v>886.22</v>
      </c>
      <c r="E108" s="5">
        <f>(D108-D107)/D107</f>
        <v/>
      </c>
    </row>
    <row r="109">
      <c r="A109" t="inlineStr">
        <is>
          <t>2020-06-08</t>
        </is>
      </c>
      <c r="B109" t="n">
        <v>28418</v>
      </c>
      <c r="C109" s="5">
        <f>(B109-B108)/B108</f>
        <v/>
      </c>
      <c r="D109" t="n">
        <v>899.92</v>
      </c>
      <c r="E109" s="5">
        <f>(D109-D108)/D108</f>
        <v/>
      </c>
    </row>
    <row r="110">
      <c r="A110" t="inlineStr">
        <is>
          <t>2020-06-09</t>
        </is>
      </c>
      <c r="B110" t="n">
        <v>27976</v>
      </c>
      <c r="C110" s="5">
        <f>(B110-B109)/B109</f>
        <v/>
      </c>
      <c r="D110" t="n">
        <v>903.1</v>
      </c>
      <c r="E110" s="5">
        <f>(D110-D109)/D109</f>
        <v/>
      </c>
    </row>
    <row r="111">
      <c r="A111" t="inlineStr">
        <is>
          <t>2020-06-10</t>
        </is>
      </c>
      <c r="B111" t="n">
        <v>28197</v>
      </c>
      <c r="C111" s="5">
        <f>(B111-B110)/B110</f>
        <v/>
      </c>
      <c r="D111" t="n">
        <v>900.6799999999999</v>
      </c>
      <c r="E111" s="5">
        <f>(D111-D110)/D110</f>
        <v/>
      </c>
    </row>
    <row r="112">
      <c r="A112" t="inlineStr">
        <is>
          <t>2020-06-11</t>
        </is>
      </c>
      <c r="B112" t="n">
        <v>26241</v>
      </c>
      <c r="C112" s="5">
        <f>(B112-B111)/B111</f>
        <v/>
      </c>
      <c r="D112" t="n">
        <v>867.37</v>
      </c>
      <c r="E112" s="5">
        <f>(D112-D111)/D111</f>
        <v/>
      </c>
    </row>
    <row r="113">
      <c r="A113" t="inlineStr">
        <is>
          <t>2020-06-12</t>
        </is>
      </c>
      <c r="B113" t="n">
        <v>27124</v>
      </c>
      <c r="C113" s="5">
        <f>(B113-B112)/B112</f>
        <v/>
      </c>
      <c r="D113" t="n">
        <v>863.52</v>
      </c>
      <c r="E113" s="5">
        <f>(D113-D112)/D112</f>
        <v/>
      </c>
    </row>
    <row r="114">
      <c r="A114" t="inlineStr">
        <is>
          <t>2020-06-15</t>
        </is>
      </c>
      <c r="B114" t="n">
        <v>26021</v>
      </c>
      <c r="C114" s="5">
        <f>(B114-B113)/B113</f>
        <v/>
      </c>
      <c r="D114" t="n">
        <v>832.47</v>
      </c>
      <c r="E114" s="5">
        <f>(D114-D113)/D113</f>
        <v/>
      </c>
    </row>
    <row r="115">
      <c r="A115" t="inlineStr">
        <is>
          <t>2020-06-16</t>
        </is>
      </c>
      <c r="B115" t="n">
        <v>26620</v>
      </c>
      <c r="C115" s="5">
        <f>(B115-B114)/B114</f>
        <v/>
      </c>
      <c r="D115" t="n">
        <v>856.13</v>
      </c>
      <c r="E115" s="5">
        <f>(D115-D114)/D114</f>
        <v/>
      </c>
    </row>
    <row r="116">
      <c r="A116" t="inlineStr">
        <is>
          <t>2020-06-17</t>
        </is>
      </c>
      <c r="B116" t="n">
        <v>26431</v>
      </c>
      <c r="C116" s="5">
        <f>(B116-B115)/B115</f>
        <v/>
      </c>
      <c r="D116" t="n">
        <v>854.4400000000001</v>
      </c>
      <c r="E116" s="5">
        <f>(D116-D115)/D115</f>
        <v/>
      </c>
    </row>
    <row r="117">
      <c r="A117" t="inlineStr">
        <is>
          <t>2020-06-18</t>
        </is>
      </c>
      <c r="B117" t="n">
        <v>26431</v>
      </c>
      <c r="C117" s="5">
        <f>(B117-B116)/B116</f>
        <v/>
      </c>
      <c r="D117" t="n">
        <v>855.27</v>
      </c>
      <c r="E117" s="5">
        <f>(D117-D116)/D116</f>
        <v/>
      </c>
    </row>
    <row r="118">
      <c r="A118" t="inlineStr">
        <is>
          <t>2020-06-19</t>
        </is>
      </c>
      <c r="B118" t="n">
        <v>26651</v>
      </c>
      <c r="C118" s="5">
        <f>(B118-B117)/B117</f>
        <v/>
      </c>
      <c r="D118" t="n">
        <v>868.5599999999999</v>
      </c>
      <c r="E118" s="5">
        <f>(D118-D117)/D117</f>
        <v/>
      </c>
    </row>
    <row r="119">
      <c r="A119" t="inlineStr">
        <is>
          <t>2020-06-22</t>
        </is>
      </c>
      <c r="B119" t="n">
        <v>27093</v>
      </c>
      <c r="C119" s="5">
        <f>(B119-B118)/B118</f>
        <v/>
      </c>
      <c r="D119" t="n">
        <v>871.28</v>
      </c>
      <c r="E119" s="5">
        <f>(D119-D118)/D118</f>
        <v/>
      </c>
    </row>
    <row r="120">
      <c r="A120" t="inlineStr">
        <is>
          <t>2020-06-23</t>
        </is>
      </c>
      <c r="B120" t="n">
        <v>26904</v>
      </c>
      <c r="C120" s="5">
        <f>(B120-B119)/B119</f>
        <v/>
      </c>
      <c r="D120" t="n">
        <v>868.2</v>
      </c>
      <c r="E120" s="5">
        <f>(D120-D119)/D119</f>
        <v/>
      </c>
    </row>
    <row r="121">
      <c r="A121" t="inlineStr">
        <is>
          <t>2020-06-24</t>
        </is>
      </c>
      <c r="B121" t="n">
        <v>26809</v>
      </c>
      <c r="C121" s="5">
        <f>(B121-B120)/B120</f>
        <v/>
      </c>
      <c r="D121" t="n">
        <v>859.71</v>
      </c>
      <c r="E121" s="5">
        <f>(D121-D120)/D120</f>
        <v/>
      </c>
    </row>
    <row r="122">
      <c r="A122" t="inlineStr">
        <is>
          <t>2020-06-25</t>
        </is>
      </c>
      <c r="B122" t="n">
        <v>26367</v>
      </c>
      <c r="C122" s="5">
        <f>(B122-B121)/B121</f>
        <v/>
      </c>
      <c r="D122" t="n">
        <v>854.59</v>
      </c>
      <c r="E122" s="5">
        <f>(D122-D121)/D121</f>
        <v/>
      </c>
    </row>
    <row r="123">
      <c r="A123" t="inlineStr">
        <is>
          <t>2020-06-26</t>
        </is>
      </c>
      <c r="B123" t="n">
        <v>26557</v>
      </c>
      <c r="C123" s="5">
        <f>(B123-B122)/B122</f>
        <v/>
      </c>
      <c r="D123" t="n">
        <v>851.98</v>
      </c>
      <c r="E123" s="5">
        <f>(D123-D122)/D122</f>
        <v/>
      </c>
    </row>
    <row r="124">
      <c r="A124" t="inlineStr">
        <is>
          <t>2020-06-29</t>
        </is>
      </c>
      <c r="B124" t="n">
        <v>25705</v>
      </c>
      <c r="C124" s="5">
        <f>(B124-B123)/B123</f>
        <v/>
      </c>
      <c r="D124" t="n">
        <v>829.36</v>
      </c>
      <c r="E124" s="5">
        <f>(D124-D123)/D123</f>
        <v/>
      </c>
    </row>
    <row r="125">
      <c r="A125" t="inlineStr">
        <is>
          <t>2020-06-30</t>
        </is>
      </c>
      <c r="B125" t="n">
        <v>25484</v>
      </c>
      <c r="C125" s="5">
        <f>(B125-B124)/B124</f>
        <v/>
      </c>
      <c r="D125" t="n">
        <v>825.11</v>
      </c>
      <c r="E125" s="5">
        <f>(D125-D124)/D124</f>
        <v/>
      </c>
    </row>
    <row r="126">
      <c r="A126" t="inlineStr">
        <is>
          <t>2020-07-01</t>
        </is>
      </c>
      <c r="B126" t="n">
        <v>25863</v>
      </c>
      <c r="C126" s="5">
        <f>(B126-B125)/B125</f>
        <v/>
      </c>
      <c r="D126" t="n">
        <v>843.49</v>
      </c>
      <c r="E126" s="5">
        <f>(D126-D125)/D125</f>
        <v/>
      </c>
    </row>
    <row r="127">
      <c r="A127" t="inlineStr">
        <is>
          <t>2020-07-02</t>
        </is>
      </c>
      <c r="B127" t="n">
        <v>25800</v>
      </c>
      <c r="C127" s="5">
        <f>(B127-B126)/B126</f>
        <v/>
      </c>
      <c r="D127" t="n">
        <v>842.38</v>
      </c>
      <c r="E127" s="5">
        <f>(D127-D126)/D126</f>
        <v/>
      </c>
    </row>
    <row r="128">
      <c r="A128" t="inlineStr">
        <is>
          <t>2020-07-03</t>
        </is>
      </c>
      <c r="B128" t="n">
        <v>25768</v>
      </c>
      <c r="C128" s="5">
        <f>(B128-B127)/B127</f>
        <v/>
      </c>
      <c r="D128" t="n">
        <v>847.61</v>
      </c>
      <c r="E128" s="5">
        <f>(D128-D127)/D127</f>
        <v/>
      </c>
    </row>
    <row r="129">
      <c r="A129" t="inlineStr">
        <is>
          <t>2020-07-06</t>
        </is>
      </c>
      <c r="B129" t="n">
        <v>26336</v>
      </c>
      <c r="C129" s="5">
        <f>(B129-B128)/B128</f>
        <v/>
      </c>
      <c r="D129" t="n">
        <v>861.16</v>
      </c>
      <c r="E129" s="5">
        <f>(D129-D128)/D128</f>
        <v/>
      </c>
    </row>
    <row r="130">
      <c r="A130" t="inlineStr">
        <is>
          <t>2020-07-07</t>
        </is>
      </c>
      <c r="B130" t="n">
        <v>26399</v>
      </c>
      <c r="C130" s="5">
        <f>(B130-B129)/B129</f>
        <v/>
      </c>
      <c r="D130" t="n">
        <v>863.42</v>
      </c>
      <c r="E130" s="5">
        <f>(D130-D129)/D129</f>
        <v/>
      </c>
    </row>
    <row r="131">
      <c r="A131" t="inlineStr">
        <is>
          <t>2020-07-08</t>
        </is>
      </c>
      <c r="B131" t="n">
        <v>26367</v>
      </c>
      <c r="C131" s="5">
        <f>(B131-B130)/B130</f>
        <v/>
      </c>
      <c r="D131" t="n">
        <v>864.5</v>
      </c>
      <c r="E131" s="5">
        <f>(D131-D130)/D130</f>
        <v/>
      </c>
    </row>
    <row r="132">
      <c r="A132" t="inlineStr">
        <is>
          <t>2020-07-09</t>
        </is>
      </c>
      <c r="B132" t="n">
        <v>26494</v>
      </c>
      <c r="C132" s="5">
        <f>(B132-B131)/B131</f>
        <v/>
      </c>
      <c r="D132" t="n">
        <v>876.46</v>
      </c>
      <c r="E132" s="5">
        <f>(D132-D131)/D131</f>
        <v/>
      </c>
    </row>
    <row r="133">
      <c r="A133" t="inlineStr">
        <is>
          <t>2020-07-10</t>
        </is>
      </c>
      <c r="B133" t="n">
        <v>26147</v>
      </c>
      <c r="C133" s="5">
        <f>(B133-B132)/B132</f>
        <v/>
      </c>
      <c r="D133" t="n">
        <v>871.21</v>
      </c>
      <c r="E133" s="5">
        <f>(D133-D132)/D132</f>
        <v/>
      </c>
    </row>
    <row r="134">
      <c r="A134" t="inlineStr">
        <is>
          <t>2020-07-13</t>
        </is>
      </c>
      <c r="B134" t="n">
        <v>26115</v>
      </c>
      <c r="C134" s="5">
        <f>(B134-B133)/B133</f>
        <v/>
      </c>
      <c r="D134" t="n">
        <v>868.72</v>
      </c>
      <c r="E134" s="5">
        <f>(D134-D133)/D133</f>
        <v/>
      </c>
    </row>
    <row r="135">
      <c r="A135" t="inlineStr">
        <is>
          <t>2020-07-14</t>
        </is>
      </c>
      <c r="B135" t="n">
        <v>26147</v>
      </c>
      <c r="C135" s="5">
        <f>(B135-B134)/B134</f>
        <v/>
      </c>
      <c r="D135" t="n">
        <v>868.11</v>
      </c>
      <c r="E135" s="5">
        <f>(D135-D134)/D134</f>
        <v/>
      </c>
    </row>
    <row r="136">
      <c r="A136" t="inlineStr">
        <is>
          <t>2020-07-15</t>
        </is>
      </c>
      <c r="B136" t="n">
        <v>26683</v>
      </c>
      <c r="C136" s="5">
        <f>(B136-B135)/B135</f>
        <v/>
      </c>
      <c r="D136" t="n">
        <v>869.91</v>
      </c>
      <c r="E136" s="5">
        <f>(D136-D135)/D135</f>
        <v/>
      </c>
    </row>
    <row r="137">
      <c r="A137" t="inlineStr">
        <is>
          <t>2020-07-16</t>
        </is>
      </c>
      <c r="B137" t="n">
        <v>26746</v>
      </c>
      <c r="C137" s="5">
        <f>(B137-B136)/B136</f>
        <v/>
      </c>
      <c r="D137" t="n">
        <v>876.83</v>
      </c>
      <c r="E137" s="5">
        <f>(D137-D136)/D136</f>
        <v/>
      </c>
    </row>
    <row r="138">
      <c r="A138" t="inlineStr">
        <is>
          <t>2020-07-17</t>
        </is>
      </c>
      <c r="B138" t="n">
        <v>26494</v>
      </c>
      <c r="C138" s="5">
        <f>(B138-B137)/B137</f>
        <v/>
      </c>
      <c r="D138" t="n">
        <v>872.02</v>
      </c>
      <c r="E138" s="5">
        <f>(D138-D137)/D137</f>
        <v/>
      </c>
    </row>
    <row r="139">
      <c r="A139" t="inlineStr">
        <is>
          <t>2020-07-20</t>
        </is>
      </c>
      <c r="B139" t="n">
        <v>26273</v>
      </c>
      <c r="C139" s="5">
        <f>(B139-B138)/B138</f>
        <v/>
      </c>
      <c r="D139" t="n">
        <v>861.4</v>
      </c>
      <c r="E139" s="5">
        <f>(D139-D138)/D138</f>
        <v/>
      </c>
    </row>
    <row r="140">
      <c r="A140" t="inlineStr">
        <is>
          <t>2020-07-21</t>
        </is>
      </c>
      <c r="B140" t="n">
        <v>26399</v>
      </c>
      <c r="C140" s="5">
        <f>(B140-B139)/B139</f>
        <v/>
      </c>
      <c r="D140" t="n">
        <v>861.6900000000001</v>
      </c>
      <c r="E140" s="5">
        <f>(D140-D139)/D139</f>
        <v/>
      </c>
    </row>
    <row r="141">
      <c r="A141" t="inlineStr">
        <is>
          <t>2020-07-22</t>
        </is>
      </c>
      <c r="B141" t="n">
        <v>26241</v>
      </c>
      <c r="C141" s="5">
        <f>(B141-B140)/B140</f>
        <v/>
      </c>
      <c r="D141" t="n">
        <v>855.08</v>
      </c>
      <c r="E141" s="5">
        <f>(D141-D140)/D140</f>
        <v/>
      </c>
    </row>
    <row r="142">
      <c r="A142" t="inlineStr">
        <is>
          <t>2020-07-23</t>
        </is>
      </c>
      <c r="B142" t="n">
        <v>26178</v>
      </c>
      <c r="C142" s="5">
        <f>(B142-B141)/B141</f>
        <v/>
      </c>
      <c r="D142" t="n">
        <v>856.75</v>
      </c>
      <c r="E142" s="5">
        <f>(D142-D141)/D141</f>
        <v/>
      </c>
    </row>
    <row r="143">
      <c r="A143" t="inlineStr">
        <is>
          <t>2020-07-24</t>
        </is>
      </c>
      <c r="B143" t="n">
        <v>24980</v>
      </c>
      <c r="C143" s="5">
        <f>(B143-B142)/B142</f>
        <v/>
      </c>
      <c r="D143" t="n">
        <v>829.16</v>
      </c>
      <c r="E143" s="5">
        <f>(D143-D142)/D142</f>
        <v/>
      </c>
    </row>
    <row r="144">
      <c r="A144" t="inlineStr">
        <is>
          <t>2020-07-27</t>
        </is>
      </c>
      <c r="B144" t="n">
        <v>23245</v>
      </c>
      <c r="C144" s="5">
        <f>(B144-B143)/B143</f>
        <v/>
      </c>
      <c r="D144" t="n">
        <v>785.17</v>
      </c>
      <c r="E144" s="5">
        <f>(D144-D143)/D143</f>
        <v/>
      </c>
    </row>
    <row r="145">
      <c r="A145" t="inlineStr">
        <is>
          <t>2020-07-28</t>
        </is>
      </c>
      <c r="B145" t="n">
        <v>23970</v>
      </c>
      <c r="C145" s="5">
        <f>(B145-B144)/B144</f>
        <v/>
      </c>
      <c r="D145" t="n">
        <v>813.36</v>
      </c>
      <c r="E145" s="5">
        <f>(D145-D144)/D144</f>
        <v/>
      </c>
    </row>
    <row r="146">
      <c r="A146" t="inlineStr">
        <is>
          <t>2020-07-29</t>
        </is>
      </c>
      <c r="B146" t="n">
        <v>23024</v>
      </c>
      <c r="C146" s="5">
        <f>(B146-B145)/B145</f>
        <v/>
      </c>
      <c r="D146" t="n">
        <v>790.84</v>
      </c>
      <c r="E146" s="5">
        <f>(D146-D145)/D145</f>
        <v/>
      </c>
    </row>
    <row r="147">
      <c r="A147" t="inlineStr">
        <is>
          <t>2020-07-30</t>
        </is>
      </c>
      <c r="B147" t="n">
        <v>23434</v>
      </c>
      <c r="C147" s="5">
        <f>(B147-B146)/B146</f>
        <v/>
      </c>
      <c r="D147" t="n">
        <v>801.13</v>
      </c>
      <c r="E147" s="5">
        <f>(D147-D146)/D146</f>
        <v/>
      </c>
    </row>
    <row r="148">
      <c r="A148" t="inlineStr">
        <is>
          <t>2020-07-31</t>
        </is>
      </c>
      <c r="B148" t="n">
        <v>23497</v>
      </c>
      <c r="C148" s="5">
        <f>(B148-B147)/B147</f>
        <v/>
      </c>
      <c r="D148" t="n">
        <v>798.39</v>
      </c>
      <c r="E148" s="5">
        <f>(D148-D147)/D147</f>
        <v/>
      </c>
    </row>
    <row r="149">
      <c r="A149" t="inlineStr">
        <is>
          <t>2020-08-03</t>
        </is>
      </c>
      <c r="B149" t="n">
        <v>23970</v>
      </c>
      <c r="C149" s="5">
        <f>(B149-B148)/B148</f>
        <v/>
      </c>
      <c r="D149" t="n">
        <v>814.65</v>
      </c>
      <c r="E149" s="5">
        <f>(D149-D148)/D148</f>
        <v/>
      </c>
    </row>
    <row r="150">
      <c r="A150" t="inlineStr">
        <is>
          <t>2020-08-04</t>
        </is>
      </c>
      <c r="B150" t="n">
        <v>24286</v>
      </c>
      <c r="C150" s="5">
        <f>(B150-B149)/B149</f>
        <v/>
      </c>
      <c r="D150" t="n">
        <v>827.5700000000001</v>
      </c>
      <c r="E150" s="5">
        <f>(D150-D149)/D149</f>
        <v/>
      </c>
    </row>
    <row r="151">
      <c r="A151" t="inlineStr">
        <is>
          <t>2020-08-05</t>
        </is>
      </c>
      <c r="B151" t="n">
        <v>24980</v>
      </c>
      <c r="C151" s="5">
        <f>(B151-B150)/B150</f>
        <v/>
      </c>
      <c r="D151" t="n">
        <v>837.8</v>
      </c>
      <c r="E151" s="5">
        <f>(D151-D150)/D150</f>
        <v/>
      </c>
    </row>
    <row r="152">
      <c r="A152" t="inlineStr">
        <is>
          <t>2020-08-06</t>
        </is>
      </c>
      <c r="B152" t="n">
        <v>25011</v>
      </c>
      <c r="C152" s="5">
        <f>(B152-B151)/B151</f>
        <v/>
      </c>
      <c r="D152" t="n">
        <v>840.04</v>
      </c>
      <c r="E152" s="5">
        <f>(D152-D151)/D151</f>
        <v/>
      </c>
    </row>
    <row r="153">
      <c r="A153" t="inlineStr">
        <is>
          <t>2020-08-07</t>
        </is>
      </c>
      <c r="B153" t="n">
        <v>24790</v>
      </c>
      <c r="C153" s="5">
        <f>(B153-B152)/B152</f>
        <v/>
      </c>
      <c r="D153" t="n">
        <v>841.46</v>
      </c>
      <c r="E153" s="5">
        <f>(D153-D152)/D152</f>
        <v/>
      </c>
    </row>
    <row r="154">
      <c r="A154" t="inlineStr">
        <is>
          <t>2020-08-10</t>
        </is>
      </c>
      <c r="B154" t="n">
        <v>24917</v>
      </c>
      <c r="C154" s="5">
        <f>(B154-B153)/B153</f>
        <v/>
      </c>
      <c r="D154" t="n">
        <v>843.2</v>
      </c>
      <c r="E154" s="5">
        <f>(D154-D153)/D153</f>
        <v/>
      </c>
    </row>
    <row r="155">
      <c r="A155" t="inlineStr">
        <is>
          <t>2020-08-11</t>
        </is>
      </c>
      <c r="B155" t="n">
        <v>25074</v>
      </c>
      <c r="C155" s="5">
        <f>(B155-B154)/B154</f>
        <v/>
      </c>
      <c r="D155" t="n">
        <v>843.08</v>
      </c>
      <c r="E155" s="5">
        <f>(D155-D154)/D154</f>
        <v/>
      </c>
    </row>
    <row r="156">
      <c r="A156" t="inlineStr">
        <is>
          <t>2020-08-12</t>
        </is>
      </c>
      <c r="B156" t="n">
        <v>25169</v>
      </c>
      <c r="C156" s="5">
        <f>(B156-B155)/B155</f>
        <v/>
      </c>
      <c r="D156" t="n">
        <v>846.92</v>
      </c>
      <c r="E156" s="5">
        <f>(D156-D155)/D155</f>
        <v/>
      </c>
    </row>
    <row r="157">
      <c r="A157" t="inlineStr">
        <is>
          <t>2020-08-13</t>
        </is>
      </c>
      <c r="B157" t="n">
        <v>25926</v>
      </c>
      <c r="C157" s="5">
        <f>(B157-B156)/B156</f>
        <v/>
      </c>
      <c r="D157" t="n">
        <v>855.05</v>
      </c>
      <c r="E157" s="5">
        <f>(D157-D156)/D156</f>
        <v/>
      </c>
    </row>
    <row r="158">
      <c r="A158" t="inlineStr">
        <is>
          <t>2020-08-14</t>
        </is>
      </c>
      <c r="B158" t="n">
        <v>26210</v>
      </c>
      <c r="C158" s="5">
        <f>(B158-B157)/B157</f>
        <v/>
      </c>
      <c r="D158" t="n">
        <v>850.74</v>
      </c>
      <c r="E158" s="5">
        <f>(D158-D157)/D157</f>
        <v/>
      </c>
    </row>
    <row r="159">
      <c r="A159" t="inlineStr">
        <is>
          <t>2020-08-17</t>
        </is>
      </c>
      <c r="B159" t="n">
        <v>25926</v>
      </c>
      <c r="C159" s="5">
        <f>(B159-B158)/B158</f>
        <v/>
      </c>
      <c r="D159" t="n">
        <v>850.15</v>
      </c>
      <c r="E159" s="5">
        <f>(D159-D158)/D158</f>
        <v/>
      </c>
    </row>
    <row r="160">
      <c r="A160" t="inlineStr">
        <is>
          <t>2020-08-18</t>
        </is>
      </c>
      <c r="B160" t="n">
        <v>25674</v>
      </c>
      <c r="C160" s="5">
        <f>(B160-B159)/B159</f>
        <v/>
      </c>
      <c r="D160" t="n">
        <v>846.4299999999999</v>
      </c>
      <c r="E160" s="5">
        <f>(D160-D159)/D159</f>
        <v/>
      </c>
    </row>
    <row r="161">
      <c r="A161" t="inlineStr">
        <is>
          <t>2020-08-19</t>
        </is>
      </c>
      <c r="B161" t="n">
        <v>25800</v>
      </c>
      <c r="C161" s="5">
        <f>(B161-B160)/B160</f>
        <v/>
      </c>
      <c r="D161" t="n">
        <v>851.21</v>
      </c>
      <c r="E161" s="5">
        <f>(D161-D160)/D160</f>
        <v/>
      </c>
    </row>
    <row r="162">
      <c r="A162" t="inlineStr">
        <is>
          <t>2020-08-20</t>
        </is>
      </c>
      <c r="B162" t="n">
        <v>25768</v>
      </c>
      <c r="C162" s="5">
        <f>(B162-B161)/B161</f>
        <v/>
      </c>
      <c r="D162" t="n">
        <v>848.21</v>
      </c>
      <c r="E162" s="5">
        <f>(D162-D161)/D161</f>
        <v/>
      </c>
    </row>
    <row r="163">
      <c r="A163" t="inlineStr">
        <is>
          <t>2020-08-21</t>
        </is>
      </c>
      <c r="B163" t="n">
        <v>25863</v>
      </c>
      <c r="C163" s="5">
        <f>(B163-B162)/B162</f>
        <v/>
      </c>
      <c r="D163" t="n">
        <v>854.78</v>
      </c>
      <c r="E163" s="5">
        <f>(D163-D162)/D162</f>
        <v/>
      </c>
    </row>
    <row r="164">
      <c r="A164" t="inlineStr">
        <is>
          <t>2020-08-24</t>
        </is>
      </c>
      <c r="B164" t="n">
        <v>26525</v>
      </c>
      <c r="C164" s="5">
        <f>(B164-B163)/B163</f>
        <v/>
      </c>
      <c r="D164" t="n">
        <v>868.6799999999999</v>
      </c>
      <c r="E164" s="5">
        <f>(D164-D163)/D163</f>
        <v/>
      </c>
    </row>
    <row r="165">
      <c r="A165" t="inlineStr">
        <is>
          <t>2020-08-25</t>
        </is>
      </c>
      <c r="B165" t="n">
        <v>27629</v>
      </c>
      <c r="C165" s="5">
        <f>(B165-B164)/B164</f>
        <v/>
      </c>
      <c r="D165" t="n">
        <v>874.12</v>
      </c>
      <c r="E165" s="5">
        <f>(D165-D164)/D164</f>
        <v/>
      </c>
    </row>
    <row r="166">
      <c r="A166" t="inlineStr">
        <is>
          <t>2020-08-26</t>
        </is>
      </c>
      <c r="B166" t="n">
        <v>27534</v>
      </c>
      <c r="C166" s="5">
        <f>(B166-B165)/B165</f>
        <v/>
      </c>
      <c r="D166" t="n">
        <v>873.47</v>
      </c>
      <c r="E166" s="5">
        <f>(D166-D165)/D165</f>
        <v/>
      </c>
    </row>
    <row r="167">
      <c r="A167" t="inlineStr">
        <is>
          <t>2020-08-27</t>
        </is>
      </c>
      <c r="B167" t="n">
        <v>28039</v>
      </c>
      <c r="C167" s="5">
        <f>(B167-B166)/B166</f>
        <v/>
      </c>
      <c r="D167" t="n">
        <v>874.71</v>
      </c>
      <c r="E167" s="5">
        <f>(D167-D166)/D166</f>
        <v/>
      </c>
    </row>
    <row r="168">
      <c r="A168" t="inlineStr">
        <is>
          <t>2020-08-28</t>
        </is>
      </c>
      <c r="B168" t="n">
        <v>29269</v>
      </c>
      <c r="C168" s="5">
        <f>(B168-B167)/B167</f>
        <v/>
      </c>
      <c r="D168" t="n">
        <v>878.98</v>
      </c>
      <c r="E168" s="5">
        <f>(D168-D167)/D167</f>
        <v/>
      </c>
    </row>
    <row r="169">
      <c r="A169" t="inlineStr">
        <is>
          <t>2020-08-31</t>
        </is>
      </c>
      <c r="B169" t="n">
        <v>29458</v>
      </c>
      <c r="C169" s="5">
        <f>(B169-B168)/B168</f>
        <v/>
      </c>
      <c r="D169" t="n">
        <v>881.65</v>
      </c>
      <c r="E169" s="5">
        <f>(D169-D168)/D168</f>
        <v/>
      </c>
    </row>
    <row r="170">
      <c r="A170" t="inlineStr">
        <is>
          <t>2020-09-01</t>
        </is>
      </c>
      <c r="B170" t="n">
        <v>29585</v>
      </c>
      <c r="C170" s="5">
        <f>(B170-B169)/B169</f>
        <v/>
      </c>
      <c r="D170" t="n">
        <v>891.73</v>
      </c>
      <c r="E170" s="5">
        <f>(D170-D169)/D169</f>
        <v/>
      </c>
    </row>
    <row r="171">
      <c r="A171" t="inlineStr">
        <is>
          <t>2020-09-03</t>
        </is>
      </c>
      <c r="B171" t="n">
        <v>29900</v>
      </c>
      <c r="C171" s="5">
        <f>(B171-B170)/B170</f>
        <v/>
      </c>
      <c r="D171" t="n">
        <v>903.97</v>
      </c>
      <c r="E171" s="5">
        <f>(D171-D170)/D170</f>
        <v/>
      </c>
    </row>
    <row r="172">
      <c r="A172" t="inlineStr">
        <is>
          <t>2020-09-04</t>
        </is>
      </c>
      <c r="B172" t="n">
        <v>29679</v>
      </c>
      <c r="C172" s="5">
        <f>(B172-B171)/B171</f>
        <v/>
      </c>
      <c r="D172" t="n">
        <v>901.54</v>
      </c>
      <c r="E172" s="5">
        <f>(D172-D171)/D171</f>
        <v/>
      </c>
    </row>
    <row r="173">
      <c r="A173" t="inlineStr">
        <is>
          <t>2020-09-07</t>
        </is>
      </c>
      <c r="B173" t="n">
        <v>28481</v>
      </c>
      <c r="C173" s="5">
        <f>(B173-B172)/B172</f>
        <v/>
      </c>
      <c r="D173" t="n">
        <v>888.25</v>
      </c>
      <c r="E173" s="5">
        <f>(D173-D172)/D172</f>
        <v/>
      </c>
    </row>
    <row r="174">
      <c r="A174" t="inlineStr">
        <is>
          <t>2020-09-08</t>
        </is>
      </c>
      <c r="B174" t="n">
        <v>29364</v>
      </c>
      <c r="C174" s="5">
        <f>(B174-B173)/B173</f>
        <v/>
      </c>
      <c r="D174" t="n">
        <v>890.14</v>
      </c>
      <c r="E174" s="5">
        <f>(D174-D173)/D173</f>
        <v/>
      </c>
    </row>
    <row r="175">
      <c r="A175" t="inlineStr">
        <is>
          <t>2020-09-09</t>
        </is>
      </c>
      <c r="B175" t="n">
        <v>29458</v>
      </c>
      <c r="C175" s="5">
        <f>(B175-B174)/B174</f>
        <v/>
      </c>
      <c r="D175" t="n">
        <v>889.3200000000001</v>
      </c>
      <c r="E175" s="5">
        <f>(D175-D174)/D174</f>
        <v/>
      </c>
    </row>
    <row r="176">
      <c r="A176" t="inlineStr">
        <is>
          <t>2020-09-10</t>
        </is>
      </c>
      <c r="B176" t="n">
        <v>29616</v>
      </c>
      <c r="C176" s="5">
        <f>(B176-B175)/B175</f>
        <v/>
      </c>
      <c r="D176" t="n">
        <v>888.8200000000001</v>
      </c>
      <c r="E176" s="5">
        <f>(D176-D175)/D175</f>
        <v/>
      </c>
    </row>
    <row r="177">
      <c r="A177" t="inlineStr">
        <is>
          <t>2020-09-11</t>
        </is>
      </c>
      <c r="B177" t="n">
        <v>29458</v>
      </c>
      <c r="C177" s="5">
        <f>(B177-B176)/B176</f>
        <v/>
      </c>
      <c r="D177" t="n">
        <v>888.97</v>
      </c>
      <c r="E177" s="5">
        <f>(D177-D176)/D176</f>
        <v/>
      </c>
    </row>
    <row r="178">
      <c r="A178" t="inlineStr">
        <is>
          <t>2020-09-14</t>
        </is>
      </c>
      <c r="B178" t="n">
        <v>29332</v>
      </c>
      <c r="C178" s="5">
        <f>(B178-B177)/B177</f>
        <v/>
      </c>
      <c r="D178" t="n">
        <v>894.5700000000001</v>
      </c>
      <c r="E178" s="5">
        <f>(D178-D177)/D177</f>
        <v/>
      </c>
    </row>
    <row r="179">
      <c r="A179" t="inlineStr">
        <is>
          <t>2020-09-15</t>
        </is>
      </c>
      <c r="B179" t="n">
        <v>29301</v>
      </c>
      <c r="C179" s="5">
        <f>(B179-B178)/B178</f>
        <v/>
      </c>
      <c r="D179" t="n">
        <v>896.26</v>
      </c>
      <c r="E179" s="5">
        <f>(D179-D178)/D178</f>
        <v/>
      </c>
    </row>
    <row r="180">
      <c r="A180" t="inlineStr">
        <is>
          <t>2020-09-16</t>
        </is>
      </c>
      <c r="B180" t="n">
        <v>29837</v>
      </c>
      <c r="C180" s="5">
        <f>(B180-B179)/B179</f>
        <v/>
      </c>
      <c r="D180" t="n">
        <v>897.47</v>
      </c>
      <c r="E180" s="5">
        <f>(D180-D179)/D179</f>
        <v/>
      </c>
    </row>
    <row r="181">
      <c r="A181" t="inlineStr">
        <is>
          <t>2020-09-17</t>
        </is>
      </c>
      <c r="B181" t="n">
        <v>29711</v>
      </c>
      <c r="C181" s="5">
        <f>(B181-B180)/B180</f>
        <v/>
      </c>
      <c r="D181" t="n">
        <v>894.04</v>
      </c>
      <c r="E181" s="5">
        <f>(D181-D180)/D180</f>
        <v/>
      </c>
    </row>
    <row r="182">
      <c r="A182" t="inlineStr">
        <is>
          <t>2020-09-18</t>
        </is>
      </c>
      <c r="B182" t="n">
        <v>29805</v>
      </c>
      <c r="C182" s="5">
        <f>(B182-B181)/B181</f>
        <v/>
      </c>
      <c r="D182" t="n">
        <v>900.95</v>
      </c>
      <c r="E182" s="5">
        <f>(D182-D181)/D181</f>
        <v/>
      </c>
    </row>
    <row r="183">
      <c r="A183" t="inlineStr">
        <is>
          <t>2020-09-21</t>
        </is>
      </c>
      <c r="B183" t="n">
        <v>31035</v>
      </c>
      <c r="C183" s="5">
        <f>(B183-B182)/B182</f>
        <v/>
      </c>
      <c r="D183" t="n">
        <v>907.9400000000001</v>
      </c>
      <c r="E183" s="5">
        <f>(D183-D182)/D182</f>
        <v/>
      </c>
    </row>
    <row r="184">
      <c r="A184" t="inlineStr">
        <is>
          <t>2020-09-22</t>
        </is>
      </c>
      <c r="B184" t="n">
        <v>31414</v>
      </c>
      <c r="C184" s="5">
        <f>(B184-B183)/B183</f>
        <v/>
      </c>
      <c r="D184" t="n">
        <v>906.1900000000001</v>
      </c>
      <c r="E184" s="5">
        <f>(D184-D183)/D183</f>
        <v/>
      </c>
    </row>
    <row r="185">
      <c r="A185" t="inlineStr">
        <is>
          <t>2020-09-23</t>
        </is>
      </c>
      <c r="B185" t="n">
        <v>32139</v>
      </c>
      <c r="C185" s="5">
        <f>(B185-B184)/B184</f>
        <v/>
      </c>
      <c r="D185" t="n">
        <v>912.5</v>
      </c>
      <c r="E185" s="5">
        <f>(D185-D184)/D184</f>
        <v/>
      </c>
    </row>
    <row r="186">
      <c r="A186" t="inlineStr">
        <is>
          <t>2020-09-24</t>
        </is>
      </c>
      <c r="B186" t="n">
        <v>31918</v>
      </c>
      <c r="C186" s="5">
        <f>(B186-B185)/B185</f>
        <v/>
      </c>
      <c r="D186" t="n">
        <v>908.58</v>
      </c>
      <c r="E186" s="5">
        <f>(D186-D185)/D185</f>
        <v/>
      </c>
    </row>
    <row r="187">
      <c r="A187" t="inlineStr">
        <is>
          <t>2020-09-25</t>
        </is>
      </c>
      <c r="B187" t="n">
        <v>31698</v>
      </c>
      <c r="C187" s="5">
        <f>(B187-B186)/B186</f>
        <v/>
      </c>
      <c r="D187" t="n">
        <v>908.27</v>
      </c>
      <c r="E187" s="5">
        <f>(D187-D186)/D186</f>
        <v/>
      </c>
    </row>
    <row r="188">
      <c r="A188" t="inlineStr">
        <is>
          <t>2020-09-28</t>
        </is>
      </c>
      <c r="B188" t="n">
        <v>32486</v>
      </c>
      <c r="C188" s="5">
        <f>(B188-B187)/B187</f>
        <v/>
      </c>
      <c r="D188" t="n">
        <v>912.5</v>
      </c>
      <c r="E188" s="5">
        <f>(D188-D187)/D187</f>
        <v/>
      </c>
    </row>
    <row r="189">
      <c r="A189" t="inlineStr">
        <is>
          <t>2020-09-29</t>
        </is>
      </c>
      <c r="B189" t="n">
        <v>32644</v>
      </c>
      <c r="C189" s="5">
        <f>(B189-B188)/B188</f>
        <v/>
      </c>
      <c r="D189" t="n">
        <v>903.98</v>
      </c>
      <c r="E189" s="5">
        <f>(D189-D188)/D188</f>
        <v/>
      </c>
    </row>
    <row r="190">
      <c r="A190" t="inlineStr">
        <is>
          <t>2020-09-30</t>
        </is>
      </c>
      <c r="B190" t="n">
        <v>32896</v>
      </c>
      <c r="C190" s="5">
        <f>(B190-B189)/B189</f>
        <v/>
      </c>
      <c r="D190" t="n">
        <v>905.21</v>
      </c>
      <c r="E190" s="5">
        <f>(D190-D189)/D189</f>
        <v/>
      </c>
    </row>
    <row r="191">
      <c r="A191" t="inlineStr">
        <is>
          <t>2020-10-01</t>
        </is>
      </c>
      <c r="B191" t="n">
        <v>33117</v>
      </c>
      <c r="C191" s="5">
        <f>(B191-B190)/B190</f>
        <v/>
      </c>
      <c r="D191" t="n">
        <v>914.09</v>
      </c>
      <c r="E191" s="5">
        <f>(D191-D190)/D190</f>
        <v/>
      </c>
    </row>
    <row r="192">
      <c r="A192" t="inlineStr">
        <is>
          <t>2020-10-02</t>
        </is>
      </c>
      <c r="B192" t="n">
        <v>32802</v>
      </c>
      <c r="C192" s="5">
        <f>(B192-B191)/B191</f>
        <v/>
      </c>
      <c r="D192" t="n">
        <v>909.91</v>
      </c>
      <c r="E192" s="5">
        <f>(D192-D191)/D191</f>
        <v/>
      </c>
    </row>
    <row r="193">
      <c r="A193" t="inlineStr">
        <is>
          <t>2020-10-05</t>
        </is>
      </c>
      <c r="B193" t="n">
        <v>32802</v>
      </c>
      <c r="C193" s="5">
        <f>(B193-B192)/B192</f>
        <v/>
      </c>
      <c r="D193" t="n">
        <v>914.6799999999999</v>
      </c>
      <c r="E193" s="5">
        <f>(D193-D192)/D192</f>
        <v/>
      </c>
    </row>
    <row r="194">
      <c r="A194" t="inlineStr">
        <is>
          <t>2020-10-06</t>
        </is>
      </c>
      <c r="B194" t="n">
        <v>33180</v>
      </c>
      <c r="C194" s="5">
        <f>(B194-B193)/B193</f>
        <v/>
      </c>
      <c r="D194" t="n">
        <v>915.67</v>
      </c>
      <c r="E194" s="5">
        <f>(D194-D193)/D193</f>
        <v/>
      </c>
    </row>
    <row r="195">
      <c r="A195" t="inlineStr">
        <is>
          <t>2020-10-07</t>
        </is>
      </c>
      <c r="B195" t="n">
        <v>33937</v>
      </c>
      <c r="C195" s="5">
        <f>(B195-B194)/B194</f>
        <v/>
      </c>
      <c r="D195" t="n">
        <v>919.72</v>
      </c>
      <c r="E195" s="5">
        <f>(D195-D194)/D194</f>
        <v/>
      </c>
    </row>
    <row r="196">
      <c r="A196" t="inlineStr">
        <is>
          <t>2020-10-08</t>
        </is>
      </c>
      <c r="B196" t="n">
        <v>34536</v>
      </c>
      <c r="C196" s="5">
        <f>(B196-B195)/B195</f>
        <v/>
      </c>
      <c r="D196" t="n">
        <v>918.84</v>
      </c>
      <c r="E196" s="5">
        <f>(D196-D195)/D195</f>
        <v/>
      </c>
    </row>
    <row r="197">
      <c r="A197" t="inlineStr">
        <is>
          <t>2020-10-09</t>
        </is>
      </c>
      <c r="B197" t="n">
        <v>34379</v>
      </c>
      <c r="C197" s="5">
        <f>(B197-B196)/B196</f>
        <v/>
      </c>
      <c r="D197" t="n">
        <v>924</v>
      </c>
      <c r="E197" s="5">
        <f>(D197-D196)/D196</f>
        <v/>
      </c>
    </row>
    <row r="198">
      <c r="A198" t="inlineStr">
        <is>
          <t>2020-10-12</t>
        </is>
      </c>
      <c r="B198" t="n">
        <v>33906</v>
      </c>
      <c r="C198" s="5">
        <f>(B198-B197)/B197</f>
        <v/>
      </c>
      <c r="D198" t="n">
        <v>925.83</v>
      </c>
      <c r="E198" s="5">
        <f>(D198-D197)/D197</f>
        <v/>
      </c>
    </row>
    <row r="199">
      <c r="A199" t="inlineStr">
        <is>
          <t>2020-10-13</t>
        </is>
      </c>
      <c r="B199" t="n">
        <v>33496</v>
      </c>
      <c r="C199" s="5">
        <f>(B199-B198)/B198</f>
        <v/>
      </c>
      <c r="D199" t="n">
        <v>929.86</v>
      </c>
      <c r="E199" s="5">
        <f>(D199-D198)/D198</f>
        <v/>
      </c>
    </row>
    <row r="200">
      <c r="A200" t="inlineStr">
        <is>
          <t>2020-10-14</t>
        </is>
      </c>
      <c r="B200" t="n">
        <v>34379</v>
      </c>
      <c r="C200" s="5">
        <f>(B200-B199)/B199</f>
        <v/>
      </c>
      <c r="D200" t="n">
        <v>940.1799999999999</v>
      </c>
      <c r="E200" s="5">
        <f>(D200-D199)/D199</f>
        <v/>
      </c>
    </row>
    <row r="201">
      <c r="A201" t="inlineStr">
        <is>
          <t>2020-10-15</t>
        </is>
      </c>
      <c r="B201" t="n">
        <v>34505</v>
      </c>
      <c r="C201" s="5">
        <f>(B201-B200)/B200</f>
        <v/>
      </c>
      <c r="D201" t="n">
        <v>942.76</v>
      </c>
      <c r="E201" s="5">
        <f>(D201-D200)/D200</f>
        <v/>
      </c>
    </row>
    <row r="202">
      <c r="A202" t="inlineStr">
        <is>
          <t>2020-10-16</t>
        </is>
      </c>
      <c r="B202" t="n">
        <v>34189</v>
      </c>
      <c r="C202" s="5">
        <f>(B202-B201)/B201</f>
        <v/>
      </c>
      <c r="D202" t="n">
        <v>943.3</v>
      </c>
      <c r="E202" s="5">
        <f>(D202-D201)/D201</f>
        <v/>
      </c>
    </row>
    <row r="203">
      <c r="A203" t="inlineStr">
        <is>
          <t>2020-10-19</t>
        </is>
      </c>
      <c r="B203" t="n">
        <v>34156</v>
      </c>
      <c r="C203" s="5">
        <f>(B203-B202)/B202</f>
        <v/>
      </c>
      <c r="D203" t="n">
        <v>943.6900000000001</v>
      </c>
      <c r="E203" s="5">
        <f>(D203-D202)/D202</f>
        <v/>
      </c>
    </row>
    <row r="204">
      <c r="A204" t="inlineStr">
        <is>
          <t>2020-10-20</t>
        </is>
      </c>
      <c r="B204" t="n">
        <v>34156</v>
      </c>
      <c r="C204" s="5">
        <f>(B204-B203)/B203</f>
        <v/>
      </c>
      <c r="D204" t="n">
        <v>944.42</v>
      </c>
      <c r="E204" s="5">
        <f>(D204-D203)/D203</f>
        <v/>
      </c>
    </row>
    <row r="205">
      <c r="A205" t="inlineStr">
        <is>
          <t>2020-10-21</t>
        </is>
      </c>
      <c r="B205" t="n">
        <v>33836</v>
      </c>
      <c r="C205" s="5">
        <f>(B205-B204)/B204</f>
        <v/>
      </c>
      <c r="D205" t="n">
        <v>939.03</v>
      </c>
      <c r="E205" s="5">
        <f>(D205-D204)/D204</f>
        <v/>
      </c>
    </row>
    <row r="206">
      <c r="A206" t="inlineStr">
        <is>
          <t>2020-10-22</t>
        </is>
      </c>
      <c r="B206" t="n">
        <v>34700</v>
      </c>
      <c r="C206" s="5">
        <f>(B206-B205)/B205</f>
        <v/>
      </c>
      <c r="D206" t="n">
        <v>949.9</v>
      </c>
      <c r="E206" s="5">
        <f>(D206-D205)/D205</f>
        <v/>
      </c>
    </row>
    <row r="207">
      <c r="A207" t="inlineStr">
        <is>
          <t>2020-10-23</t>
        </is>
      </c>
      <c r="B207" t="n">
        <v>35179</v>
      </c>
      <c r="C207" s="5">
        <f>(B207-B206)/B206</f>
        <v/>
      </c>
      <c r="D207" t="n">
        <v>961.26</v>
      </c>
      <c r="E207" s="5">
        <f>(D207-D206)/D206</f>
        <v/>
      </c>
    </row>
    <row r="208">
      <c r="A208" t="inlineStr">
        <is>
          <t>2020-10-26</t>
        </is>
      </c>
      <c r="B208" t="n">
        <v>35179</v>
      </c>
      <c r="C208" s="5">
        <f>(B208-B207)/B207</f>
        <v/>
      </c>
      <c r="D208" t="n">
        <v>950.8</v>
      </c>
      <c r="E208" s="5">
        <f>(D208-D207)/D207</f>
        <v/>
      </c>
    </row>
    <row r="209">
      <c r="A209" t="inlineStr">
        <is>
          <t>2020-10-27</t>
        </is>
      </c>
      <c r="B209" t="n">
        <v>35179</v>
      </c>
      <c r="C209" s="5">
        <f>(B209-B208)/B208</f>
        <v/>
      </c>
      <c r="D209" t="n">
        <v>946.47</v>
      </c>
      <c r="E209" s="5">
        <f>(D209-D208)/D208</f>
        <v/>
      </c>
    </row>
    <row r="210">
      <c r="A210" t="inlineStr">
        <is>
          <t>2020-10-28</t>
        </is>
      </c>
      <c r="B210" t="n">
        <v>33580</v>
      </c>
      <c r="C210" s="5">
        <f>(B210-B209)/B209</f>
        <v/>
      </c>
      <c r="D210" t="n">
        <v>921.05</v>
      </c>
      <c r="E210" s="5">
        <f>(D210-D209)/D209</f>
        <v/>
      </c>
    </row>
    <row r="211">
      <c r="A211" t="inlineStr">
        <is>
          <t>2020-10-29</t>
        </is>
      </c>
      <c r="B211" t="n">
        <v>32717</v>
      </c>
      <c r="C211" s="5">
        <f>(B211-B210)/B210</f>
        <v/>
      </c>
      <c r="D211" t="n">
        <v>919.08</v>
      </c>
      <c r="E211" s="5">
        <f>(D211-D210)/D210</f>
        <v/>
      </c>
    </row>
    <row r="212">
      <c r="A212" t="inlineStr">
        <is>
          <t>2020-10-30</t>
        </is>
      </c>
      <c r="B212" t="n">
        <v>33484</v>
      </c>
      <c r="C212" s="5">
        <f>(B212-B211)/B211</f>
        <v/>
      </c>
      <c r="D212" t="n">
        <v>925.47</v>
      </c>
      <c r="E212" s="5">
        <f>(D212-D211)/D211</f>
        <v/>
      </c>
    </row>
    <row r="213">
      <c r="A213" t="inlineStr">
        <is>
          <t>2020-11-02</t>
        </is>
      </c>
      <c r="B213" t="n">
        <v>34028</v>
      </c>
      <c r="C213" s="5">
        <f>(B213-B212)/B212</f>
        <v/>
      </c>
      <c r="D213" t="n">
        <v>933.6799999999999</v>
      </c>
      <c r="E213" s="5">
        <f>(D213-D212)/D212</f>
        <v/>
      </c>
    </row>
    <row r="214">
      <c r="A214" t="inlineStr">
        <is>
          <t>2020-11-03</t>
        </is>
      </c>
      <c r="B214" t="n">
        <v>34284</v>
      </c>
      <c r="C214" s="5">
        <f>(B214-B213)/B213</f>
        <v/>
      </c>
      <c r="D214" t="n">
        <v>935.41</v>
      </c>
      <c r="E214" s="5">
        <f>(D214-D213)/D213</f>
        <v/>
      </c>
    </row>
    <row r="215">
      <c r="A215" t="inlineStr">
        <is>
          <t>2020-11-04</t>
        </is>
      </c>
      <c r="B215" t="n">
        <v>34156</v>
      </c>
      <c r="C215" s="5">
        <f>(B215-B214)/B214</f>
        <v/>
      </c>
      <c r="D215" t="n">
        <v>939.76</v>
      </c>
      <c r="E215" s="5">
        <f>(D215-D214)/D214</f>
        <v/>
      </c>
    </row>
    <row r="216">
      <c r="A216" t="inlineStr">
        <is>
          <t>2020-11-05</t>
        </is>
      </c>
      <c r="B216" t="n">
        <v>34156</v>
      </c>
      <c r="C216" s="5">
        <f>(B216-B215)/B215</f>
        <v/>
      </c>
      <c r="D216" t="n">
        <v>937.75</v>
      </c>
      <c r="E216" s="5">
        <f>(D216-D215)/D215</f>
        <v/>
      </c>
    </row>
    <row r="217">
      <c r="A217" t="inlineStr">
        <is>
          <t>2020-11-06</t>
        </is>
      </c>
      <c r="B217" t="n">
        <v>33580</v>
      </c>
      <c r="C217" s="5">
        <f>(B217-B216)/B216</f>
        <v/>
      </c>
      <c r="D217" t="n">
        <v>938.29</v>
      </c>
      <c r="E217" s="5">
        <f>(D217-D216)/D216</f>
        <v/>
      </c>
    </row>
    <row r="218">
      <c r="A218" t="inlineStr">
        <is>
          <t>2020-11-09</t>
        </is>
      </c>
      <c r="B218" t="n">
        <v>33804</v>
      </c>
      <c r="C218" s="5">
        <f>(B218-B217)/B217</f>
        <v/>
      </c>
      <c r="D218" t="n">
        <v>951.99</v>
      </c>
      <c r="E218" s="5">
        <f>(D218-D217)/D217</f>
        <v/>
      </c>
    </row>
    <row r="219">
      <c r="A219" t="inlineStr">
        <is>
          <t>2020-11-10</t>
        </is>
      </c>
      <c r="B219" t="n">
        <v>33900</v>
      </c>
      <c r="C219" s="5">
        <f>(B219-B218)/B218</f>
        <v/>
      </c>
      <c r="D219" t="n">
        <v>951.9</v>
      </c>
      <c r="E219" s="5">
        <f>(D219-D218)/D218</f>
        <v/>
      </c>
    </row>
    <row r="220">
      <c r="A220" t="inlineStr">
        <is>
          <t>2020-11-11</t>
        </is>
      </c>
      <c r="B220" t="n">
        <v>34540</v>
      </c>
      <c r="C220" s="5">
        <f>(B220-B219)/B219</f>
        <v/>
      </c>
      <c r="D220" t="n">
        <v>952.22</v>
      </c>
      <c r="E220" s="5">
        <f>(D220-D219)/D219</f>
        <v/>
      </c>
    </row>
    <row r="221">
      <c r="A221" t="inlineStr">
        <is>
          <t>2020-11-12</t>
        </is>
      </c>
      <c r="B221" t="n">
        <v>35531</v>
      </c>
      <c r="C221" s="5">
        <f>(B221-B220)/B220</f>
        <v/>
      </c>
      <c r="D221" t="n">
        <v>959.28</v>
      </c>
      <c r="E221" s="5">
        <f>(D221-D220)/D220</f>
        <v/>
      </c>
    </row>
    <row r="222">
      <c r="A222" t="inlineStr">
        <is>
          <t>2020-11-13</t>
        </is>
      </c>
      <c r="B222" t="n">
        <v>35531</v>
      </c>
      <c r="C222" s="5">
        <f>(B222-B221)/B221</f>
        <v/>
      </c>
      <c r="D222" t="n">
        <v>966.29</v>
      </c>
      <c r="E222" s="5">
        <f>(D222-D221)/D221</f>
        <v/>
      </c>
    </row>
    <row r="223">
      <c r="A223" t="inlineStr">
        <is>
          <t>2020-11-16</t>
        </is>
      </c>
      <c r="B223" t="n">
        <v>35084</v>
      </c>
      <c r="C223" s="5">
        <f>(B223-B222)/B222</f>
        <v/>
      </c>
      <c r="D223" t="n">
        <v>950.79</v>
      </c>
      <c r="E223" s="5">
        <f>(D223-D222)/D222</f>
        <v/>
      </c>
    </row>
    <row r="224">
      <c r="A224" t="inlineStr">
        <is>
          <t>2020-11-17</t>
        </is>
      </c>
      <c r="B224" t="n">
        <v>35819</v>
      </c>
      <c r="C224" s="5">
        <f>(B224-B223)/B223</f>
        <v/>
      </c>
      <c r="D224" t="n">
        <v>968.9</v>
      </c>
      <c r="E224" s="5">
        <f>(D224-D223)/D223</f>
        <v/>
      </c>
    </row>
    <row r="225">
      <c r="A225" t="inlineStr">
        <is>
          <t>2020-11-18</t>
        </is>
      </c>
      <c r="B225" t="n">
        <v>35371</v>
      </c>
      <c r="C225" s="5">
        <f>(B225-B224)/B224</f>
        <v/>
      </c>
      <c r="D225" t="n">
        <v>973.53</v>
      </c>
      <c r="E225" s="5">
        <f>(D225-D224)/D224</f>
        <v/>
      </c>
    </row>
    <row r="226">
      <c r="A226" t="inlineStr">
        <is>
          <t>2020-11-19</t>
        </is>
      </c>
      <c r="B226" t="n">
        <v>35819</v>
      </c>
      <c r="C226" s="5">
        <f>(B226-B225)/B225</f>
        <v/>
      </c>
      <c r="D226" t="n">
        <v>983.26</v>
      </c>
      <c r="E226" s="5">
        <f>(D226-D225)/D225</f>
        <v/>
      </c>
    </row>
    <row r="227">
      <c r="A227" t="inlineStr">
        <is>
          <t>2020-11-20</t>
        </is>
      </c>
      <c r="B227" t="n">
        <v>35435</v>
      </c>
      <c r="C227" s="5">
        <f>(B227-B226)/B226</f>
        <v/>
      </c>
      <c r="D227" t="n">
        <v>990</v>
      </c>
      <c r="E227" s="5">
        <f>(D227-D226)/D226</f>
        <v/>
      </c>
    </row>
    <row r="228">
      <c r="A228" t="inlineStr">
        <is>
          <t>2020-11-23</t>
        </is>
      </c>
      <c r="B228" t="n">
        <v>36203</v>
      </c>
      <c r="C228" s="5">
        <f>(B228-B227)/B227</f>
        <v/>
      </c>
      <c r="D228" t="n">
        <v>994.1900000000001</v>
      </c>
      <c r="E228" s="5">
        <f>(D228-D227)/D227</f>
        <v/>
      </c>
    </row>
    <row r="229">
      <c r="A229" t="inlineStr">
        <is>
          <t>2020-11-24</t>
        </is>
      </c>
      <c r="B229" t="n">
        <v>35819</v>
      </c>
      <c r="C229" s="5">
        <f>(B229-B228)/B228</f>
        <v/>
      </c>
      <c r="D229" t="n">
        <v>995.76</v>
      </c>
      <c r="E229" s="5">
        <f>(D229-D228)/D228</f>
        <v/>
      </c>
    </row>
    <row r="230">
      <c r="A230" t="inlineStr">
        <is>
          <t>2020-11-25</t>
        </is>
      </c>
      <c r="B230" t="n">
        <v>35819</v>
      </c>
      <c r="C230" s="5">
        <f>(B230-B229)/B229</f>
        <v/>
      </c>
      <c r="D230" t="n">
        <v>999.9400000000001</v>
      </c>
      <c r="E230" s="5">
        <f>(D230-D229)/D229</f>
        <v/>
      </c>
    </row>
    <row r="231">
      <c r="A231" t="inlineStr">
        <is>
          <t>2020-11-26</t>
        </is>
      </c>
      <c r="B231" t="n">
        <v>36075</v>
      </c>
      <c r="C231" s="5">
        <f>(B231-B230)/B230</f>
        <v/>
      </c>
      <c r="D231" t="n">
        <v>1005.97</v>
      </c>
      <c r="E231" s="5">
        <f>(D231-D230)/D230</f>
        <v/>
      </c>
    </row>
    <row r="232">
      <c r="A232" t="inlineStr">
        <is>
          <t>2020-11-27</t>
        </is>
      </c>
      <c r="B232" t="n">
        <v>36938</v>
      </c>
      <c r="C232" s="5">
        <f>(B232-B231)/B231</f>
        <v/>
      </c>
      <c r="D232" t="n">
        <v>1010.22</v>
      </c>
      <c r="E232" s="5">
        <f>(D232-D231)/D231</f>
        <v/>
      </c>
    </row>
    <row r="233">
      <c r="A233" t="inlineStr">
        <is>
          <t>2020-11-30</t>
        </is>
      </c>
      <c r="B233" t="n">
        <v>37098</v>
      </c>
      <c r="C233" s="5">
        <f>(B233-B232)/B232</f>
        <v/>
      </c>
      <c r="D233" t="n">
        <v>1003.08</v>
      </c>
      <c r="E233" s="5">
        <f>(D233-D232)/D232</f>
        <v/>
      </c>
    </row>
    <row r="234">
      <c r="A234" t="inlineStr">
        <is>
          <t>2020-12-01</t>
        </is>
      </c>
      <c r="B234" t="n">
        <v>37098</v>
      </c>
      <c r="C234" s="5">
        <f>(B234-B233)/B233</f>
        <v/>
      </c>
      <c r="D234" t="n">
        <v>1008.87</v>
      </c>
      <c r="E234" s="5">
        <f>(D234-D233)/D233</f>
        <v/>
      </c>
    </row>
    <row r="235">
      <c r="A235" t="inlineStr">
        <is>
          <t>2020-12-02</t>
        </is>
      </c>
      <c r="B235" t="n">
        <v>36459</v>
      </c>
      <c r="C235" s="5">
        <f>(B235-B234)/B234</f>
        <v/>
      </c>
      <c r="D235" t="n">
        <v>1014.32</v>
      </c>
      <c r="E235" s="5">
        <f>(D235-D234)/D234</f>
        <v/>
      </c>
    </row>
    <row r="236">
      <c r="A236" t="inlineStr">
        <is>
          <t>2020-12-03</t>
        </is>
      </c>
      <c r="B236" t="n">
        <v>36683</v>
      </c>
      <c r="C236" s="5">
        <f>(B236-B235)/B235</f>
        <v/>
      </c>
      <c r="D236" t="n">
        <v>1019.8</v>
      </c>
      <c r="E236" s="5">
        <f>(D236-D235)/D235</f>
        <v/>
      </c>
    </row>
    <row r="237">
      <c r="A237" t="inlineStr">
        <is>
          <t>2020-12-04</t>
        </is>
      </c>
      <c r="B237" t="n">
        <v>36427</v>
      </c>
      <c r="C237" s="5">
        <f>(B237-B236)/B236</f>
        <v/>
      </c>
      <c r="D237" t="n">
        <v>1021.49</v>
      </c>
      <c r="E237" s="5">
        <f>(D237-D236)/D236</f>
        <v/>
      </c>
    </row>
    <row r="238">
      <c r="A238" t="inlineStr">
        <is>
          <t>2020-12-07</t>
        </is>
      </c>
      <c r="B238" t="n">
        <v>36555</v>
      </c>
      <c r="C238" s="5">
        <f>(B238-B237)/B237</f>
        <v/>
      </c>
      <c r="D238" t="n">
        <v>1029.98</v>
      </c>
      <c r="E238" s="5">
        <f>(D238-D237)/D237</f>
        <v/>
      </c>
    </row>
    <row r="239">
      <c r="A239" t="inlineStr">
        <is>
          <t>2020-12-08</t>
        </is>
      </c>
      <c r="B239" t="n">
        <v>36619</v>
      </c>
      <c r="C239" s="5">
        <f>(B239-B238)/B238</f>
        <v/>
      </c>
      <c r="D239" t="n">
        <v>1029.26</v>
      </c>
      <c r="E239" s="5">
        <f>(D239-D238)/D238</f>
        <v/>
      </c>
    </row>
    <row r="240">
      <c r="A240" t="inlineStr">
        <is>
          <t>2020-12-09</t>
        </is>
      </c>
      <c r="B240" t="n">
        <v>36779</v>
      </c>
      <c r="C240" s="5">
        <f>(B240-B239)/B239</f>
        <v/>
      </c>
      <c r="D240" t="n">
        <v>1039.13</v>
      </c>
      <c r="E240" s="5">
        <f>(D240-D239)/D239</f>
        <v/>
      </c>
    </row>
    <row r="241">
      <c r="A241" t="inlineStr">
        <is>
          <t>2020-12-10</t>
        </is>
      </c>
      <c r="B241" t="n">
        <v>36395</v>
      </c>
      <c r="C241" s="5">
        <f>(B241-B240)/B240</f>
        <v/>
      </c>
      <c r="D241" t="n">
        <v>1030.91</v>
      </c>
      <c r="E241" s="5">
        <f>(D241-D240)/D240</f>
        <v/>
      </c>
    </row>
    <row r="242">
      <c r="A242" t="inlineStr">
        <is>
          <t>2020-12-11</t>
        </is>
      </c>
      <c r="B242" t="n">
        <v>36555</v>
      </c>
      <c r="C242" s="5">
        <f>(B242-B241)/B241</f>
        <v/>
      </c>
      <c r="D242" t="n">
        <v>1045.96</v>
      </c>
      <c r="E242" s="5">
        <f>(D242-D241)/D241</f>
        <v/>
      </c>
    </row>
    <row r="243">
      <c r="A243" t="inlineStr">
        <is>
          <t>2020-12-14</t>
        </is>
      </c>
      <c r="B243" t="n">
        <v>37002</v>
      </c>
      <c r="C243" s="5">
        <f>(B243-B242)/B242</f>
        <v/>
      </c>
      <c r="D243" t="n">
        <v>1064.09</v>
      </c>
      <c r="E243" s="5">
        <f>(D243-D242)/D242</f>
        <v/>
      </c>
    </row>
    <row r="244">
      <c r="A244" t="inlineStr">
        <is>
          <t>2020-12-15</t>
        </is>
      </c>
      <c r="B244" t="n">
        <v>36875</v>
      </c>
      <c r="C244" s="5">
        <f>(B244-B243)/B243</f>
        <v/>
      </c>
      <c r="D244" t="n">
        <v>1055.27</v>
      </c>
      <c r="E244" s="5">
        <f>(D244-D243)/D243</f>
        <v/>
      </c>
    </row>
    <row r="245">
      <c r="A245" t="inlineStr">
        <is>
          <t>2020-12-16</t>
        </is>
      </c>
      <c r="B245" t="n">
        <v>36938</v>
      </c>
      <c r="C245" s="5">
        <f>(B245-B244)/B244</f>
        <v/>
      </c>
      <c r="D245" t="n">
        <v>1066.99</v>
      </c>
      <c r="E245" s="5">
        <f>(D245-D244)/D244</f>
        <v/>
      </c>
    </row>
    <row r="246">
      <c r="A246" t="inlineStr">
        <is>
          <t>2020-12-17</t>
        </is>
      </c>
      <c r="B246" t="n">
        <v>36299</v>
      </c>
      <c r="C246" s="5">
        <f>(B246-B245)/B245</f>
        <v/>
      </c>
      <c r="D246" t="n">
        <v>1051.77</v>
      </c>
      <c r="E246" s="5">
        <f>(D246-D245)/D245</f>
        <v/>
      </c>
    </row>
    <row r="247">
      <c r="A247" t="inlineStr">
        <is>
          <t>2020-12-18</t>
        </is>
      </c>
      <c r="B247" t="n">
        <v>36779</v>
      </c>
      <c r="C247" s="5">
        <f>(B247-B246)/B246</f>
        <v/>
      </c>
      <c r="D247" t="n">
        <v>1067.46</v>
      </c>
      <c r="E247" s="5">
        <f>(D247-D246)/D246</f>
        <v/>
      </c>
    </row>
    <row r="248">
      <c r="A248" t="inlineStr">
        <is>
          <t>2020-12-21</t>
        </is>
      </c>
      <c r="B248" t="n">
        <v>37162</v>
      </c>
      <c r="C248" s="5">
        <f>(B248-B247)/B247</f>
        <v/>
      </c>
      <c r="D248" t="n">
        <v>1081.08</v>
      </c>
      <c r="E248" s="5">
        <f>(D248-D247)/D247</f>
        <v/>
      </c>
    </row>
    <row r="249">
      <c r="A249" t="inlineStr">
        <is>
          <t>2020-12-22</t>
        </is>
      </c>
      <c r="B249" t="n">
        <v>38346</v>
      </c>
      <c r="C249" s="5">
        <f>(B249-B248)/B248</f>
        <v/>
      </c>
      <c r="D249" t="n">
        <v>1083.45</v>
      </c>
      <c r="E249" s="5">
        <f>(D249-D248)/D248</f>
        <v/>
      </c>
    </row>
    <row r="250">
      <c r="A250" t="inlineStr">
        <is>
          <t>2020-12-23</t>
        </is>
      </c>
      <c r="B250" t="n">
        <v>37770</v>
      </c>
      <c r="C250" s="5">
        <f>(B250-B249)/B249</f>
        <v/>
      </c>
      <c r="D250" t="n">
        <v>1078.9</v>
      </c>
      <c r="E250" s="5">
        <f>(D250-D249)/D249</f>
        <v/>
      </c>
    </row>
    <row r="251">
      <c r="A251" t="inlineStr">
        <is>
          <t>2020-12-24</t>
        </is>
      </c>
      <c r="B251" t="n">
        <v>37322</v>
      </c>
      <c r="C251" s="5">
        <f>(B251-B250)/B250</f>
        <v/>
      </c>
      <c r="D251" t="n">
        <v>1067.52</v>
      </c>
      <c r="E251" s="5">
        <f>(D251-D250)/D250</f>
        <v/>
      </c>
    </row>
    <row r="252">
      <c r="A252" t="inlineStr">
        <is>
          <t>2020-12-25</t>
        </is>
      </c>
      <c r="B252" t="n">
        <v>37898</v>
      </c>
      <c r="C252" s="5">
        <f>(B252-B251)/B251</f>
        <v/>
      </c>
      <c r="D252" t="n">
        <v>1084.42</v>
      </c>
      <c r="E252" s="5">
        <f>(D252-D251)/D251</f>
        <v/>
      </c>
    </row>
    <row r="253">
      <c r="A253" t="inlineStr">
        <is>
          <t>2020-12-28</t>
        </is>
      </c>
      <c r="B253" t="n">
        <v>37514</v>
      </c>
      <c r="C253" s="5">
        <f>(B253-B252)/B252</f>
        <v/>
      </c>
      <c r="D253" t="n">
        <v>1091.33</v>
      </c>
      <c r="E253" s="5">
        <f>(D253-D252)/D252</f>
        <v/>
      </c>
    </row>
    <row r="254">
      <c r="A254" t="inlineStr">
        <is>
          <t>2020-12-29</t>
        </is>
      </c>
      <c r="B254" t="n">
        <v>37482</v>
      </c>
      <c r="C254" s="5">
        <f>(B254-B253)/B253</f>
        <v/>
      </c>
      <c r="D254" t="n">
        <v>1099.49</v>
      </c>
      <c r="E254" s="5">
        <f>(D254-D253)/D253</f>
        <v/>
      </c>
    </row>
    <row r="255">
      <c r="A255" t="inlineStr">
        <is>
          <t>2020-12-30</t>
        </is>
      </c>
      <c r="B255" t="n">
        <v>37514</v>
      </c>
      <c r="C255" s="5">
        <f>(B255-B254)/B254</f>
        <v/>
      </c>
      <c r="D255" t="n">
        <v>1097.54</v>
      </c>
      <c r="E255" s="5">
        <f>(D255-D254)/D254</f>
        <v/>
      </c>
    </row>
    <row r="256">
      <c r="A256" t="inlineStr">
        <is>
          <t>2020-12-31</t>
        </is>
      </c>
      <c r="B256" t="n">
        <v>38026</v>
      </c>
      <c r="C256" s="5">
        <f>(B256-B255)/B255</f>
        <v/>
      </c>
      <c r="D256" t="n">
        <v>1103.87</v>
      </c>
      <c r="E256" s="5">
        <f>(D256-D255)/D255</f>
        <v/>
      </c>
    </row>
    <row r="257">
      <c r="A257" t="inlineStr">
        <is>
          <t>2021-01-04</t>
        </is>
      </c>
      <c r="B257" t="n">
        <v>38570</v>
      </c>
      <c r="C257" s="5">
        <f>(B257-B256)/B256</f>
        <v/>
      </c>
      <c r="D257" t="n">
        <v>1120.47</v>
      </c>
      <c r="E257" s="5">
        <f>(D257-D256)/D256</f>
        <v/>
      </c>
    </row>
    <row r="258">
      <c r="A258" t="inlineStr">
        <is>
          <t>2021-01-05</t>
        </is>
      </c>
      <c r="B258" t="n">
        <v>38985</v>
      </c>
      <c r="C258" s="5">
        <f>(B258-B257)/B257</f>
        <v/>
      </c>
      <c r="D258" t="n">
        <v>1132.55</v>
      </c>
      <c r="E258" s="5">
        <f>(D258-D257)/D257</f>
        <v/>
      </c>
    </row>
    <row r="259">
      <c r="A259" t="inlineStr">
        <is>
          <t>2021-01-06</t>
        </is>
      </c>
      <c r="B259" t="n">
        <v>38793</v>
      </c>
      <c r="C259" s="5">
        <f>(B259-B258)/B258</f>
        <v/>
      </c>
      <c r="D259" t="n">
        <v>1143.21</v>
      </c>
      <c r="E259" s="5">
        <f>(D259-D258)/D258</f>
        <v/>
      </c>
    </row>
    <row r="260">
      <c r="A260" t="inlineStr">
        <is>
          <t>2021-01-07</t>
        </is>
      </c>
      <c r="B260" t="n">
        <v>38633</v>
      </c>
      <c r="C260" s="5">
        <f>(B260-B259)/B259</f>
        <v/>
      </c>
      <c r="D260" t="n">
        <v>1156.49</v>
      </c>
      <c r="E260" s="5">
        <f>(D260-D259)/D259</f>
        <v/>
      </c>
    </row>
    <row r="261">
      <c r="A261" t="inlineStr">
        <is>
          <t>2021-01-08</t>
        </is>
      </c>
      <c r="B261" t="n">
        <v>38953</v>
      </c>
      <c r="C261" s="5">
        <f>(B261-B260)/B260</f>
        <v/>
      </c>
      <c r="D261" t="n">
        <v>1167.69</v>
      </c>
      <c r="E261" s="5">
        <f>(D261-D260)/D260</f>
        <v/>
      </c>
    </row>
    <row r="262">
      <c r="A262" t="inlineStr">
        <is>
          <t>2021-01-11</t>
        </is>
      </c>
      <c r="B262" t="n">
        <v>40360</v>
      </c>
      <c r="C262" s="5">
        <f>(B262-B261)/B261</f>
        <v/>
      </c>
      <c r="D262" t="n">
        <v>1184.89</v>
      </c>
      <c r="E262" s="5">
        <f>(D262-D261)/D261</f>
        <v/>
      </c>
    </row>
    <row r="263">
      <c r="A263" t="inlineStr">
        <is>
          <t>2021-01-12</t>
        </is>
      </c>
      <c r="B263" t="n">
        <v>40360</v>
      </c>
      <c r="C263" s="5">
        <f>(B263-B262)/B262</f>
        <v/>
      </c>
      <c r="D263" t="n">
        <v>1192.28</v>
      </c>
      <c r="E263" s="5">
        <f>(D263-D262)/D262</f>
        <v/>
      </c>
    </row>
    <row r="264">
      <c r="A264" t="inlineStr">
        <is>
          <t>2021-01-13</t>
        </is>
      </c>
      <c r="B264" t="n">
        <v>40360</v>
      </c>
      <c r="C264" s="5">
        <f>(B264-B263)/B263</f>
        <v/>
      </c>
      <c r="D264" t="n">
        <v>1186.05</v>
      </c>
      <c r="E264" s="5">
        <f>(D264-D263)/D263</f>
        <v/>
      </c>
    </row>
    <row r="265">
      <c r="A265" t="inlineStr">
        <is>
          <t>2021-01-14</t>
        </is>
      </c>
      <c r="B265" t="n">
        <v>40904</v>
      </c>
      <c r="C265" s="5">
        <f>(B265-B264)/B264</f>
        <v/>
      </c>
      <c r="D265" t="n">
        <v>1187.4</v>
      </c>
      <c r="E265" s="5">
        <f>(D265-D264)/D264</f>
        <v/>
      </c>
    </row>
    <row r="266">
      <c r="A266" t="inlineStr">
        <is>
          <t>2021-01-15</t>
        </is>
      </c>
      <c r="B266" t="n">
        <v>40872</v>
      </c>
      <c r="C266" s="5">
        <f>(B266-B265)/B265</f>
        <v/>
      </c>
      <c r="D266" t="n">
        <v>1194.2</v>
      </c>
      <c r="E266" s="5">
        <f>(D266-D265)/D265</f>
        <v/>
      </c>
    </row>
    <row r="267">
      <c r="A267" t="inlineStr">
        <is>
          <t>2021-01-18</t>
        </is>
      </c>
      <c r="B267" t="n">
        <v>40424</v>
      </c>
      <c r="C267" s="5">
        <f>(B267-B266)/B266</f>
        <v/>
      </c>
      <c r="D267" t="n">
        <v>1191.94</v>
      </c>
      <c r="E267" s="5">
        <f>(D267-D266)/D266</f>
        <v/>
      </c>
    </row>
    <row r="268">
      <c r="A268" t="inlineStr">
        <is>
          <t>2021-01-19</t>
        </is>
      </c>
      <c r="B268" t="n">
        <v>38378</v>
      </c>
      <c r="C268" s="5">
        <f>(B268-B267)/B267</f>
        <v/>
      </c>
      <c r="D268" t="n">
        <v>1131</v>
      </c>
      <c r="E268" s="5">
        <f>(D268-D267)/D267</f>
        <v/>
      </c>
    </row>
    <row r="269">
      <c r="A269" t="inlineStr">
        <is>
          <t>2021-01-20</t>
        </is>
      </c>
      <c r="B269" t="n">
        <v>39273</v>
      </c>
      <c r="C269" s="5">
        <f>(B269-B268)/B268</f>
        <v/>
      </c>
      <c r="D269" t="n">
        <v>1134.68</v>
      </c>
      <c r="E269" s="5">
        <f>(D269-D268)/D268</f>
        <v/>
      </c>
    </row>
    <row r="270">
      <c r="A270" t="inlineStr">
        <is>
          <t>2021-01-21</t>
        </is>
      </c>
      <c r="B270" t="n">
        <v>39977</v>
      </c>
      <c r="C270" s="5">
        <f>(B270-B269)/B269</f>
        <v/>
      </c>
      <c r="D270" t="n">
        <v>1164.21</v>
      </c>
      <c r="E270" s="5">
        <f>(D270-D269)/D269</f>
        <v/>
      </c>
    </row>
    <row r="271">
      <c r="A271" t="inlineStr">
        <is>
          <t>2021-01-22</t>
        </is>
      </c>
      <c r="B271" t="n">
        <v>40680</v>
      </c>
      <c r="C271" s="5">
        <f>(B271-B270)/B270</f>
        <v/>
      </c>
      <c r="D271" t="n">
        <v>1166.78</v>
      </c>
      <c r="E271" s="5">
        <f>(D271-D270)/D270</f>
        <v/>
      </c>
    </row>
    <row r="272">
      <c r="A272" t="inlineStr">
        <is>
          <t>2021-01-25</t>
        </is>
      </c>
      <c r="B272" t="n">
        <v>42215</v>
      </c>
      <c r="C272" s="5">
        <f>(B272-B271)/B271</f>
        <v/>
      </c>
      <c r="D272" t="n">
        <v>1166.05</v>
      </c>
      <c r="E272" s="5">
        <f>(D272-D271)/D271</f>
        <v/>
      </c>
    </row>
    <row r="273">
      <c r="A273" t="inlineStr">
        <is>
          <t>2021-01-26</t>
        </is>
      </c>
      <c r="B273" t="n">
        <v>42215</v>
      </c>
      <c r="C273" s="5">
        <f>(B273-B272)/B272</f>
        <v/>
      </c>
      <c r="D273" t="n">
        <v>1136.12</v>
      </c>
      <c r="E273" s="5">
        <f>(D273-D272)/D272</f>
        <v/>
      </c>
    </row>
    <row r="274">
      <c r="A274" t="inlineStr">
        <is>
          <t>2021-01-27</t>
        </is>
      </c>
      <c r="B274" t="n">
        <v>42695</v>
      </c>
      <c r="C274" s="5">
        <f>(B274-B273)/B273</f>
        <v/>
      </c>
      <c r="D274" t="n">
        <v>1097.17</v>
      </c>
      <c r="E274" s="5">
        <f>(D274-D273)/D273</f>
        <v/>
      </c>
    </row>
    <row r="275">
      <c r="A275" t="inlineStr">
        <is>
          <t>2021-01-28</t>
        </is>
      </c>
      <c r="B275" t="n">
        <v>39721</v>
      </c>
      <c r="C275" s="5">
        <f>(B275-B274)/B274</f>
        <v/>
      </c>
      <c r="D275" t="n">
        <v>1023.94</v>
      </c>
      <c r="E275" s="5">
        <f>(D275-D274)/D274</f>
        <v/>
      </c>
    </row>
    <row r="276">
      <c r="A276" t="inlineStr">
        <is>
          <t>2021-01-29</t>
        </is>
      </c>
      <c r="B276" t="n">
        <v>42439</v>
      </c>
      <c r="C276" s="5">
        <f>(B276-B275)/B275</f>
        <v/>
      </c>
      <c r="D276" t="n">
        <v>1056.61</v>
      </c>
      <c r="E276" s="5">
        <f>(D276-D275)/D275</f>
        <v/>
      </c>
    </row>
    <row r="277">
      <c r="A277" t="inlineStr">
        <is>
          <t>2021-02-01</t>
        </is>
      </c>
      <c r="B277" t="n">
        <v>39561</v>
      </c>
      <c r="C277" s="5">
        <f>(B277-B276)/B276</f>
        <v/>
      </c>
      <c r="D277" t="n">
        <v>1035.51</v>
      </c>
      <c r="E277" s="5">
        <f>(D277-D276)/D276</f>
        <v/>
      </c>
    </row>
    <row r="278">
      <c r="A278" t="inlineStr">
        <is>
          <t>2021-02-02</t>
        </is>
      </c>
      <c r="B278" t="n">
        <v>40936</v>
      </c>
      <c r="C278" s="5">
        <f>(B278-B277)/B277</f>
        <v/>
      </c>
      <c r="D278" t="n">
        <v>1075.53</v>
      </c>
      <c r="E278" s="5">
        <f>(D278-D277)/D277</f>
        <v/>
      </c>
    </row>
    <row r="279">
      <c r="A279" t="inlineStr">
        <is>
          <t>2021-02-03</t>
        </is>
      </c>
      <c r="B279" t="n">
        <v>40776</v>
      </c>
      <c r="C279" s="5">
        <f>(B279-B278)/B278</f>
        <v/>
      </c>
      <c r="D279" t="n">
        <v>1111.29</v>
      </c>
      <c r="E279" s="5">
        <f>(D279-D278)/D278</f>
        <v/>
      </c>
    </row>
    <row r="280">
      <c r="A280" t="inlineStr">
        <is>
          <t>2021-02-04</t>
        </is>
      </c>
      <c r="B280" t="n">
        <v>41096</v>
      </c>
      <c r="C280" s="5">
        <f>(B280-B279)/B279</f>
        <v/>
      </c>
      <c r="D280" t="n">
        <v>1112.19</v>
      </c>
      <c r="E280" s="5">
        <f>(D280-D279)/D279</f>
        <v/>
      </c>
    </row>
    <row r="281">
      <c r="A281" t="inlineStr">
        <is>
          <t>2021-02-05</t>
        </is>
      </c>
      <c r="B281" t="n">
        <v>41736</v>
      </c>
      <c r="C281" s="5">
        <f>(B281-B280)/B280</f>
        <v/>
      </c>
      <c r="D281" t="n">
        <v>1126.91</v>
      </c>
      <c r="E281" s="5">
        <f>(D281-D280)/D280</f>
        <v/>
      </c>
    </row>
    <row r="282">
      <c r="A282" t="inlineStr">
        <is>
          <t>2021-02-08</t>
        </is>
      </c>
      <c r="B282" t="n">
        <v>41096</v>
      </c>
      <c r="C282" s="5">
        <f>(B282-B281)/B281</f>
        <v/>
      </c>
      <c r="D282" t="n">
        <v>1083.18</v>
      </c>
      <c r="E282" s="5">
        <f>(D282-D281)/D281</f>
        <v/>
      </c>
    </row>
    <row r="283">
      <c r="A283" t="inlineStr">
        <is>
          <t>2021-02-09</t>
        </is>
      </c>
      <c r="B283" t="n">
        <v>41416</v>
      </c>
      <c r="C283" s="5">
        <f>(B283-B282)/B282</f>
        <v/>
      </c>
      <c r="D283" t="n">
        <v>1114.93</v>
      </c>
      <c r="E283" s="5">
        <f>(D283-D282)/D282</f>
        <v/>
      </c>
    </row>
    <row r="284">
      <c r="A284" t="inlineStr">
        <is>
          <t>2021-02-17</t>
        </is>
      </c>
      <c r="B284" t="n">
        <v>44134</v>
      </c>
      <c r="C284" s="5">
        <f>(B284-B283)/B283</f>
        <v/>
      </c>
      <c r="D284" t="n">
        <v>1155.78</v>
      </c>
      <c r="E284" s="5">
        <f>(D284-D283)/D283</f>
        <v/>
      </c>
    </row>
    <row r="285">
      <c r="A285" t="inlineStr">
        <is>
          <t>2021-02-18</t>
        </is>
      </c>
      <c r="B285" t="n">
        <v>44614</v>
      </c>
      <c r="C285" s="5">
        <f>(B285-B284)/B284</f>
        <v/>
      </c>
      <c r="D285" t="n">
        <v>1174.38</v>
      </c>
      <c r="E285" s="5">
        <f>(D285-D284)/D284</f>
        <v/>
      </c>
    </row>
    <row r="286">
      <c r="A286" t="inlineStr">
        <is>
          <t>2021-02-19</t>
        </is>
      </c>
      <c r="B286" t="n">
        <v>44006</v>
      </c>
      <c r="C286" s="5">
        <f>(B286-B285)/B285</f>
        <v/>
      </c>
      <c r="D286" t="n">
        <v>1173.5</v>
      </c>
      <c r="E286" s="5">
        <f>(D286-D285)/D285</f>
        <v/>
      </c>
    </row>
    <row r="287">
      <c r="A287" t="inlineStr">
        <is>
          <t>2021-02-22</t>
        </is>
      </c>
      <c r="B287" t="n">
        <v>43814</v>
      </c>
      <c r="C287" s="5">
        <f>(B287-B286)/B286</f>
        <v/>
      </c>
      <c r="D287" t="n">
        <v>1175.04</v>
      </c>
      <c r="E287" s="5">
        <f>(D287-D286)/D286</f>
        <v/>
      </c>
    </row>
    <row r="288">
      <c r="A288" t="inlineStr">
        <is>
          <t>2021-02-23</t>
        </is>
      </c>
      <c r="B288" t="n">
        <v>43559</v>
      </c>
      <c r="C288" s="5">
        <f>(B288-B287)/B287</f>
        <v/>
      </c>
      <c r="D288" t="n">
        <v>1177.64</v>
      </c>
      <c r="E288" s="5">
        <f>(D288-D287)/D287</f>
        <v/>
      </c>
    </row>
    <row r="289">
      <c r="A289" t="inlineStr">
        <is>
          <t>2021-02-24</t>
        </is>
      </c>
      <c r="B289" t="n">
        <v>42791</v>
      </c>
      <c r="C289" s="5">
        <f>(B289-B288)/B288</f>
        <v/>
      </c>
      <c r="D289" t="n">
        <v>1162.01</v>
      </c>
      <c r="E289" s="5">
        <f>(D289-D288)/D288</f>
        <v/>
      </c>
    </row>
    <row r="290">
      <c r="A290" t="inlineStr">
        <is>
          <t>2021-02-25</t>
        </is>
      </c>
      <c r="B290" t="n">
        <v>43399</v>
      </c>
      <c r="C290" s="5">
        <f>(B290-B289)/B289</f>
        <v/>
      </c>
      <c r="D290" t="n">
        <v>1165.43</v>
      </c>
      <c r="E290" s="5">
        <f>(D290-D289)/D289</f>
        <v/>
      </c>
    </row>
    <row r="291">
      <c r="A291" t="inlineStr">
        <is>
          <t>2021-02-26</t>
        </is>
      </c>
      <c r="B291" t="n">
        <v>43175</v>
      </c>
      <c r="C291" s="5">
        <f>(B291-B290)/B290</f>
        <v/>
      </c>
      <c r="D291" t="n">
        <v>1168.47</v>
      </c>
      <c r="E291" s="5">
        <f>(D291-D290)/D290</f>
        <v/>
      </c>
    </row>
    <row r="292">
      <c r="A292" t="inlineStr">
        <is>
          <t>2021-03-01</t>
        </is>
      </c>
      <c r="B292" t="n">
        <v>43111</v>
      </c>
      <c r="C292" s="5">
        <f>(B292-B291)/B291</f>
        <v/>
      </c>
      <c r="D292" t="n">
        <v>1186.17</v>
      </c>
      <c r="E292" s="5">
        <f>(D292-D291)/D291</f>
        <v/>
      </c>
    </row>
    <row r="293">
      <c r="A293" t="inlineStr">
        <is>
          <t>2021-03-02</t>
        </is>
      </c>
      <c r="B293" t="n">
        <v>43431</v>
      </c>
      <c r="C293" s="5">
        <f>(B293-B292)/B292</f>
        <v/>
      </c>
      <c r="D293" t="n">
        <v>1186.61</v>
      </c>
      <c r="E293" s="5">
        <f>(D293-D292)/D292</f>
        <v/>
      </c>
    </row>
    <row r="294">
      <c r="A294" t="inlineStr">
        <is>
          <t>2021-03-03</t>
        </is>
      </c>
      <c r="B294" t="n">
        <v>43559</v>
      </c>
      <c r="C294" s="5">
        <f>(B294-B293)/B293</f>
        <v/>
      </c>
      <c r="D294" t="n">
        <v>1186.95</v>
      </c>
      <c r="E294" s="5">
        <f>(D294-D293)/D293</f>
        <v/>
      </c>
    </row>
    <row r="295">
      <c r="A295" t="inlineStr">
        <is>
          <t>2021-03-04</t>
        </is>
      </c>
      <c r="B295" t="n">
        <v>42471</v>
      </c>
      <c r="C295" s="5">
        <f>(B295-B294)/B294</f>
        <v/>
      </c>
      <c r="D295" t="n">
        <v>1168.52</v>
      </c>
      <c r="E295" s="5">
        <f>(D295-D294)/D294</f>
        <v/>
      </c>
    </row>
    <row r="296">
      <c r="A296" t="inlineStr">
        <is>
          <t>2021-03-05</t>
        </is>
      </c>
      <c r="B296" t="n">
        <v>42279</v>
      </c>
      <c r="C296" s="5">
        <f>(B296-B295)/B295</f>
        <v/>
      </c>
      <c r="D296" t="n">
        <v>1168.69</v>
      </c>
      <c r="E296" s="5">
        <f>(D296-D295)/D295</f>
        <v/>
      </c>
    </row>
    <row r="297">
      <c r="A297" t="inlineStr">
        <is>
          <t>2021-03-08</t>
        </is>
      </c>
      <c r="B297" t="n">
        <v>41832</v>
      </c>
      <c r="C297" s="5">
        <f>(B297-B296)/B296</f>
        <v/>
      </c>
      <c r="D297" t="n">
        <v>1168.27</v>
      </c>
      <c r="E297" s="5">
        <f>(D297-D296)/D296</f>
        <v/>
      </c>
    </row>
    <row r="298">
      <c r="A298" t="inlineStr">
        <is>
          <t>2021-03-09</t>
        </is>
      </c>
      <c r="B298" t="n">
        <v>40968</v>
      </c>
      <c r="C298" s="5">
        <f>(B298-B297)/B297</f>
        <v/>
      </c>
      <c r="D298" t="n">
        <v>1161.97</v>
      </c>
      <c r="E298" s="5">
        <f>(D298-D297)/D297</f>
        <v/>
      </c>
    </row>
    <row r="299">
      <c r="A299" t="inlineStr">
        <is>
          <t>2021-03-10</t>
        </is>
      </c>
      <c r="B299" t="n">
        <v>41736</v>
      </c>
      <c r="C299" s="5">
        <f>(B299-B298)/B298</f>
        <v/>
      </c>
      <c r="D299" t="n">
        <v>1170.08</v>
      </c>
      <c r="E299" s="5">
        <f>(D299-D298)/D298</f>
        <v/>
      </c>
    </row>
    <row r="300">
      <c r="A300" t="inlineStr">
        <is>
          <t>2021-03-11</t>
        </is>
      </c>
      <c r="B300" t="n">
        <v>42375</v>
      </c>
      <c r="C300" s="5">
        <f>(B300-B299)/B299</f>
        <v/>
      </c>
      <c r="D300" t="n">
        <v>1181.73</v>
      </c>
      <c r="E300" s="5">
        <f>(D300-D299)/D299</f>
        <v/>
      </c>
    </row>
    <row r="301">
      <c r="A301" t="inlineStr">
        <is>
          <t>2021-03-12</t>
        </is>
      </c>
      <c r="B301" t="n">
        <v>41928</v>
      </c>
      <c r="C301" s="5">
        <f>(B301-B300)/B300</f>
        <v/>
      </c>
      <c r="D301" t="n">
        <v>1181.56</v>
      </c>
      <c r="E301" s="5">
        <f>(D301-D300)/D300</f>
        <v/>
      </c>
    </row>
    <row r="302">
      <c r="A302" t="inlineStr">
        <is>
          <t>2021-03-15</t>
        </is>
      </c>
      <c r="B302" t="n">
        <v>42439</v>
      </c>
      <c r="C302" s="5">
        <f>(B302-B301)/B301</f>
        <v/>
      </c>
      <c r="D302" t="n">
        <v>1184.56</v>
      </c>
      <c r="E302" s="5">
        <f>(D302-D301)/D301</f>
        <v/>
      </c>
    </row>
    <row r="303">
      <c r="A303" t="inlineStr">
        <is>
          <t>2021-03-16</t>
        </is>
      </c>
      <c r="B303" t="n">
        <v>42599</v>
      </c>
      <c r="C303" s="5">
        <f>(B303-B302)/B302</f>
        <v/>
      </c>
      <c r="D303" t="n">
        <v>1179.9</v>
      </c>
      <c r="E303" s="5">
        <f>(D303-D302)/D302</f>
        <v/>
      </c>
    </row>
    <row r="304">
      <c r="A304" t="inlineStr">
        <is>
          <t>2021-03-17</t>
        </is>
      </c>
      <c r="B304" t="n">
        <v>42471</v>
      </c>
      <c r="C304" s="5">
        <f>(B304-B303)/B303</f>
        <v/>
      </c>
      <c r="D304" t="n">
        <v>1186.09</v>
      </c>
      <c r="E304" s="5">
        <f>(D304-D303)/D303</f>
        <v/>
      </c>
    </row>
    <row r="305">
      <c r="A305" t="inlineStr">
        <is>
          <t>2021-03-18</t>
        </is>
      </c>
      <c r="B305" t="n">
        <v>42727</v>
      </c>
      <c r="C305" s="5">
        <f>(B305-B304)/B304</f>
        <v/>
      </c>
      <c r="D305" t="n">
        <v>1200.94</v>
      </c>
      <c r="E305" s="5">
        <f>(D305-D304)/D304</f>
        <v/>
      </c>
    </row>
    <row r="306">
      <c r="A306" t="inlineStr">
        <is>
          <t>2021-03-19</t>
        </is>
      </c>
      <c r="B306" t="n">
        <v>42535</v>
      </c>
      <c r="C306" s="5">
        <f>(B306-B305)/B305</f>
        <v/>
      </c>
      <c r="D306" t="n">
        <v>1194.05</v>
      </c>
      <c r="E306" s="5">
        <f>(D306-D305)/D305</f>
        <v/>
      </c>
    </row>
    <row r="307">
      <c r="A307" t="inlineStr">
        <is>
          <t>2021-03-22</t>
        </is>
      </c>
      <c r="B307" t="n">
        <v>42183</v>
      </c>
      <c r="C307" s="5">
        <f>(B307-B306)/B306</f>
        <v/>
      </c>
      <c r="D307" t="n">
        <v>1194.43</v>
      </c>
      <c r="E307" s="5">
        <f>(D307-D306)/D306</f>
        <v/>
      </c>
    </row>
    <row r="308">
      <c r="A308" t="inlineStr">
        <is>
          <t>2021-03-23</t>
        </is>
      </c>
      <c r="B308" t="n">
        <v>41896</v>
      </c>
      <c r="C308" s="5">
        <f>(B308-B307)/B307</f>
        <v/>
      </c>
      <c r="D308" t="n">
        <v>1183.45</v>
      </c>
      <c r="E308" s="5">
        <f>(D308-D307)/D307</f>
        <v/>
      </c>
    </row>
    <row r="309">
      <c r="A309" t="inlineStr">
        <is>
          <t>2021-03-24</t>
        </is>
      </c>
      <c r="B309" t="n">
        <v>41544</v>
      </c>
      <c r="C309" s="5">
        <f>(B309-B308)/B308</f>
        <v/>
      </c>
      <c r="D309" t="n">
        <v>1161.81</v>
      </c>
      <c r="E309" s="5">
        <f>(D309-D308)/D308</f>
        <v/>
      </c>
    </row>
    <row r="310">
      <c r="A310" t="inlineStr">
        <is>
          <t>2021-03-25</t>
        </is>
      </c>
      <c r="B310" t="n">
        <v>41192</v>
      </c>
      <c r="C310" s="5">
        <f>(B310-B309)/B309</f>
        <v/>
      </c>
      <c r="D310" t="n">
        <v>1163.1</v>
      </c>
      <c r="E310" s="5">
        <f>(D310-D309)/D309</f>
        <v/>
      </c>
    </row>
    <row r="311">
      <c r="A311" t="inlineStr">
        <is>
          <t>2021-03-26</t>
        </is>
      </c>
      <c r="B311" t="n">
        <v>41576</v>
      </c>
      <c r="C311" s="5">
        <f>(B311-B310)/B310</f>
        <v/>
      </c>
      <c r="D311" t="n">
        <v>1162.21</v>
      </c>
      <c r="E311" s="5">
        <f>(D311-D310)/D310</f>
        <v/>
      </c>
    </row>
    <row r="312">
      <c r="A312" t="inlineStr">
        <is>
          <t>2021-03-29</t>
        </is>
      </c>
      <c r="B312" t="n">
        <v>41608</v>
      </c>
      <c r="C312" s="5">
        <f>(B312-B311)/B311</f>
        <v/>
      </c>
      <c r="D312" t="n">
        <v>1175.68</v>
      </c>
      <c r="E312" s="5">
        <f>(D312-D311)/D311</f>
        <v/>
      </c>
    </row>
    <row r="313">
      <c r="A313" t="inlineStr">
        <is>
          <t>2021-03-30</t>
        </is>
      </c>
      <c r="B313" t="n">
        <v>41384</v>
      </c>
      <c r="C313" s="5">
        <f>(B313-B312)/B312</f>
        <v/>
      </c>
      <c r="D313" t="n">
        <v>1186.36</v>
      </c>
      <c r="E313" s="5">
        <f>(D313-D312)/D312</f>
        <v/>
      </c>
    </row>
    <row r="314">
      <c r="A314" t="inlineStr">
        <is>
          <t>2021-03-31</t>
        </is>
      </c>
      <c r="B314" t="n">
        <v>41480</v>
      </c>
      <c r="C314" s="5">
        <f>(B314-B313)/B313</f>
        <v/>
      </c>
      <c r="D314" t="n">
        <v>1191.44</v>
      </c>
      <c r="E314" s="5">
        <f>(D314-D313)/D313</f>
        <v/>
      </c>
    </row>
    <row r="315">
      <c r="A315" t="inlineStr">
        <is>
          <t>2021-04-01</t>
        </is>
      </c>
      <c r="B315" t="n">
        <v>42951</v>
      </c>
      <c r="C315" s="5">
        <f>(B315-B314)/B314</f>
        <v/>
      </c>
      <c r="D315" t="n">
        <v>1216.1</v>
      </c>
      <c r="E315" s="5">
        <f>(D315-D314)/D314</f>
        <v/>
      </c>
    </row>
    <row r="316">
      <c r="A316" t="inlineStr">
        <is>
          <t>2021-04-02</t>
        </is>
      </c>
      <c r="B316" t="n">
        <v>43111</v>
      </c>
      <c r="C316" s="5">
        <f>(B316-B315)/B315</f>
        <v/>
      </c>
      <c r="D316" t="n">
        <v>1224.45</v>
      </c>
      <c r="E316" s="5">
        <f>(D316-D315)/D315</f>
        <v/>
      </c>
    </row>
    <row r="317">
      <c r="A317" t="inlineStr">
        <is>
          <t>2021-04-05</t>
        </is>
      </c>
      <c r="B317" t="n">
        <v>42887</v>
      </c>
      <c r="C317" s="5">
        <f>(B317-B316)/B316</f>
        <v/>
      </c>
      <c r="D317" t="n">
        <v>1236.05</v>
      </c>
      <c r="E317" s="5">
        <f>(D317-D316)/D316</f>
        <v/>
      </c>
    </row>
    <row r="318">
      <c r="A318" t="inlineStr">
        <is>
          <t>2021-04-06</t>
        </is>
      </c>
      <c r="B318" t="n">
        <v>42631</v>
      </c>
      <c r="C318" s="5">
        <f>(B318-B317)/B317</f>
        <v/>
      </c>
      <c r="D318" t="n">
        <v>1239.96</v>
      </c>
      <c r="E318" s="5">
        <f>(D318-D317)/D317</f>
        <v/>
      </c>
    </row>
    <row r="319">
      <c r="A319" t="inlineStr">
        <is>
          <t>2021-04-07</t>
        </is>
      </c>
      <c r="B319" t="n">
        <v>43015</v>
      </c>
      <c r="C319" s="5">
        <f>(B319-B318)/B318</f>
        <v/>
      </c>
      <c r="D319" t="n">
        <v>1242.38</v>
      </c>
      <c r="E319" s="5">
        <f>(D319-D318)/D318</f>
        <v/>
      </c>
    </row>
    <row r="320">
      <c r="A320" t="inlineStr">
        <is>
          <t>2021-04-08</t>
        </is>
      </c>
      <c r="B320" t="n">
        <v>42855</v>
      </c>
      <c r="C320" s="5">
        <f>(B320-B319)/B319</f>
        <v/>
      </c>
      <c r="D320" t="n">
        <v>1234.89</v>
      </c>
      <c r="E320" s="5">
        <f>(D320-D319)/D319</f>
        <v/>
      </c>
    </row>
    <row r="321">
      <c r="A321" t="inlineStr">
        <is>
          <t>2021-04-09</t>
        </is>
      </c>
      <c r="B321" t="n">
        <v>42631</v>
      </c>
      <c r="C321" s="5">
        <f>(B321-B320)/B320</f>
        <v/>
      </c>
      <c r="D321" t="n">
        <v>1231.66</v>
      </c>
      <c r="E321" s="5">
        <f>(D321-D320)/D320</f>
        <v/>
      </c>
    </row>
    <row r="322">
      <c r="A322" t="inlineStr">
        <is>
          <t>2021-04-12</t>
        </is>
      </c>
      <c r="B322" t="n">
        <v>43143</v>
      </c>
      <c r="C322" s="5">
        <f>(B322-B321)/B321</f>
        <v/>
      </c>
      <c r="D322" t="n">
        <v>1252.45</v>
      </c>
      <c r="E322" s="5">
        <f>(D322-D321)/D321</f>
        <v/>
      </c>
    </row>
    <row r="323">
      <c r="A323" t="inlineStr">
        <is>
          <t>2021-04-13</t>
        </is>
      </c>
      <c r="B323" t="n">
        <v>43143</v>
      </c>
      <c r="C323" s="5">
        <f>(B323-B322)/B322</f>
        <v/>
      </c>
      <c r="D323" t="n">
        <v>1248.33</v>
      </c>
      <c r="E323" s="5">
        <f>(D323-D322)/D322</f>
        <v/>
      </c>
    </row>
    <row r="324">
      <c r="A324" t="inlineStr">
        <is>
          <t>2021-04-14</t>
        </is>
      </c>
      <c r="B324" t="n">
        <v>43303</v>
      </c>
      <c r="C324" s="5">
        <f>(B324-B323)/B323</f>
        <v/>
      </c>
      <c r="D324" t="n">
        <v>1255.87</v>
      </c>
      <c r="E324" s="5">
        <f>(D324-D323)/D323</f>
        <v/>
      </c>
    </row>
    <row r="325">
      <c r="A325" t="inlineStr">
        <is>
          <t>2021-04-15</t>
        </is>
      </c>
      <c r="B325" t="n">
        <v>42759</v>
      </c>
      <c r="C325" s="5">
        <f>(B325-B324)/B324</f>
        <v/>
      </c>
      <c r="D325" t="n">
        <v>1247.25</v>
      </c>
      <c r="E325" s="5">
        <f>(D325-D324)/D324</f>
        <v/>
      </c>
    </row>
    <row r="326">
      <c r="A326" t="inlineStr">
        <is>
          <t>2021-04-16</t>
        </is>
      </c>
      <c r="B326" t="n">
        <v>42855</v>
      </c>
      <c r="C326" s="5">
        <f>(B326-B325)/B325</f>
        <v/>
      </c>
      <c r="D326" t="n">
        <v>1238.71</v>
      </c>
      <c r="E326" s="5">
        <f>(D326-D325)/D325</f>
        <v/>
      </c>
    </row>
    <row r="327">
      <c r="A327" t="inlineStr">
        <is>
          <t>2021-04-19</t>
        </is>
      </c>
      <c r="B327" t="n">
        <v>43942</v>
      </c>
      <c r="C327" s="5">
        <f>(B327-B326)/B326</f>
        <v/>
      </c>
      <c r="D327" t="n">
        <v>1260.58</v>
      </c>
      <c r="E327" s="5">
        <f>(D327-D326)/D326</f>
        <v/>
      </c>
    </row>
    <row r="328">
      <c r="A328" t="inlineStr">
        <is>
          <t>2021-04-20</t>
        </is>
      </c>
      <c r="B328" t="n">
        <v>45573</v>
      </c>
      <c r="C328" s="5">
        <f>(B328-B327)/B327</f>
        <v/>
      </c>
      <c r="D328" t="n">
        <v>1268.28</v>
      </c>
      <c r="E328" s="5">
        <f>(D328-D327)/D327</f>
        <v/>
      </c>
    </row>
    <row r="329">
      <c r="A329" t="inlineStr">
        <is>
          <t>2021-04-22</t>
        </is>
      </c>
      <c r="B329" t="n">
        <v>45573</v>
      </c>
      <c r="C329" s="5">
        <f>(B329-B328)/B328</f>
        <v/>
      </c>
      <c r="D329" t="n">
        <v>1227.82</v>
      </c>
      <c r="E329" s="5">
        <f>(D329-D328)/D328</f>
        <v/>
      </c>
    </row>
    <row r="330">
      <c r="A330" t="inlineStr">
        <is>
          <t>2021-04-23</t>
        </is>
      </c>
      <c r="B330" t="n">
        <v>47173</v>
      </c>
      <c r="C330" s="5">
        <f>(B330-B329)/B329</f>
        <v/>
      </c>
      <c r="D330" t="n">
        <v>1248.53</v>
      </c>
      <c r="E330" s="5">
        <f>(D330-D329)/D329</f>
        <v/>
      </c>
    </row>
    <row r="331">
      <c r="A331" t="inlineStr">
        <is>
          <t>2021-04-26</t>
        </is>
      </c>
      <c r="B331" t="n">
        <v>45573</v>
      </c>
      <c r="C331" s="5">
        <f>(B331-B330)/B330</f>
        <v/>
      </c>
      <c r="D331" t="n">
        <v>1215.77</v>
      </c>
      <c r="E331" s="5">
        <f>(D331-D330)/D330</f>
        <v/>
      </c>
    </row>
    <row r="332">
      <c r="A332" t="inlineStr">
        <is>
          <t>2021-04-27</t>
        </is>
      </c>
      <c r="B332" t="n">
        <v>45382</v>
      </c>
      <c r="C332" s="5">
        <f>(B332-B331)/B331</f>
        <v/>
      </c>
      <c r="D332" t="n">
        <v>1219.75</v>
      </c>
      <c r="E332" s="5">
        <f>(D332-D331)/D331</f>
        <v/>
      </c>
    </row>
    <row r="333">
      <c r="A333" t="inlineStr">
        <is>
          <t>2021-04-28</t>
        </is>
      </c>
      <c r="B333" t="n">
        <v>44774</v>
      </c>
      <c r="C333" s="5">
        <f>(B333-B332)/B332</f>
        <v/>
      </c>
      <c r="D333" t="n">
        <v>1229.55</v>
      </c>
      <c r="E333" s="5">
        <f>(D333-D332)/D332</f>
        <v/>
      </c>
    </row>
    <row r="334">
      <c r="A334" t="inlineStr">
        <is>
          <t>2021-04-29</t>
        </is>
      </c>
      <c r="B334" t="n">
        <v>45062</v>
      </c>
      <c r="C334" s="5">
        <f>(B334-B333)/B333</f>
        <v/>
      </c>
      <c r="D334" t="n">
        <v>1239.39</v>
      </c>
      <c r="E334" s="5">
        <f>(D334-D333)/D333</f>
        <v/>
      </c>
    </row>
    <row r="335">
      <c r="A335" t="inlineStr">
        <is>
          <t>2021-05-04</t>
        </is>
      </c>
      <c r="B335" t="n">
        <v>44582</v>
      </c>
      <c r="C335" s="5">
        <f>(B335-B334)/B334</f>
        <v/>
      </c>
      <c r="D335" t="n">
        <v>1242.2</v>
      </c>
      <c r="E335" s="5">
        <f>(D335-D334)/D334</f>
        <v/>
      </c>
    </row>
    <row r="336">
      <c r="A336" t="inlineStr">
        <is>
          <t>2021-05-05</t>
        </is>
      </c>
      <c r="B336" t="n">
        <v>45062</v>
      </c>
      <c r="C336" s="5">
        <f>(B336-B335)/B335</f>
        <v/>
      </c>
      <c r="D336" t="n">
        <v>1256.43</v>
      </c>
      <c r="E336" s="5">
        <f>(D336-D335)/D335</f>
        <v/>
      </c>
    </row>
    <row r="337">
      <c r="A337" t="inlineStr">
        <is>
          <t>2021-05-06</t>
        </is>
      </c>
      <c r="B337" t="n">
        <v>45414</v>
      </c>
      <c r="C337" s="5">
        <f>(B337-B336)/B336</f>
        <v/>
      </c>
      <c r="D337" t="n">
        <v>1250.57</v>
      </c>
      <c r="E337" s="5">
        <f>(D337-D336)/D336</f>
        <v/>
      </c>
    </row>
    <row r="338">
      <c r="A338" t="inlineStr">
        <is>
          <t>2021-05-07</t>
        </is>
      </c>
      <c r="B338" t="n">
        <v>44838</v>
      </c>
      <c r="C338" s="5">
        <f>(B338-B337)/B337</f>
        <v/>
      </c>
      <c r="D338" t="n">
        <v>1241.81</v>
      </c>
      <c r="E338" s="5">
        <f>(D338-D337)/D337</f>
        <v/>
      </c>
    </row>
    <row r="339">
      <c r="A339" t="inlineStr">
        <is>
          <t>2021-05-10</t>
        </is>
      </c>
      <c r="B339" t="n">
        <v>44166</v>
      </c>
      <c r="C339" s="5">
        <f>(B339-B338)/B338</f>
        <v/>
      </c>
      <c r="D339" t="n">
        <v>1259.58</v>
      </c>
      <c r="E339" s="5">
        <f>(D339-D338)/D338</f>
        <v/>
      </c>
    </row>
    <row r="340">
      <c r="A340" t="inlineStr">
        <is>
          <t>2021-05-11</t>
        </is>
      </c>
      <c r="B340" t="n">
        <v>43974</v>
      </c>
      <c r="C340" s="5">
        <f>(B340-B339)/B339</f>
        <v/>
      </c>
      <c r="D340" t="n">
        <v>1256.04</v>
      </c>
      <c r="E340" s="5">
        <f>(D340-D339)/D339</f>
        <v/>
      </c>
    </row>
    <row r="341">
      <c r="A341" t="inlineStr">
        <is>
          <t>2021-05-12</t>
        </is>
      </c>
      <c r="B341" t="n">
        <v>44614</v>
      </c>
      <c r="C341" s="5">
        <f>(B341-B340)/B340</f>
        <v/>
      </c>
      <c r="D341" t="n">
        <v>1269.09</v>
      </c>
      <c r="E341" s="5">
        <f>(D341-D340)/D340</f>
        <v/>
      </c>
    </row>
    <row r="342">
      <c r="A342" t="inlineStr">
        <is>
          <t>2021-05-13</t>
        </is>
      </c>
      <c r="B342" t="n">
        <v>44774</v>
      </c>
      <c r="C342" s="5">
        <f>(B342-B341)/B341</f>
        <v/>
      </c>
      <c r="D342" t="n">
        <v>1261.99</v>
      </c>
      <c r="E342" s="5">
        <f>(D342-D341)/D341</f>
        <v/>
      </c>
    </row>
    <row r="343">
      <c r="A343" t="inlineStr">
        <is>
          <t>2021-05-14</t>
        </is>
      </c>
      <c r="B343" t="n">
        <v>45573</v>
      </c>
      <c r="C343" s="5">
        <f>(B343-B342)/B342</f>
        <v/>
      </c>
      <c r="D343" t="n">
        <v>1266.36</v>
      </c>
      <c r="E343" s="5">
        <f>(D343-D342)/D342</f>
        <v/>
      </c>
    </row>
    <row r="344">
      <c r="A344" t="inlineStr">
        <is>
          <t>2021-05-17</t>
        </is>
      </c>
      <c r="B344" t="n">
        <v>45254</v>
      </c>
      <c r="C344" s="5">
        <f>(B344-B343)/B343</f>
        <v/>
      </c>
      <c r="D344" t="n">
        <v>1258.7</v>
      </c>
      <c r="E344" s="5">
        <f>(D344-D343)/D343</f>
        <v/>
      </c>
    </row>
    <row r="345">
      <c r="A345" t="inlineStr">
        <is>
          <t>2021-05-18</t>
        </is>
      </c>
      <c r="B345" t="n">
        <v>45318</v>
      </c>
      <c r="C345" s="5">
        <f>(B345-B344)/B344</f>
        <v/>
      </c>
      <c r="D345" t="n">
        <v>1252.68</v>
      </c>
      <c r="E345" s="5">
        <f>(D345-D344)/D344</f>
        <v/>
      </c>
    </row>
    <row r="346">
      <c r="A346" t="inlineStr">
        <is>
          <t>2021-05-19</t>
        </is>
      </c>
      <c r="B346" t="n">
        <v>45318</v>
      </c>
      <c r="C346" s="5">
        <f>(B346-B345)/B345</f>
        <v/>
      </c>
      <c r="D346" t="n">
        <v>1262.49</v>
      </c>
      <c r="E346" s="5">
        <f>(D346-D345)/D345</f>
        <v/>
      </c>
    </row>
    <row r="347">
      <c r="A347" t="inlineStr">
        <is>
          <t>2021-05-20</t>
        </is>
      </c>
      <c r="B347" t="n">
        <v>47972</v>
      </c>
      <c r="C347" s="5">
        <f>(B347-B346)/B346</f>
        <v/>
      </c>
      <c r="D347" t="n">
        <v>1278.22</v>
      </c>
      <c r="E347" s="5">
        <f>(D347-D346)/D346</f>
        <v/>
      </c>
    </row>
    <row r="348">
      <c r="A348" t="inlineStr">
        <is>
          <t>2021-05-21</t>
        </is>
      </c>
      <c r="B348" t="n">
        <v>46501</v>
      </c>
      <c r="C348" s="5">
        <f>(B348-B347)/B347</f>
        <v/>
      </c>
      <c r="D348" t="n">
        <v>1283.93</v>
      </c>
      <c r="E348" s="5">
        <f>(D348-D347)/D347</f>
        <v/>
      </c>
    </row>
    <row r="349">
      <c r="A349" t="inlineStr">
        <is>
          <t>2021-05-24</t>
        </is>
      </c>
      <c r="B349" t="n">
        <v>46693</v>
      </c>
      <c r="C349" s="5">
        <f>(B349-B348)/B348</f>
        <v/>
      </c>
      <c r="D349" t="n">
        <v>1297.98</v>
      </c>
      <c r="E349" s="5">
        <f>(D349-D348)/D348</f>
        <v/>
      </c>
    </row>
    <row r="350">
      <c r="A350" t="inlineStr">
        <is>
          <t>2021-05-25</t>
        </is>
      </c>
      <c r="B350" t="n">
        <v>46693</v>
      </c>
      <c r="C350" s="5">
        <f>(B350-B349)/B349</f>
        <v/>
      </c>
      <c r="D350" t="n">
        <v>1308.58</v>
      </c>
      <c r="E350" s="5">
        <f>(D350-D349)/D349</f>
        <v/>
      </c>
    </row>
    <row r="351">
      <c r="A351" t="inlineStr">
        <is>
          <t>2021-05-26</t>
        </is>
      </c>
      <c r="B351" t="n">
        <v>46341</v>
      </c>
      <c r="C351" s="5">
        <f>(B351-B350)/B350</f>
        <v/>
      </c>
      <c r="D351" t="n">
        <v>1316.7</v>
      </c>
      <c r="E351" s="5">
        <f>(D351-D350)/D350</f>
        <v/>
      </c>
    </row>
    <row r="352">
      <c r="A352" t="inlineStr">
        <is>
          <t>2021-05-27</t>
        </is>
      </c>
      <c r="B352" t="n">
        <v>45541</v>
      </c>
      <c r="C352" s="5">
        <f>(B352-B351)/B351</f>
        <v/>
      </c>
      <c r="D352" t="n">
        <v>1303.57</v>
      </c>
      <c r="E352" s="5">
        <f>(D352-D351)/D351</f>
        <v/>
      </c>
    </row>
    <row r="353">
      <c r="A353" t="inlineStr">
        <is>
          <t>2021-05-28</t>
        </is>
      </c>
      <c r="B353" t="n">
        <v>45637</v>
      </c>
      <c r="C353" s="5">
        <f>(B353-B352)/B352</f>
        <v/>
      </c>
      <c r="D353" t="n">
        <v>1320.46</v>
      </c>
      <c r="E353" s="5">
        <f>(D353-D352)/D352</f>
        <v/>
      </c>
    </row>
    <row r="354">
      <c r="A354" t="inlineStr">
        <is>
          <t>2021-05-31</t>
        </is>
      </c>
      <c r="B354" t="n">
        <v>44294</v>
      </c>
      <c r="C354" s="5">
        <f>(B354-B353)/B353</f>
        <v/>
      </c>
      <c r="D354" t="n">
        <v>1328.05</v>
      </c>
      <c r="E354" s="5">
        <f>(D354-D353)/D353</f>
        <v/>
      </c>
    </row>
    <row r="355">
      <c r="A355" t="inlineStr">
        <is>
          <t>2021-06-01</t>
        </is>
      </c>
      <c r="B355" t="n">
        <v>43655</v>
      </c>
      <c r="C355" s="5">
        <f>(B355-B354)/B354</f>
        <v/>
      </c>
      <c r="D355" t="n">
        <v>1337.78</v>
      </c>
      <c r="E355" s="5">
        <f>(D355-D354)/D354</f>
        <v/>
      </c>
    </row>
    <row r="356">
      <c r="A356" t="inlineStr">
        <is>
          <t>2021-06-02</t>
        </is>
      </c>
      <c r="B356" t="n">
        <v>44390</v>
      </c>
      <c r="C356" s="5">
        <f>(B356-B355)/B355</f>
        <v/>
      </c>
      <c r="D356" t="n">
        <v>1340.78</v>
      </c>
      <c r="E356" s="5">
        <f>(D356-D355)/D355</f>
        <v/>
      </c>
    </row>
    <row r="357">
      <c r="A357" t="inlineStr">
        <is>
          <t>2021-06-03</t>
        </is>
      </c>
      <c r="B357" t="n">
        <v>44454</v>
      </c>
      <c r="C357" s="5">
        <f>(B357-B356)/B356</f>
        <v/>
      </c>
      <c r="D357" t="n">
        <v>1364.28</v>
      </c>
      <c r="E357" s="5">
        <f>(D357-D356)/D356</f>
        <v/>
      </c>
    </row>
    <row r="358">
      <c r="A358" t="inlineStr">
        <is>
          <t>2021-06-04</t>
        </is>
      </c>
      <c r="B358" t="n">
        <v>43974</v>
      </c>
      <c r="C358" s="5">
        <f>(B358-B357)/B357</f>
        <v/>
      </c>
      <c r="D358" t="n">
        <v>1374.05</v>
      </c>
      <c r="E358" s="5">
        <f>(D358-D357)/D357</f>
        <v/>
      </c>
    </row>
    <row r="359">
      <c r="A359" t="inlineStr">
        <is>
          <t>2021-06-07</t>
        </is>
      </c>
      <c r="B359" t="n">
        <v>43527</v>
      </c>
      <c r="C359" s="5">
        <f>(B359-B358)/B358</f>
        <v/>
      </c>
      <c r="D359" t="n">
        <v>1358.78</v>
      </c>
      <c r="E359" s="5">
        <f>(D359-D358)/D358</f>
        <v/>
      </c>
    </row>
    <row r="360">
      <c r="A360" t="inlineStr">
        <is>
          <t>2021-06-08</t>
        </is>
      </c>
      <c r="B360" t="n">
        <v>43495</v>
      </c>
      <c r="C360" s="5">
        <f>(B360-B359)/B359</f>
        <v/>
      </c>
      <c r="D360" t="n">
        <v>1319.88</v>
      </c>
      <c r="E360" s="5">
        <f>(D360-D359)/D359</f>
        <v/>
      </c>
    </row>
    <row r="361">
      <c r="A361" t="inlineStr">
        <is>
          <t>2021-06-09</t>
        </is>
      </c>
      <c r="B361" t="n">
        <v>43623</v>
      </c>
      <c r="C361" s="5">
        <f>(B361-B360)/B360</f>
        <v/>
      </c>
      <c r="D361" t="n">
        <v>1332.9</v>
      </c>
      <c r="E361" s="5">
        <f>(D361-D360)/D360</f>
        <v/>
      </c>
    </row>
    <row r="362">
      <c r="A362" t="inlineStr">
        <is>
          <t>2021-06-10</t>
        </is>
      </c>
      <c r="B362" t="n">
        <v>43271</v>
      </c>
      <c r="C362" s="5">
        <f>(B362-B361)/B361</f>
        <v/>
      </c>
      <c r="D362" t="n">
        <v>1323.58</v>
      </c>
      <c r="E362" s="5">
        <f>(D362-D361)/D361</f>
        <v/>
      </c>
    </row>
    <row r="363">
      <c r="A363" t="inlineStr">
        <is>
          <t>2021-06-11</t>
        </is>
      </c>
      <c r="B363" t="n">
        <v>43814</v>
      </c>
      <c r="C363" s="5">
        <f>(B363-B362)/B362</f>
        <v/>
      </c>
      <c r="D363" t="n">
        <v>1351.74</v>
      </c>
      <c r="E363" s="5">
        <f>(D363-D362)/D362</f>
        <v/>
      </c>
    </row>
    <row r="364">
      <c r="A364" t="inlineStr">
        <is>
          <t>2021-06-14</t>
        </is>
      </c>
      <c r="B364" t="n">
        <v>44166</v>
      </c>
      <c r="C364" s="5">
        <f>(B364-B363)/B363</f>
        <v/>
      </c>
      <c r="D364" t="n">
        <v>1361.72</v>
      </c>
      <c r="E364" s="5">
        <f>(D364-D363)/D363</f>
        <v/>
      </c>
    </row>
    <row r="365">
      <c r="A365" t="inlineStr">
        <is>
          <t>2021-06-15</t>
        </is>
      </c>
      <c r="B365" t="n">
        <v>44102</v>
      </c>
      <c r="C365" s="5">
        <f>(B365-B364)/B364</f>
        <v/>
      </c>
      <c r="D365" t="n">
        <v>1367.36</v>
      </c>
      <c r="E365" s="5">
        <f>(D365-D364)/D364</f>
        <v/>
      </c>
    </row>
    <row r="366">
      <c r="A366" t="inlineStr">
        <is>
          <t>2021-06-16</t>
        </is>
      </c>
      <c r="B366" t="n">
        <v>43814</v>
      </c>
      <c r="C366" s="5">
        <f>(B366-B365)/B365</f>
        <v/>
      </c>
      <c r="D366" t="n">
        <v>1356.52</v>
      </c>
      <c r="E366" s="5">
        <f>(D366-D365)/D365</f>
        <v/>
      </c>
    </row>
    <row r="367">
      <c r="A367" t="inlineStr">
        <is>
          <t>2021-06-17</t>
        </is>
      </c>
      <c r="B367" t="n">
        <v>44454</v>
      </c>
      <c r="C367" s="5">
        <f>(B367-B366)/B366</f>
        <v/>
      </c>
      <c r="D367" t="n">
        <v>1359.92</v>
      </c>
      <c r="E367" s="5">
        <f>(D367-D366)/D366</f>
        <v/>
      </c>
    </row>
    <row r="368">
      <c r="A368" t="inlineStr">
        <is>
          <t>2021-06-18</t>
        </is>
      </c>
      <c r="B368" t="n">
        <v>45094</v>
      </c>
      <c r="C368" s="5">
        <f>(B368-B367)/B367</f>
        <v/>
      </c>
      <c r="D368" t="n">
        <v>1377.77</v>
      </c>
      <c r="E368" s="5">
        <f>(D368-D367)/D367</f>
        <v/>
      </c>
    </row>
    <row r="369">
      <c r="A369" t="inlineStr">
        <is>
          <t>2021-06-21</t>
        </is>
      </c>
      <c r="B369" t="n">
        <v>46629</v>
      </c>
      <c r="C369" s="5">
        <f>(B369-B368)/B368</f>
        <v/>
      </c>
      <c r="D369" t="n">
        <v>1372.63</v>
      </c>
      <c r="E369" s="5">
        <f>(D369-D368)/D368</f>
        <v/>
      </c>
    </row>
    <row r="370">
      <c r="A370" t="inlineStr">
        <is>
          <t>2021-06-22</t>
        </is>
      </c>
      <c r="B370" t="n">
        <v>46693</v>
      </c>
      <c r="C370" s="5">
        <f>(B370-B369)/B369</f>
        <v/>
      </c>
      <c r="D370" t="n">
        <v>1379.97</v>
      </c>
      <c r="E370" s="5">
        <f>(D370-D369)/D369</f>
        <v/>
      </c>
    </row>
    <row r="371">
      <c r="A371" t="inlineStr">
        <is>
          <t>2021-06-23</t>
        </is>
      </c>
      <c r="B371" t="n">
        <v>46053</v>
      </c>
      <c r="C371" s="5">
        <f>(B371-B370)/B370</f>
        <v/>
      </c>
      <c r="D371" t="n">
        <v>1376.87</v>
      </c>
      <c r="E371" s="5">
        <f>(D371-D370)/D370</f>
        <v/>
      </c>
    </row>
    <row r="372">
      <c r="A372" t="inlineStr">
        <is>
          <t>2021-06-24</t>
        </is>
      </c>
      <c r="B372" t="n">
        <v>46053</v>
      </c>
      <c r="C372" s="5">
        <f>(B372-B371)/B371</f>
        <v/>
      </c>
      <c r="D372" t="n">
        <v>1379.72</v>
      </c>
      <c r="E372" s="5">
        <f>(D372-D371)/D371</f>
        <v/>
      </c>
    </row>
    <row r="373">
      <c r="A373" t="inlineStr">
        <is>
          <t>2021-06-25</t>
        </is>
      </c>
      <c r="B373" t="n">
        <v>45957</v>
      </c>
      <c r="C373" s="5">
        <f>(B373-B372)/B372</f>
        <v/>
      </c>
      <c r="D373" t="n">
        <v>1390.12</v>
      </c>
      <c r="E373" s="5">
        <f>(D373-D372)/D372</f>
        <v/>
      </c>
    </row>
    <row r="374">
      <c r="A374" t="inlineStr">
        <is>
          <t>2021-06-28</t>
        </is>
      </c>
      <c r="B374" t="n">
        <v>46533</v>
      </c>
      <c r="C374" s="5">
        <f>(B374-B373)/B373</f>
        <v/>
      </c>
      <c r="D374" t="n">
        <v>1405.81</v>
      </c>
      <c r="E374" s="5">
        <f>(D374-D373)/D373</f>
        <v/>
      </c>
    </row>
    <row r="375">
      <c r="A375" t="inlineStr">
        <is>
          <t>2021-06-29</t>
        </is>
      </c>
      <c r="B375" t="n">
        <v>47013</v>
      </c>
      <c r="C375" s="5">
        <f>(B375-B374)/B374</f>
        <v/>
      </c>
      <c r="D375" t="n">
        <v>1410.04</v>
      </c>
      <c r="E375" s="5">
        <f>(D375-D374)/D374</f>
        <v/>
      </c>
    </row>
    <row r="376">
      <c r="A376" t="inlineStr">
        <is>
          <t>2021-06-30</t>
        </is>
      </c>
      <c r="B376" t="n">
        <v>48612</v>
      </c>
      <c r="C376" s="5">
        <f>(B376-B375)/B375</f>
        <v/>
      </c>
      <c r="D376" t="n">
        <v>1408.55</v>
      </c>
      <c r="E376" s="5">
        <f>(D376-D375)/D375</f>
        <v/>
      </c>
    </row>
    <row r="377">
      <c r="A377" t="inlineStr">
        <is>
          <t>2021-07-01</t>
        </is>
      </c>
      <c r="B377" t="n">
        <v>48324</v>
      </c>
      <c r="C377" s="5">
        <f>(B377-B376)/B376</f>
        <v/>
      </c>
      <c r="D377" t="n">
        <v>1417.08</v>
      </c>
      <c r="E377" s="5">
        <f>(D377-D376)/D376</f>
        <v/>
      </c>
    </row>
    <row r="378">
      <c r="A378" t="inlineStr">
        <is>
          <t>2021-07-02</t>
        </is>
      </c>
      <c r="B378" t="n">
        <v>50147</v>
      </c>
      <c r="C378" s="5">
        <f>(B378-B377)/B377</f>
        <v/>
      </c>
      <c r="D378" t="n">
        <v>1420.27</v>
      </c>
      <c r="E378" s="5">
        <f>(D378-D377)/D377</f>
        <v/>
      </c>
    </row>
    <row r="379">
      <c r="A379" t="inlineStr">
        <is>
          <t>2021-07-05</t>
        </is>
      </c>
      <c r="B379" t="n">
        <v>53249</v>
      </c>
      <c r="C379" s="5">
        <f>(B379-B378)/B378</f>
        <v/>
      </c>
      <c r="D379" t="n">
        <v>1411.13</v>
      </c>
      <c r="E379" s="5">
        <f>(D379-D378)/D378</f>
        <v/>
      </c>
    </row>
    <row r="380">
      <c r="A380" t="inlineStr">
        <is>
          <t>2021-07-06</t>
        </is>
      </c>
      <c r="B380" t="n">
        <v>49571</v>
      </c>
      <c r="C380" s="5">
        <f>(B380-B379)/B379</f>
        <v/>
      </c>
      <c r="D380" t="n">
        <v>1354.79</v>
      </c>
      <c r="E380" s="5">
        <f>(D380-D379)/D379</f>
        <v/>
      </c>
    </row>
    <row r="381">
      <c r="A381" t="inlineStr">
        <is>
          <t>2021-07-07</t>
        </is>
      </c>
      <c r="B381" t="n">
        <v>53025</v>
      </c>
      <c r="C381" s="5">
        <f>(B381-B380)/B380</f>
        <v/>
      </c>
      <c r="D381" t="n">
        <v>1388.55</v>
      </c>
      <c r="E381" s="5">
        <f>(D381-D380)/D380</f>
        <v/>
      </c>
    </row>
    <row r="382">
      <c r="A382" t="inlineStr">
        <is>
          <t>2021-07-08</t>
        </is>
      </c>
      <c r="B382" t="n">
        <v>55168</v>
      </c>
      <c r="C382" s="5">
        <f>(B382-B381)/B381</f>
        <v/>
      </c>
      <c r="D382" t="n">
        <v>1374.68</v>
      </c>
      <c r="E382" s="5">
        <f>(D382-D381)/D381</f>
        <v/>
      </c>
    </row>
    <row r="383">
      <c r="A383" t="inlineStr">
        <is>
          <t>2021-07-09</t>
        </is>
      </c>
      <c r="B383" t="n">
        <v>56447</v>
      </c>
      <c r="C383" s="5">
        <f>(B383-B382)/B382</f>
        <v/>
      </c>
      <c r="D383" t="n">
        <v>1347.14</v>
      </c>
      <c r="E383" s="5">
        <f>(D383-D382)/D382</f>
        <v/>
      </c>
    </row>
    <row r="384">
      <c r="A384" t="inlineStr">
        <is>
          <t>2021-07-12</t>
        </is>
      </c>
      <c r="B384" t="n">
        <v>56479</v>
      </c>
      <c r="C384" s="5">
        <f>(B384-B383)/B383</f>
        <v/>
      </c>
      <c r="D384" t="n">
        <v>1296.3</v>
      </c>
      <c r="E384" s="5">
        <f>(D384-D383)/D383</f>
        <v/>
      </c>
    </row>
    <row r="385">
      <c r="A385" t="inlineStr">
        <is>
          <t>2021-07-13</t>
        </is>
      </c>
      <c r="B385" t="n">
        <v>55967</v>
      </c>
      <c r="C385" s="5">
        <f>(B385-B384)/B384</f>
        <v/>
      </c>
      <c r="D385" t="n">
        <v>1297.54</v>
      </c>
      <c r="E385" s="5">
        <f>(D385-D384)/D384</f>
        <v/>
      </c>
    </row>
    <row r="386">
      <c r="A386" t="inlineStr">
        <is>
          <t>2021-07-14</t>
        </is>
      </c>
      <c r="B386" t="n">
        <v>53249</v>
      </c>
      <c r="C386" s="5">
        <f>(B386-B385)/B385</f>
        <v/>
      </c>
      <c r="D386" t="n">
        <v>1279.91</v>
      </c>
      <c r="E386" s="5">
        <f>(D386-D385)/D385</f>
        <v/>
      </c>
    </row>
    <row r="387">
      <c r="A387" t="inlineStr">
        <is>
          <t>2021-07-15</t>
        </is>
      </c>
      <c r="B387" t="n">
        <v>53441</v>
      </c>
      <c r="C387" s="5">
        <f>(B387-B386)/B386</f>
        <v/>
      </c>
      <c r="D387" t="n">
        <v>1293.92</v>
      </c>
      <c r="E387" s="5">
        <f>(D387-D386)/D386</f>
        <v/>
      </c>
    </row>
    <row r="388">
      <c r="A388" t="inlineStr">
        <is>
          <t>2021-07-16</t>
        </is>
      </c>
      <c r="B388" t="n">
        <v>53761</v>
      </c>
      <c r="C388" s="5">
        <f>(B388-B387)/B387</f>
        <v/>
      </c>
      <c r="D388" t="n">
        <v>1299.31</v>
      </c>
      <c r="E388" s="5">
        <f>(D388-D387)/D387</f>
        <v/>
      </c>
    </row>
    <row r="389">
      <c r="A389" t="inlineStr">
        <is>
          <t>2021-07-19</t>
        </is>
      </c>
      <c r="B389" t="n">
        <v>50051</v>
      </c>
      <c r="C389" s="5">
        <f>(B389-B388)/B388</f>
        <v/>
      </c>
      <c r="D389" t="n">
        <v>1243.51</v>
      </c>
      <c r="E389" s="5">
        <f>(D389-D388)/D388</f>
        <v/>
      </c>
    </row>
    <row r="390">
      <c r="A390" t="inlineStr">
        <is>
          <t>2021-07-20</t>
        </is>
      </c>
      <c r="B390" t="n">
        <v>52641</v>
      </c>
      <c r="C390" s="5">
        <f>(B390-B389)/B389</f>
        <v/>
      </c>
      <c r="D390" t="n">
        <v>1273.29</v>
      </c>
      <c r="E390" s="5">
        <f>(D390-D389)/D389</f>
        <v/>
      </c>
    </row>
    <row r="391">
      <c r="A391" t="inlineStr">
        <is>
          <t>2021-07-21</t>
        </is>
      </c>
      <c r="B391" t="n">
        <v>52258</v>
      </c>
      <c r="C391" s="5">
        <f>(B391-B390)/B390</f>
        <v/>
      </c>
      <c r="D391" t="n">
        <v>1270.79</v>
      </c>
      <c r="E391" s="5">
        <f>(D391-D390)/D390</f>
        <v/>
      </c>
    </row>
    <row r="392">
      <c r="A392" t="inlineStr">
        <is>
          <t>2021-07-22</t>
        </is>
      </c>
      <c r="B392" t="n">
        <v>52833</v>
      </c>
      <c r="C392" s="5">
        <f>(B392-B391)/B391</f>
        <v/>
      </c>
      <c r="D392" t="n">
        <v>1293.67</v>
      </c>
      <c r="E392" s="5">
        <f>(D392-D391)/D391</f>
        <v/>
      </c>
    </row>
    <row r="393">
      <c r="A393" t="inlineStr">
        <is>
          <t>2021-07-23</t>
        </is>
      </c>
      <c r="B393" t="n">
        <v>51714</v>
      </c>
      <c r="C393" s="5">
        <f>(B393-B392)/B392</f>
        <v/>
      </c>
      <c r="D393" t="n">
        <v>1268.83</v>
      </c>
      <c r="E393" s="5">
        <f>(D393-D392)/D392</f>
        <v/>
      </c>
    </row>
    <row r="394">
      <c r="A394" t="inlineStr">
        <is>
          <t>2021-07-26</t>
        </is>
      </c>
      <c r="B394" t="n">
        <v>51266</v>
      </c>
      <c r="C394" s="5">
        <f>(B394-B393)/B393</f>
        <v/>
      </c>
      <c r="D394" t="n">
        <v>1272.71</v>
      </c>
      <c r="E394" s="5">
        <f>(D394-D393)/D393</f>
        <v/>
      </c>
    </row>
    <row r="395">
      <c r="A395" t="inlineStr">
        <is>
          <t>2021-07-27</t>
        </is>
      </c>
      <c r="B395" t="n">
        <v>50531</v>
      </c>
      <c r="C395" s="5">
        <f>(B395-B394)/B394</f>
        <v/>
      </c>
      <c r="D395" t="n">
        <v>1276.93</v>
      </c>
      <c r="E395" s="5">
        <f>(D395-D394)/D394</f>
        <v/>
      </c>
    </row>
    <row r="396">
      <c r="A396" t="inlineStr">
        <is>
          <t>2021-07-28</t>
        </is>
      </c>
      <c r="B396" t="n">
        <v>50243</v>
      </c>
      <c r="C396" s="5">
        <f>(B396-B395)/B395</f>
        <v/>
      </c>
      <c r="D396" t="n">
        <v>1277.07</v>
      </c>
      <c r="E396" s="5">
        <f>(D396-D395)/D395</f>
        <v/>
      </c>
    </row>
    <row r="397">
      <c r="A397" t="inlineStr">
        <is>
          <t>2021-07-29</t>
        </is>
      </c>
      <c r="B397" t="n">
        <v>52066</v>
      </c>
      <c r="C397" s="5">
        <f>(B397-B396)/B396</f>
        <v/>
      </c>
      <c r="D397" t="n">
        <v>1293.6</v>
      </c>
      <c r="E397" s="5">
        <f>(D397-D396)/D396</f>
        <v/>
      </c>
    </row>
    <row r="398">
      <c r="A398" t="inlineStr">
        <is>
          <t>2021-07-30</t>
        </is>
      </c>
      <c r="B398" t="n">
        <v>52481</v>
      </c>
      <c r="C398" s="5">
        <f>(B398-B397)/B397</f>
        <v/>
      </c>
      <c r="D398" t="n">
        <v>1310.05</v>
      </c>
      <c r="E398" s="5">
        <f>(D398-D397)/D397</f>
        <v/>
      </c>
    </row>
    <row r="399">
      <c r="A399" t="inlineStr">
        <is>
          <t>2021-08-02</t>
        </is>
      </c>
      <c r="B399" t="n">
        <v>54336</v>
      </c>
      <c r="C399" s="5">
        <f>(B399-B398)/B398</f>
        <v/>
      </c>
      <c r="D399" t="n">
        <v>1314.22</v>
      </c>
      <c r="E399" s="5">
        <f>(D399-D398)/D398</f>
        <v/>
      </c>
    </row>
    <row r="400">
      <c r="A400" t="inlineStr">
        <is>
          <t>2021-08-03</t>
        </is>
      </c>
      <c r="B400" t="n">
        <v>54336</v>
      </c>
      <c r="C400" s="5">
        <f>(B400-B399)/B399</f>
        <v/>
      </c>
      <c r="D400" t="n">
        <v>1332.44</v>
      </c>
      <c r="E400" s="5">
        <f>(D400-D399)/D399</f>
        <v/>
      </c>
    </row>
    <row r="401">
      <c r="A401" t="inlineStr">
        <is>
          <t>2021-08-04</t>
        </is>
      </c>
      <c r="B401" t="n">
        <v>54368</v>
      </c>
      <c r="C401" s="5">
        <f>(B401-B400)/B400</f>
        <v/>
      </c>
      <c r="D401" t="n">
        <v>1334.74</v>
      </c>
      <c r="E401" s="5">
        <f>(D401-D400)/D400</f>
        <v/>
      </c>
    </row>
    <row r="402">
      <c r="A402" t="inlineStr">
        <is>
          <t>2021-08-05</t>
        </is>
      </c>
      <c r="B402" t="n">
        <v>55328</v>
      </c>
      <c r="C402" s="5">
        <f>(B402-B401)/B401</f>
        <v/>
      </c>
      <c r="D402" t="n">
        <v>1345.55</v>
      </c>
      <c r="E402" s="5">
        <f>(D402-D401)/D401</f>
        <v/>
      </c>
    </row>
    <row r="403">
      <c r="A403" t="inlineStr">
        <is>
          <t>2021-08-06</t>
        </is>
      </c>
      <c r="B403" t="n">
        <v>54848</v>
      </c>
      <c r="C403" s="5">
        <f>(B403-B402)/B402</f>
        <v/>
      </c>
      <c r="D403" t="n">
        <v>1341.45</v>
      </c>
      <c r="E403" s="5">
        <f>(D403-D402)/D402</f>
        <v/>
      </c>
    </row>
    <row r="404">
      <c r="A404" t="inlineStr">
        <is>
          <t>2021-08-09</t>
        </is>
      </c>
      <c r="B404" t="n">
        <v>55584</v>
      </c>
      <c r="C404" s="5">
        <f>(B404-B403)/B403</f>
        <v/>
      </c>
      <c r="D404" t="n">
        <v>1359.86</v>
      </c>
      <c r="E404" s="5">
        <f>(D404-D403)/D403</f>
        <v/>
      </c>
    </row>
    <row r="405">
      <c r="A405" t="inlineStr">
        <is>
          <t>2021-08-10</t>
        </is>
      </c>
      <c r="B405" t="n">
        <v>55616</v>
      </c>
      <c r="C405" s="5">
        <f>(B405-B404)/B404</f>
        <v/>
      </c>
      <c r="D405" t="n">
        <v>1362.43</v>
      </c>
      <c r="E405" s="5">
        <f>(D405-D404)/D404</f>
        <v/>
      </c>
    </row>
    <row r="406">
      <c r="A406" t="inlineStr">
        <is>
          <t>2021-08-11</t>
        </is>
      </c>
      <c r="B406" t="n">
        <v>55967</v>
      </c>
      <c r="C406" s="5">
        <f>(B406-B405)/B405</f>
        <v/>
      </c>
      <c r="D406" t="n">
        <v>1357.79</v>
      </c>
      <c r="E406" s="5">
        <f>(D406-D405)/D405</f>
        <v/>
      </c>
    </row>
    <row r="407">
      <c r="A407" t="inlineStr">
        <is>
          <t>2021-08-12</t>
        </is>
      </c>
      <c r="B407" t="n">
        <v>54368</v>
      </c>
      <c r="C407" s="5">
        <f>(B407-B406)/B406</f>
        <v/>
      </c>
      <c r="D407" t="n">
        <v>1353.05</v>
      </c>
      <c r="E407" s="5">
        <f>(D407-D406)/D406</f>
        <v/>
      </c>
    </row>
    <row r="408">
      <c r="A408" t="inlineStr">
        <is>
          <t>2021-08-13</t>
        </is>
      </c>
      <c r="B408" t="n">
        <v>54688</v>
      </c>
      <c r="C408" s="5">
        <f>(B408-B407)/B407</f>
        <v/>
      </c>
      <c r="D408" t="n">
        <v>1357.05</v>
      </c>
      <c r="E408" s="5">
        <f>(D408-D407)/D407</f>
        <v/>
      </c>
    </row>
    <row r="409">
      <c r="A409" t="inlineStr">
        <is>
          <t>2021-08-16</t>
        </is>
      </c>
      <c r="B409" t="n">
        <v>54400</v>
      </c>
      <c r="C409" s="5">
        <f>(B409-B408)/B408</f>
        <v/>
      </c>
      <c r="D409" t="n">
        <v>1370.96</v>
      </c>
      <c r="E409" s="5">
        <f>(D409-D408)/D408</f>
        <v/>
      </c>
    </row>
    <row r="410">
      <c r="A410" t="inlineStr">
        <is>
          <t>2021-08-17</t>
        </is>
      </c>
      <c r="B410" t="n">
        <v>54336</v>
      </c>
      <c r="C410" s="5">
        <f>(B410-B409)/B409</f>
        <v/>
      </c>
      <c r="D410" t="n">
        <v>1363.09</v>
      </c>
      <c r="E410" s="5">
        <f>(D410-D409)/D409</f>
        <v/>
      </c>
    </row>
    <row r="411">
      <c r="A411" t="inlineStr">
        <is>
          <t>2021-08-18</t>
        </is>
      </c>
      <c r="B411" t="n">
        <v>55168</v>
      </c>
      <c r="C411" s="5">
        <f>(B411-B410)/B410</f>
        <v/>
      </c>
      <c r="D411" t="n">
        <v>1360.94</v>
      </c>
      <c r="E411" s="5">
        <f>(D411-D410)/D410</f>
        <v/>
      </c>
    </row>
    <row r="412">
      <c r="A412" t="inlineStr">
        <is>
          <t>2021-08-19</t>
        </is>
      </c>
      <c r="B412" t="n">
        <v>55168</v>
      </c>
      <c r="C412" s="5">
        <f>(B412-B411)/B411</f>
        <v/>
      </c>
      <c r="D412" t="n">
        <v>1374.85</v>
      </c>
      <c r="E412" s="5">
        <f>(D412-D411)/D411</f>
        <v/>
      </c>
    </row>
    <row r="413">
      <c r="A413" t="inlineStr">
        <is>
          <t>2021-08-20</t>
        </is>
      </c>
      <c r="B413" t="n">
        <v>52449</v>
      </c>
      <c r="C413" s="5">
        <f>(B413-B412)/B412</f>
        <v/>
      </c>
      <c r="D413" t="n">
        <v>1329.43</v>
      </c>
      <c r="E413" s="5">
        <f>(D413-D412)/D412</f>
        <v/>
      </c>
    </row>
    <row r="414">
      <c r="A414" t="inlineStr">
        <is>
          <t>2021-08-23</t>
        </is>
      </c>
      <c r="B414" t="n">
        <v>50563</v>
      </c>
      <c r="C414" s="5">
        <f>(B414-B413)/B413</f>
        <v/>
      </c>
      <c r="D414" t="n">
        <v>1298.86</v>
      </c>
      <c r="E414" s="5">
        <f>(D414-D413)/D413</f>
        <v/>
      </c>
    </row>
    <row r="415">
      <c r="A415" t="inlineStr">
        <is>
          <t>2021-08-24</t>
        </is>
      </c>
      <c r="B415" t="n">
        <v>51330</v>
      </c>
      <c r="C415" s="5">
        <f>(B415-B414)/B414</f>
        <v/>
      </c>
      <c r="D415" t="n">
        <v>1298.74</v>
      </c>
      <c r="E415" s="5">
        <f>(D415-D414)/D414</f>
        <v/>
      </c>
    </row>
    <row r="416">
      <c r="A416" t="inlineStr">
        <is>
          <t>2021-08-25</t>
        </is>
      </c>
      <c r="B416" t="n">
        <v>51650</v>
      </c>
      <c r="C416" s="5">
        <f>(B416-B415)/B415</f>
        <v/>
      </c>
      <c r="D416" t="n">
        <v>1309.55</v>
      </c>
      <c r="E416" s="5">
        <f>(D416-D415)/D415</f>
        <v/>
      </c>
    </row>
    <row r="417">
      <c r="A417" t="inlineStr">
        <is>
          <t>2021-08-26</t>
        </is>
      </c>
      <c r="B417" t="n">
        <v>51810</v>
      </c>
      <c r="C417" s="5">
        <f>(B417-B416)/B416</f>
        <v/>
      </c>
      <c r="D417" t="n">
        <v>1301.12</v>
      </c>
      <c r="E417" s="5">
        <f>(D417-D416)/D416</f>
        <v/>
      </c>
    </row>
    <row r="418">
      <c r="A418" t="inlineStr">
        <is>
          <t>2021-08-27</t>
        </is>
      </c>
      <c r="B418" t="n">
        <v>52609</v>
      </c>
      <c r="C418" s="5">
        <f>(B418-B417)/B417</f>
        <v/>
      </c>
      <c r="D418" t="n">
        <v>1313.2</v>
      </c>
      <c r="E418" s="5">
        <f>(D418-D417)/D417</f>
        <v/>
      </c>
    </row>
    <row r="419">
      <c r="A419" t="inlineStr">
        <is>
          <t>2021-08-30</t>
        </is>
      </c>
      <c r="B419" t="n">
        <v>53222</v>
      </c>
      <c r="C419" s="5">
        <f>(B419-B418)/B418</f>
        <v/>
      </c>
      <c r="D419" t="n">
        <v>1328.14</v>
      </c>
      <c r="E419" s="5">
        <f>(D419-D418)/D418</f>
        <v/>
      </c>
    </row>
    <row r="420">
      <c r="A420" t="inlineStr">
        <is>
          <t>2021-08-31</t>
        </is>
      </c>
      <c r="B420" t="n">
        <v>53415</v>
      </c>
      <c r="C420" s="5">
        <f>(B420-B419)/B419</f>
        <v/>
      </c>
      <c r="D420" t="n">
        <v>1331.47</v>
      </c>
      <c r="E420" s="5">
        <f>(D420-D419)/D419</f>
        <v/>
      </c>
    </row>
    <row r="421">
      <c r="A421" t="inlineStr">
        <is>
          <t>2021-09-01</t>
        </is>
      </c>
      <c r="B421" t="n">
        <v>53030</v>
      </c>
      <c r="C421" s="5">
        <f>(B421-B420)/B420</f>
        <v/>
      </c>
      <c r="D421" t="n">
        <v>1334.65</v>
      </c>
      <c r="E421" s="5">
        <f>(D421-D420)/D420</f>
        <v/>
      </c>
    </row>
    <row r="422">
      <c r="A422" t="inlineStr">
        <is>
          <t>2021-09-06</t>
        </is>
      </c>
      <c r="B422" t="n">
        <v>53415</v>
      </c>
      <c r="C422" s="5">
        <f>(B422-B421)/B421</f>
        <v/>
      </c>
      <c r="D422" t="n">
        <v>1346.39</v>
      </c>
      <c r="E422" s="5">
        <f>(D422-D421)/D421</f>
        <v/>
      </c>
    </row>
    <row r="423">
      <c r="A423" t="inlineStr">
        <is>
          <t>2021-09-07</t>
        </is>
      </c>
      <c r="B423" t="n">
        <v>53078</v>
      </c>
      <c r="C423" s="5">
        <f>(B423-B422)/B422</f>
        <v/>
      </c>
      <c r="D423" t="n">
        <v>1341.9</v>
      </c>
      <c r="E423" s="5">
        <f>(D423-D422)/D422</f>
        <v/>
      </c>
    </row>
    <row r="424">
      <c r="A424" t="inlineStr">
        <is>
          <t>2021-09-08</t>
        </is>
      </c>
      <c r="B424" t="n">
        <v>53607</v>
      </c>
      <c r="C424" s="5">
        <f>(B424-B423)/B423</f>
        <v/>
      </c>
      <c r="D424" t="n">
        <v>1333.61</v>
      </c>
      <c r="E424" s="5">
        <f>(D424-D423)/D423</f>
        <v/>
      </c>
    </row>
    <row r="425">
      <c r="A425" t="inlineStr">
        <is>
          <t>2021-09-09</t>
        </is>
      </c>
      <c r="B425" t="n">
        <v>57216</v>
      </c>
      <c r="C425" s="5">
        <f>(B425-B424)/B424</f>
        <v/>
      </c>
      <c r="D425" t="n">
        <v>1343.98</v>
      </c>
      <c r="E425" s="5">
        <f>(D425-D424)/D424</f>
        <v/>
      </c>
    </row>
    <row r="426">
      <c r="A426" t="inlineStr">
        <is>
          <t>2021-09-10</t>
        </is>
      </c>
      <c r="B426" t="n">
        <v>57216</v>
      </c>
      <c r="C426" s="5">
        <f>(B426-B425)/B425</f>
        <v/>
      </c>
      <c r="D426" t="n">
        <v>1345.31</v>
      </c>
      <c r="E426" s="5">
        <f>(D426-D425)/D425</f>
        <v/>
      </c>
    </row>
    <row r="427">
      <c r="A427" t="inlineStr">
        <is>
          <t>2021-09-13</t>
        </is>
      </c>
      <c r="B427" t="n">
        <v>60152</v>
      </c>
      <c r="C427" s="5">
        <f>(B427-B426)/B426</f>
        <v/>
      </c>
      <c r="D427" t="n">
        <v>1341.43</v>
      </c>
      <c r="E427" s="5">
        <f>(D427-D426)/D426</f>
        <v/>
      </c>
    </row>
    <row r="428">
      <c r="A428" t="inlineStr">
        <is>
          <t>2021-09-14</t>
        </is>
      </c>
      <c r="B428" t="n">
        <v>59911</v>
      </c>
      <c r="C428" s="5">
        <f>(B428-B427)/B427</f>
        <v/>
      </c>
      <c r="D428" t="n">
        <v>1339.7</v>
      </c>
      <c r="E428" s="5">
        <f>(D428-D427)/D427</f>
        <v/>
      </c>
    </row>
    <row r="429">
      <c r="A429" t="inlineStr">
        <is>
          <t>2021-09-15</t>
        </is>
      </c>
      <c r="B429" t="n">
        <v>59959</v>
      </c>
      <c r="C429" s="5">
        <f>(B429-B428)/B428</f>
        <v/>
      </c>
      <c r="D429" t="n">
        <v>1345.83</v>
      </c>
      <c r="E429" s="5">
        <f>(D429-D428)/D428</f>
        <v/>
      </c>
    </row>
    <row r="430">
      <c r="A430" t="inlineStr">
        <is>
          <t>2021-09-16</t>
        </is>
      </c>
      <c r="B430" t="n">
        <v>59478</v>
      </c>
      <c r="C430" s="5">
        <f>(B430-B429)/B429</f>
        <v/>
      </c>
      <c r="D430" t="n">
        <v>1345.87</v>
      </c>
      <c r="E430" s="5">
        <f>(D430-D429)/D429</f>
        <v/>
      </c>
    </row>
    <row r="431">
      <c r="A431" t="inlineStr">
        <is>
          <t>2021-09-17</t>
        </is>
      </c>
      <c r="B431" t="n">
        <v>59189</v>
      </c>
      <c r="C431" s="5">
        <f>(B431-B430)/B430</f>
        <v/>
      </c>
      <c r="D431" t="n">
        <v>1352.64</v>
      </c>
      <c r="E431" s="5">
        <f>(D431-D430)/D430</f>
        <v/>
      </c>
    </row>
    <row r="432">
      <c r="A432" t="inlineStr">
        <is>
          <t>2021-09-20</t>
        </is>
      </c>
      <c r="B432" t="n">
        <v>59189</v>
      </c>
      <c r="C432" s="5">
        <f>(B432-B431)/B431</f>
        <v/>
      </c>
      <c r="D432" t="n">
        <v>1350.48</v>
      </c>
      <c r="E432" s="5">
        <f>(D432-D431)/D431</f>
        <v/>
      </c>
    </row>
    <row r="433">
      <c r="A433" t="inlineStr">
        <is>
          <t>2021-09-21</t>
        </is>
      </c>
      <c r="B433" t="n">
        <v>59574</v>
      </c>
      <c r="C433" s="5">
        <f>(B433-B432)/B432</f>
        <v/>
      </c>
      <c r="D433" t="n">
        <v>1339.84</v>
      </c>
      <c r="E433" s="5">
        <f>(D433-D432)/D432</f>
        <v/>
      </c>
    </row>
    <row r="434">
      <c r="A434" t="inlineStr">
        <is>
          <t>2021-09-22</t>
        </is>
      </c>
      <c r="B434" t="n">
        <v>60488</v>
      </c>
      <c r="C434" s="5">
        <f>(B434-B433)/B433</f>
        <v/>
      </c>
      <c r="D434" t="n">
        <v>1350.68</v>
      </c>
      <c r="E434" s="5">
        <f>(D434-D433)/D433</f>
        <v/>
      </c>
    </row>
    <row r="435">
      <c r="A435" t="inlineStr">
        <is>
          <t>2021-09-23</t>
        </is>
      </c>
      <c r="B435" t="n">
        <v>63520</v>
      </c>
      <c r="C435" s="5">
        <f>(B435-B434)/B434</f>
        <v/>
      </c>
      <c r="D435" t="n">
        <v>1352.76</v>
      </c>
      <c r="E435" s="5">
        <f>(D435-D434)/D434</f>
        <v/>
      </c>
    </row>
    <row r="436">
      <c r="A436" t="inlineStr">
        <is>
          <t>2021-09-24</t>
        </is>
      </c>
      <c r="B436" t="n">
        <v>62798</v>
      </c>
      <c r="C436" s="5">
        <f>(B436-B435)/B435</f>
        <v/>
      </c>
      <c r="D436" t="n">
        <v>1351.17</v>
      </c>
      <c r="E436" s="5">
        <f>(D436-D435)/D435</f>
        <v/>
      </c>
    </row>
    <row r="437">
      <c r="A437" t="inlineStr">
        <is>
          <t>2021-09-27</t>
        </is>
      </c>
      <c r="B437" t="n">
        <v>60633</v>
      </c>
      <c r="C437" s="5">
        <f>(B437-B436)/B436</f>
        <v/>
      </c>
      <c r="D437" t="n">
        <v>1324.99</v>
      </c>
      <c r="E437" s="5">
        <f>(D437-D436)/D436</f>
        <v/>
      </c>
    </row>
    <row r="438">
      <c r="A438" t="inlineStr">
        <is>
          <t>2021-09-28</t>
        </is>
      </c>
      <c r="B438" t="n">
        <v>60970</v>
      </c>
      <c r="C438" s="5">
        <f>(B438-B437)/B437</f>
        <v/>
      </c>
      <c r="D438" t="n">
        <v>1339.31</v>
      </c>
      <c r="E438" s="5">
        <f>(D438-D437)/D437</f>
        <v/>
      </c>
    </row>
    <row r="439">
      <c r="A439" t="inlineStr">
        <is>
          <t>2021-09-29</t>
        </is>
      </c>
      <c r="B439" t="n">
        <v>61499</v>
      </c>
      <c r="C439" s="5">
        <f>(B439-B438)/B438</f>
        <v/>
      </c>
      <c r="D439" t="n">
        <v>1339.21</v>
      </c>
      <c r="E439" s="5">
        <f>(D439-D438)/D438</f>
        <v/>
      </c>
    </row>
    <row r="440">
      <c r="A440" t="inlineStr">
        <is>
          <t>2021-09-30</t>
        </is>
      </c>
      <c r="B440" t="n">
        <v>61499</v>
      </c>
      <c r="C440" s="5">
        <f>(B440-B439)/B439</f>
        <v/>
      </c>
      <c r="D440" t="n">
        <v>1342.06</v>
      </c>
      <c r="E440" s="5">
        <f>(D440-D439)/D439</f>
        <v/>
      </c>
    </row>
    <row r="441">
      <c r="A441" t="inlineStr">
        <is>
          <t>2021-10-01</t>
        </is>
      </c>
      <c r="B441" t="n">
        <v>60729</v>
      </c>
      <c r="C441" s="5">
        <f>(B441-B440)/B440</f>
        <v/>
      </c>
      <c r="D441" t="n">
        <v>1334.89</v>
      </c>
      <c r="E441" s="5">
        <f>(D441-D440)/D440</f>
        <v/>
      </c>
    </row>
    <row r="442">
      <c r="A442" t="inlineStr">
        <is>
          <t>2021-10-04</t>
        </is>
      </c>
      <c r="B442" t="n">
        <v>60729</v>
      </c>
      <c r="C442" s="5">
        <f>(B442-B441)/B441</f>
        <v/>
      </c>
      <c r="D442" t="n">
        <v>1339.54</v>
      </c>
      <c r="E442" s="5">
        <f>(D442-D441)/D441</f>
        <v/>
      </c>
    </row>
    <row r="443">
      <c r="A443" t="inlineStr">
        <is>
          <t>2021-10-05</t>
        </is>
      </c>
      <c r="B443" t="n">
        <v>61018</v>
      </c>
      <c r="C443" s="5">
        <f>(B443-B442)/B442</f>
        <v/>
      </c>
      <c r="D443" t="n">
        <v>1354.63</v>
      </c>
      <c r="E443" s="5">
        <f>(D443-D442)/D442</f>
        <v/>
      </c>
    </row>
    <row r="444">
      <c r="A444" t="inlineStr">
        <is>
          <t>2021-10-06</t>
        </is>
      </c>
      <c r="B444" t="n">
        <v>61740</v>
      </c>
      <c r="C444" s="5">
        <f>(B444-B443)/B443</f>
        <v/>
      </c>
      <c r="D444" t="n">
        <v>1362.82</v>
      </c>
      <c r="E444" s="5">
        <f>(D444-D443)/D443</f>
        <v/>
      </c>
    </row>
    <row r="445">
      <c r="A445" t="inlineStr">
        <is>
          <t>2021-10-07</t>
        </is>
      </c>
      <c r="B445" t="n">
        <v>61595</v>
      </c>
      <c r="C445" s="5">
        <f>(B445-B444)/B444</f>
        <v/>
      </c>
      <c r="D445" t="n">
        <v>1365.99</v>
      </c>
      <c r="E445" s="5">
        <f>(D445-D444)/D444</f>
        <v/>
      </c>
    </row>
    <row r="446">
      <c r="A446" t="inlineStr">
        <is>
          <t>2021-10-08</t>
        </is>
      </c>
      <c r="B446" t="n">
        <v>61980</v>
      </c>
      <c r="C446" s="5">
        <f>(B446-B445)/B445</f>
        <v/>
      </c>
      <c r="D446" t="n">
        <v>1372.73</v>
      </c>
      <c r="E446" s="5">
        <f>(D446-D445)/D445</f>
        <v/>
      </c>
    </row>
    <row r="447">
      <c r="A447" t="inlineStr">
        <is>
          <t>2021-10-11</t>
        </is>
      </c>
      <c r="B447" t="n">
        <v>62317</v>
      </c>
      <c r="C447" s="5">
        <f>(B447-B446)/B446</f>
        <v/>
      </c>
      <c r="D447" t="n">
        <v>1394.09</v>
      </c>
      <c r="E447" s="5">
        <f>(D447-D446)/D446</f>
        <v/>
      </c>
    </row>
    <row r="448">
      <c r="A448" t="inlineStr">
        <is>
          <t>2021-10-12</t>
        </is>
      </c>
      <c r="B448" t="n">
        <v>63568</v>
      </c>
      <c r="C448" s="5">
        <f>(B448-B447)/B447</f>
        <v/>
      </c>
      <c r="D448" t="n">
        <v>1394.8</v>
      </c>
      <c r="E448" s="5">
        <f>(D448-D447)/D447</f>
        <v/>
      </c>
    </row>
    <row r="449">
      <c r="A449" t="inlineStr">
        <is>
          <t>2021-10-13</t>
        </is>
      </c>
      <c r="B449" t="n">
        <v>64434</v>
      </c>
      <c r="C449" s="5">
        <f>(B449-B448)/B448</f>
        <v/>
      </c>
      <c r="D449" t="n">
        <v>1391.91</v>
      </c>
      <c r="E449" s="5">
        <f>(D449-D448)/D448</f>
        <v/>
      </c>
    </row>
    <row r="450">
      <c r="A450" t="inlineStr">
        <is>
          <t>2021-10-14</t>
        </is>
      </c>
      <c r="B450" t="n">
        <v>64242.00000000001</v>
      </c>
      <c r="C450" s="5">
        <f>(B450-B449)/B449</f>
        <v/>
      </c>
      <c r="D450" t="n">
        <v>1391.85</v>
      </c>
      <c r="E450" s="5">
        <f>(D450-D449)/D449</f>
        <v/>
      </c>
    </row>
    <row r="451">
      <c r="A451" t="inlineStr">
        <is>
          <t>2021-10-15</t>
        </is>
      </c>
      <c r="B451" t="n">
        <v>63712</v>
      </c>
      <c r="C451" s="5">
        <f>(B451-B450)/B450</f>
        <v/>
      </c>
      <c r="D451" t="n">
        <v>1392.7</v>
      </c>
      <c r="E451" s="5">
        <f>(D451-D450)/D450</f>
        <v/>
      </c>
    </row>
    <row r="452">
      <c r="A452" t="inlineStr">
        <is>
          <t>2021-10-18</t>
        </is>
      </c>
      <c r="B452" t="n">
        <v>62894</v>
      </c>
      <c r="C452" s="5">
        <f>(B452-B451)/B451</f>
        <v/>
      </c>
      <c r="D452" t="n">
        <v>1395.53</v>
      </c>
      <c r="E452" s="5">
        <f>(D452-D451)/D451</f>
        <v/>
      </c>
    </row>
    <row r="453">
      <c r="A453" t="inlineStr">
        <is>
          <t>2021-10-19</t>
        </is>
      </c>
      <c r="B453" t="n">
        <v>62413</v>
      </c>
      <c r="C453" s="5">
        <f>(B453-B452)/B452</f>
        <v/>
      </c>
      <c r="D453" t="n">
        <v>1395.33</v>
      </c>
      <c r="E453" s="5">
        <f>(D453-D452)/D452</f>
        <v/>
      </c>
    </row>
    <row r="454">
      <c r="A454" t="inlineStr">
        <is>
          <t>2021-10-20</t>
        </is>
      </c>
      <c r="B454" t="n">
        <v>62173</v>
      </c>
      <c r="C454" s="5">
        <f>(B454-B453)/B453</f>
        <v/>
      </c>
      <c r="D454" t="n">
        <v>1393.8</v>
      </c>
      <c r="E454" s="5">
        <f>(D454-D453)/D453</f>
        <v/>
      </c>
    </row>
    <row r="455">
      <c r="A455" t="inlineStr">
        <is>
          <t>2021-10-21</t>
        </is>
      </c>
      <c r="B455" t="n">
        <v>61114</v>
      </c>
      <c r="C455" s="5">
        <f>(B455-B454)/B454</f>
        <v/>
      </c>
      <c r="D455" t="n">
        <v>1384.77</v>
      </c>
      <c r="E455" s="5">
        <f>(D455-D454)/D454</f>
        <v/>
      </c>
    </row>
    <row r="456">
      <c r="A456" t="inlineStr">
        <is>
          <t>2021-10-22</t>
        </is>
      </c>
      <c r="B456" t="n">
        <v>61403</v>
      </c>
      <c r="C456" s="5">
        <f>(B456-B455)/B455</f>
        <v/>
      </c>
      <c r="D456" t="n">
        <v>1389.24</v>
      </c>
      <c r="E456" s="5">
        <f>(D456-D455)/D455</f>
        <v/>
      </c>
    </row>
    <row r="457">
      <c r="A457" t="inlineStr">
        <is>
          <t>2021-10-25</t>
        </is>
      </c>
      <c r="B457" t="n">
        <v>61788</v>
      </c>
      <c r="C457" s="5">
        <f>(B457-B456)/B456</f>
        <v/>
      </c>
      <c r="D457" t="n">
        <v>1385.4</v>
      </c>
      <c r="E457" s="5">
        <f>(D457-D456)/D456</f>
        <v/>
      </c>
    </row>
    <row r="458">
      <c r="A458" t="inlineStr">
        <is>
          <t>2021-10-26</t>
        </is>
      </c>
      <c r="B458" t="n">
        <v>61595</v>
      </c>
      <c r="C458" s="5">
        <f>(B458-B457)/B457</f>
        <v/>
      </c>
      <c r="D458" t="n">
        <v>1391.63</v>
      </c>
      <c r="E458" s="5">
        <f>(D458-D457)/D457</f>
        <v/>
      </c>
    </row>
    <row r="459">
      <c r="A459" t="inlineStr">
        <is>
          <t>2021-10-27</t>
        </is>
      </c>
      <c r="B459" t="n">
        <v>63520</v>
      </c>
      <c r="C459" s="5">
        <f>(B459-B458)/B458</f>
        <v/>
      </c>
      <c r="D459" t="n">
        <v>1423.02</v>
      </c>
      <c r="E459" s="5">
        <f>(D459-D458)/D458</f>
        <v/>
      </c>
    </row>
    <row r="460">
      <c r="A460" t="inlineStr">
        <is>
          <t>2021-10-28</t>
        </is>
      </c>
      <c r="B460" t="n">
        <v>63520</v>
      </c>
      <c r="C460" s="5">
        <f>(B460-B459)/B459</f>
        <v/>
      </c>
      <c r="D460" t="n">
        <v>1438.01</v>
      </c>
      <c r="E460" s="5">
        <f>(D460-D459)/D459</f>
        <v/>
      </c>
    </row>
    <row r="461">
      <c r="A461" t="inlineStr">
        <is>
          <t>2021-10-29</t>
        </is>
      </c>
      <c r="B461" t="n">
        <v>63231</v>
      </c>
      <c r="C461" s="5">
        <f>(B461-B460)/B460</f>
        <v/>
      </c>
      <c r="D461" t="n">
        <v>1444.27</v>
      </c>
      <c r="E461" s="5">
        <f>(D461-D460)/D460</f>
        <v/>
      </c>
    </row>
    <row r="462">
      <c r="A462" t="inlineStr">
        <is>
          <t>2021-11-01</t>
        </is>
      </c>
      <c r="B462" t="n">
        <v>62558</v>
      </c>
      <c r="C462" s="5">
        <f>(B462-B461)/B461</f>
        <v/>
      </c>
      <c r="D462" t="n">
        <v>1438.97</v>
      </c>
      <c r="E462" s="5">
        <f>(D462-D461)/D461</f>
        <v/>
      </c>
    </row>
    <row r="463">
      <c r="A463" t="inlineStr">
        <is>
          <t>2021-11-02</t>
        </is>
      </c>
      <c r="B463" t="n">
        <v>62028</v>
      </c>
      <c r="C463" s="5">
        <f>(B463-B462)/B462</f>
        <v/>
      </c>
      <c r="D463" t="n">
        <v>1452.46</v>
      </c>
      <c r="E463" s="5">
        <f>(D463-D462)/D462</f>
        <v/>
      </c>
    </row>
    <row r="464">
      <c r="A464" t="inlineStr">
        <is>
          <t>2021-11-03</t>
        </is>
      </c>
      <c r="B464" t="n">
        <v>61980</v>
      </c>
      <c r="C464" s="5">
        <f>(B464-B463)/B463</f>
        <v/>
      </c>
      <c r="D464" t="n">
        <v>1444.3</v>
      </c>
      <c r="E464" s="5">
        <f>(D464-D463)/D463</f>
        <v/>
      </c>
    </row>
    <row r="465">
      <c r="A465" t="inlineStr">
        <is>
          <t>2021-11-04</t>
        </is>
      </c>
      <c r="B465" t="n">
        <v>62509</v>
      </c>
      <c r="C465" s="5">
        <f>(B465-B464)/B464</f>
        <v/>
      </c>
      <c r="D465" t="n">
        <v>1448.34</v>
      </c>
      <c r="E465" s="5">
        <f>(D465-D464)/D464</f>
        <v/>
      </c>
    </row>
    <row r="466">
      <c r="A466" t="inlineStr">
        <is>
          <t>2021-11-05</t>
        </is>
      </c>
      <c r="B466" t="n">
        <v>63520</v>
      </c>
      <c r="C466" s="5">
        <f>(B466-B465)/B465</f>
        <v/>
      </c>
      <c r="D466" t="n">
        <v>1456.51</v>
      </c>
      <c r="E466" s="5">
        <f>(D466-D465)/D465</f>
        <v/>
      </c>
    </row>
    <row r="467">
      <c r="A467" t="inlineStr">
        <is>
          <t>2021-11-08</t>
        </is>
      </c>
      <c r="B467" t="n">
        <v>63328</v>
      </c>
      <c r="C467" s="5">
        <f>(B467-B466)/B466</f>
        <v/>
      </c>
      <c r="D467" t="n">
        <v>1467.57</v>
      </c>
      <c r="E467" s="5">
        <f>(D467-D466)/D466</f>
        <v/>
      </c>
    </row>
    <row r="468">
      <c r="A468" t="inlineStr">
        <is>
          <t>2021-11-09</t>
        </is>
      </c>
      <c r="B468" t="n">
        <v>62558</v>
      </c>
      <c r="C468" s="5">
        <f>(B468-B467)/B467</f>
        <v/>
      </c>
      <c r="D468" t="n">
        <v>1461.5</v>
      </c>
      <c r="E468" s="5">
        <f>(D468-D467)/D467</f>
        <v/>
      </c>
    </row>
    <row r="469">
      <c r="A469" t="inlineStr">
        <is>
          <t>2021-11-10</t>
        </is>
      </c>
      <c r="B469" t="n">
        <v>63279</v>
      </c>
      <c r="C469" s="5">
        <f>(B469-B468)/B468</f>
        <v/>
      </c>
      <c r="D469" t="n">
        <v>1465.02</v>
      </c>
      <c r="E469" s="5">
        <f>(D469-D468)/D468</f>
        <v/>
      </c>
    </row>
    <row r="470">
      <c r="A470" t="inlineStr">
        <is>
          <t>2021-11-11</t>
        </is>
      </c>
      <c r="B470" t="n">
        <v>64964</v>
      </c>
      <c r="C470" s="5">
        <f>(B470-B469)/B469</f>
        <v/>
      </c>
      <c r="D470" t="n">
        <v>1462.35</v>
      </c>
      <c r="E470" s="5">
        <f>(D470-D469)/D469</f>
        <v/>
      </c>
    </row>
    <row r="471">
      <c r="A471" t="inlineStr">
        <is>
          <t>2021-11-12</t>
        </is>
      </c>
      <c r="B471" t="n">
        <v>65444.99999999999</v>
      </c>
      <c r="C471" s="5">
        <f>(B471-B470)/B470</f>
        <v/>
      </c>
      <c r="D471" t="n">
        <v>1473.37</v>
      </c>
      <c r="E471" s="5">
        <f>(D471-D470)/D470</f>
        <v/>
      </c>
    </row>
    <row r="472">
      <c r="A472" t="inlineStr">
        <is>
          <t>2021-11-15</t>
        </is>
      </c>
      <c r="B472" t="n">
        <v>67081</v>
      </c>
      <c r="C472" s="5">
        <f>(B472-B471)/B471</f>
        <v/>
      </c>
      <c r="D472" t="n">
        <v>1476.57</v>
      </c>
      <c r="E472" s="5">
        <f>(D472-D471)/D471</f>
        <v/>
      </c>
    </row>
    <row r="473">
      <c r="A473" t="inlineStr">
        <is>
          <t>2021-11-16</t>
        </is>
      </c>
      <c r="B473" t="n">
        <v>66359</v>
      </c>
      <c r="C473" s="5">
        <f>(B473-B472)/B472</f>
        <v/>
      </c>
      <c r="D473" t="n">
        <v>1466.45</v>
      </c>
      <c r="E473" s="5">
        <f>(D473-D472)/D472</f>
        <v/>
      </c>
    </row>
    <row r="474">
      <c r="A474" t="inlineStr">
        <is>
          <t>2021-11-17</t>
        </is>
      </c>
      <c r="B474" t="n">
        <v>66359</v>
      </c>
      <c r="C474" s="5">
        <f>(B474-B473)/B473</f>
        <v/>
      </c>
      <c r="D474" t="n">
        <v>1475.85</v>
      </c>
      <c r="E474" s="5">
        <f>(D474-D473)/D473</f>
        <v/>
      </c>
    </row>
    <row r="475">
      <c r="A475" t="inlineStr">
        <is>
          <t>2021-11-18</t>
        </is>
      </c>
      <c r="B475" t="n">
        <v>66888</v>
      </c>
      <c r="C475" s="5">
        <f>(B475-B474)/B474</f>
        <v/>
      </c>
      <c r="D475" t="n">
        <v>1469.83</v>
      </c>
      <c r="E475" s="5">
        <f>(D475-D474)/D474</f>
        <v/>
      </c>
    </row>
    <row r="476">
      <c r="A476" t="inlineStr">
        <is>
          <t>2021-11-19</t>
        </is>
      </c>
      <c r="B476" t="n">
        <v>66888</v>
      </c>
      <c r="C476" s="5">
        <f>(B476-B475)/B475</f>
        <v/>
      </c>
      <c r="D476" t="n">
        <v>1452.35</v>
      </c>
      <c r="E476" s="5">
        <f>(D476-D475)/D475</f>
        <v/>
      </c>
    </row>
    <row r="477">
      <c r="A477" t="inlineStr">
        <is>
          <t>2021-11-22</t>
        </is>
      </c>
      <c r="B477" t="n">
        <v>66696</v>
      </c>
      <c r="C477" s="5">
        <f>(B477-B476)/B476</f>
        <v/>
      </c>
      <c r="D477" t="n">
        <v>1447.25</v>
      </c>
      <c r="E477" s="5">
        <f>(D477-D476)/D476</f>
        <v/>
      </c>
    </row>
    <row r="478">
      <c r="A478" t="inlineStr">
        <is>
          <t>2021-11-23</t>
        </is>
      </c>
      <c r="B478" t="n">
        <v>68813</v>
      </c>
      <c r="C478" s="5">
        <f>(B478-B477)/B477</f>
        <v/>
      </c>
      <c r="D478" t="n">
        <v>1463.63</v>
      </c>
      <c r="E478" s="5">
        <f>(D478-D477)/D477</f>
        <v/>
      </c>
    </row>
    <row r="479">
      <c r="A479" t="inlineStr">
        <is>
          <t>2021-11-24</t>
        </is>
      </c>
      <c r="B479" t="n">
        <v>69295</v>
      </c>
      <c r="C479" s="5">
        <f>(B479-B478)/B478</f>
        <v/>
      </c>
      <c r="D479" t="n">
        <v>1488.87</v>
      </c>
      <c r="E479" s="5">
        <f>(D479-D478)/D478</f>
        <v/>
      </c>
    </row>
    <row r="480">
      <c r="A480" t="inlineStr">
        <is>
          <t>2021-11-25</t>
        </is>
      </c>
      <c r="B480" t="n">
        <v>69776</v>
      </c>
      <c r="C480" s="5">
        <f>(B480-B479)/B479</f>
        <v/>
      </c>
      <c r="D480" t="n">
        <v>1500.81</v>
      </c>
      <c r="E480" s="5">
        <f>(D480-D479)/D479</f>
        <v/>
      </c>
    </row>
    <row r="481">
      <c r="A481" t="inlineStr">
        <is>
          <t>2021-11-26</t>
        </is>
      </c>
      <c r="B481" t="n">
        <v>68092</v>
      </c>
      <c r="C481" s="5">
        <f>(B481-B480)/B480</f>
        <v/>
      </c>
      <c r="D481" t="n">
        <v>1493.03</v>
      </c>
      <c r="E481" s="5">
        <f>(D481-D480)/D480</f>
        <v/>
      </c>
    </row>
    <row r="482">
      <c r="A482" t="inlineStr">
        <is>
          <t>2021-11-29</t>
        </is>
      </c>
      <c r="B482" t="n">
        <v>66167</v>
      </c>
      <c r="C482" s="5">
        <f>(B482-B481)/B481</f>
        <v/>
      </c>
      <c r="D482" t="n">
        <v>1484.84</v>
      </c>
      <c r="E482" s="5">
        <f>(D482-D481)/D481</f>
        <v/>
      </c>
    </row>
    <row r="483">
      <c r="A483" t="inlineStr">
        <is>
          <t>2021-11-30</t>
        </is>
      </c>
      <c r="B483" t="n">
        <v>66840</v>
      </c>
      <c r="C483" s="5">
        <f>(B483-B482)/B482</f>
        <v/>
      </c>
      <c r="D483" t="n">
        <v>1478.44</v>
      </c>
      <c r="E483" s="5">
        <f>(D483-D482)/D482</f>
        <v/>
      </c>
    </row>
    <row r="484">
      <c r="A484" t="inlineStr">
        <is>
          <t>2021-12-01</t>
        </is>
      </c>
      <c r="B484" t="n">
        <v>66840</v>
      </c>
      <c r="C484" s="5">
        <f>(B484-B483)/B483</f>
        <v/>
      </c>
      <c r="D484" t="n">
        <v>1485.19</v>
      </c>
      <c r="E484" s="5">
        <f>(D484-D483)/D483</f>
        <v/>
      </c>
    </row>
    <row r="485">
      <c r="A485" t="inlineStr">
        <is>
          <t>2021-12-02</t>
        </is>
      </c>
      <c r="B485" t="n">
        <v>65926</v>
      </c>
      <c r="C485" s="5">
        <f>(B485-B484)/B484</f>
        <v/>
      </c>
      <c r="D485" t="n">
        <v>1482.05</v>
      </c>
      <c r="E485" s="5">
        <f>(D485-D484)/D484</f>
        <v/>
      </c>
    </row>
    <row r="486">
      <c r="A486" t="inlineStr">
        <is>
          <t>2021-12-03</t>
        </is>
      </c>
      <c r="B486" t="n">
        <v>64242.00000000001</v>
      </c>
      <c r="C486" s="5">
        <f>(B486-B485)/B485</f>
        <v/>
      </c>
      <c r="D486" t="n">
        <v>1443.32</v>
      </c>
      <c r="E486" s="5">
        <f>(D486-D485)/D485</f>
        <v/>
      </c>
    </row>
    <row r="487">
      <c r="A487" t="inlineStr">
        <is>
          <t>2021-12-06</t>
        </is>
      </c>
      <c r="B487" t="n">
        <v>63231</v>
      </c>
      <c r="C487" s="5">
        <f>(B487-B486)/B486</f>
        <v/>
      </c>
      <c r="D487" t="n">
        <v>1413.58</v>
      </c>
      <c r="E487" s="5">
        <f>(D487-D486)/D486</f>
        <v/>
      </c>
    </row>
    <row r="488">
      <c r="A488" t="inlineStr">
        <is>
          <t>2021-12-07</t>
        </is>
      </c>
      <c r="B488" t="n">
        <v>64242.00000000001</v>
      </c>
      <c r="C488" s="5">
        <f>(B488-B487)/B487</f>
        <v/>
      </c>
      <c r="D488" t="n">
        <v>1446.77</v>
      </c>
      <c r="E488" s="5">
        <f>(D488-D487)/D487</f>
        <v/>
      </c>
    </row>
    <row r="489">
      <c r="A489" t="inlineStr">
        <is>
          <t>2021-12-08</t>
        </is>
      </c>
      <c r="B489" t="n">
        <v>64434</v>
      </c>
      <c r="C489" s="5">
        <f>(B489-B488)/B488</f>
        <v/>
      </c>
      <c r="D489" t="n">
        <v>1452.87</v>
      </c>
      <c r="E489" s="5">
        <f>(D489-D488)/D488</f>
        <v/>
      </c>
    </row>
    <row r="490">
      <c r="A490" t="inlineStr">
        <is>
          <t>2021-12-09</t>
        </is>
      </c>
      <c r="B490" t="n">
        <v>64482</v>
      </c>
      <c r="C490" s="5">
        <f>(B490-B489)/B489</f>
        <v/>
      </c>
      <c r="D490" t="n">
        <v>1467.98</v>
      </c>
      <c r="E490" s="5">
        <f>(D490-D489)/D489</f>
        <v/>
      </c>
    </row>
    <row r="491">
      <c r="A491" t="inlineStr">
        <is>
          <t>2021-12-10</t>
        </is>
      </c>
      <c r="B491" t="n">
        <v>64531.00000000001</v>
      </c>
      <c r="C491" s="5">
        <f>(B491-B490)/B490</f>
        <v/>
      </c>
      <c r="D491" t="n">
        <v>1463.54</v>
      </c>
      <c r="E491" s="5">
        <f>(D491-D490)/D490</f>
        <v/>
      </c>
    </row>
    <row r="492">
      <c r="A492" t="inlineStr">
        <is>
          <t>2021-12-13</t>
        </is>
      </c>
      <c r="B492" t="n">
        <v>64916</v>
      </c>
      <c r="C492" s="5">
        <f>(B492-B491)/B491</f>
        <v/>
      </c>
      <c r="D492" t="n">
        <v>1476.21</v>
      </c>
      <c r="E492" s="5">
        <f>(D492-D491)/D491</f>
        <v/>
      </c>
    </row>
    <row r="493">
      <c r="A493" t="inlineStr">
        <is>
          <t>2021-12-14</t>
        </is>
      </c>
      <c r="B493" t="n">
        <v>65156.00000000001</v>
      </c>
      <c r="C493" s="5">
        <f>(B493-B492)/B492</f>
        <v/>
      </c>
      <c r="D493" t="n">
        <v>1476.02</v>
      </c>
      <c r="E493" s="5">
        <f>(D493-D492)/D492</f>
        <v/>
      </c>
    </row>
    <row r="494">
      <c r="A494" t="inlineStr">
        <is>
          <t>2021-12-15</t>
        </is>
      </c>
      <c r="B494" t="n">
        <v>65397.00000000001</v>
      </c>
      <c r="C494" s="5">
        <f>(B494-B493)/B493</f>
        <v/>
      </c>
      <c r="D494" t="n">
        <v>1475.5</v>
      </c>
      <c r="E494" s="5">
        <f>(D494-D493)/D493</f>
        <v/>
      </c>
    </row>
    <row r="495">
      <c r="A495" t="inlineStr">
        <is>
          <t>2021-12-16</t>
        </is>
      </c>
      <c r="B495" t="n">
        <v>64290.00000000001</v>
      </c>
      <c r="C495" s="5">
        <f>(B495-B494)/B494</f>
        <v/>
      </c>
      <c r="D495" t="n">
        <v>1476.61</v>
      </c>
      <c r="E495" s="5">
        <f>(D495-D494)/D494</f>
        <v/>
      </c>
    </row>
    <row r="496">
      <c r="A496" t="inlineStr">
        <is>
          <t>2021-12-17</t>
        </is>
      </c>
      <c r="B496" t="n">
        <v>64723</v>
      </c>
      <c r="C496" s="5">
        <f>(B496-B495)/B495</f>
        <v/>
      </c>
      <c r="D496" t="n">
        <v>1479.79</v>
      </c>
      <c r="E496" s="5">
        <f>(D496-D495)/D495</f>
        <v/>
      </c>
    </row>
    <row r="497">
      <c r="A497" t="inlineStr">
        <is>
          <t>2021-12-20</t>
        </is>
      </c>
      <c r="B497" t="n">
        <v>64001.00000000001</v>
      </c>
      <c r="C497" s="5">
        <f>(B497-B496)/B496</f>
        <v/>
      </c>
      <c r="D497" t="n">
        <v>1477.33</v>
      </c>
      <c r="E497" s="5">
        <f>(D497-D496)/D496</f>
        <v/>
      </c>
    </row>
    <row r="498">
      <c r="A498" t="inlineStr">
        <is>
          <t>2021-12-21</t>
        </is>
      </c>
      <c r="B498" t="n">
        <v>64001.00000000001</v>
      </c>
      <c r="C498" s="5">
        <f>(B498-B497)/B497</f>
        <v/>
      </c>
      <c r="D498" t="n">
        <v>1478.74</v>
      </c>
      <c r="E498" s="5">
        <f>(D498-D497)/D497</f>
        <v/>
      </c>
    </row>
    <row r="499">
      <c r="A499" t="inlineStr">
        <is>
          <t>2021-12-22</t>
        </is>
      </c>
      <c r="B499" t="n">
        <v>64867.00000000001</v>
      </c>
      <c r="C499" s="5">
        <f>(B499-B498)/B498</f>
        <v/>
      </c>
      <c r="D499" t="n">
        <v>1477.67</v>
      </c>
      <c r="E499" s="5">
        <f>(D499-D498)/D498</f>
        <v/>
      </c>
    </row>
    <row r="500">
      <c r="A500" t="inlineStr">
        <is>
          <t>2021-12-23</t>
        </is>
      </c>
      <c r="B500" t="n">
        <v>64290.00000000001</v>
      </c>
      <c r="C500" s="5">
        <f>(B500-B499)/B499</f>
        <v/>
      </c>
      <c r="D500" t="n">
        <v>1456.96</v>
      </c>
      <c r="E500" s="5">
        <f>(D500-D499)/D499</f>
        <v/>
      </c>
    </row>
    <row r="501">
      <c r="A501" t="inlineStr">
        <is>
          <t>2021-12-24</t>
        </is>
      </c>
      <c r="B501" t="n">
        <v>64771</v>
      </c>
      <c r="C501" s="5">
        <f>(B501-B500)/B500</f>
        <v/>
      </c>
      <c r="D501" t="n">
        <v>1477.03</v>
      </c>
      <c r="E501" s="5">
        <f>(D501-D500)/D500</f>
        <v/>
      </c>
    </row>
    <row r="502">
      <c r="A502" t="inlineStr">
        <is>
          <t>2021-12-27</t>
        </is>
      </c>
      <c r="B502" t="n">
        <v>64916</v>
      </c>
      <c r="C502" s="5">
        <f>(B502-B501)/B501</f>
        <v/>
      </c>
      <c r="D502" t="n">
        <v>1488.88</v>
      </c>
      <c r="E502" s="5">
        <f>(D502-D501)/D501</f>
        <v/>
      </c>
    </row>
    <row r="503">
      <c r="A503" t="inlineStr">
        <is>
          <t>2021-12-28</t>
        </is>
      </c>
      <c r="B503" t="n">
        <v>65349.00000000001</v>
      </c>
      <c r="C503" s="5">
        <f>(B503-B502)/B502</f>
        <v/>
      </c>
      <c r="D503" t="n">
        <v>1494.39</v>
      </c>
      <c r="E503" s="5">
        <f>(D503-D502)/D502</f>
        <v/>
      </c>
    </row>
    <row r="504">
      <c r="A504" t="inlineStr">
        <is>
          <t>2021-12-29</t>
        </is>
      </c>
      <c r="B504" t="n">
        <v>64675</v>
      </c>
      <c r="C504" s="5">
        <f>(B504-B503)/B503</f>
        <v/>
      </c>
      <c r="D504" t="n">
        <v>1485.82</v>
      </c>
      <c r="E504" s="5">
        <f>(D504-D503)/D503</f>
        <v/>
      </c>
    </row>
    <row r="505">
      <c r="A505" t="inlineStr">
        <is>
          <t>2021-12-30</t>
        </is>
      </c>
      <c r="B505" t="n">
        <v>64626.99999999999</v>
      </c>
      <c r="C505" s="5">
        <f>(B505-B504)/B504</f>
        <v/>
      </c>
      <c r="D505" t="n">
        <v>1485.97</v>
      </c>
      <c r="E505" s="5">
        <f>(D505-D504)/D504</f>
        <v/>
      </c>
    </row>
    <row r="506">
      <c r="A506" t="inlineStr">
        <is>
          <t>2021-12-31</t>
        </is>
      </c>
      <c r="B506" t="n">
        <v>65397.00000000001</v>
      </c>
      <c r="C506" s="5">
        <f>(B506-B505)/B505</f>
        <v/>
      </c>
      <c r="D506" t="n">
        <v>1498.28</v>
      </c>
      <c r="E506" s="5">
        <f>(D506-D505)/D505</f>
        <v/>
      </c>
    </row>
    <row r="507">
      <c r="A507" t="inlineStr">
        <is>
          <t>2022-01-04</t>
        </is>
      </c>
      <c r="B507" t="n">
        <v>66311</v>
      </c>
      <c r="C507" s="5">
        <f>(B507-B506)/B506</f>
        <v/>
      </c>
      <c r="D507" t="n">
        <v>1525.58</v>
      </c>
      <c r="E507" s="5">
        <f>(D507-D506)/D506</f>
        <v/>
      </c>
    </row>
    <row r="508">
      <c r="A508" t="inlineStr">
        <is>
          <t>2022-01-05</t>
        </is>
      </c>
      <c r="B508" t="n">
        <v>65974</v>
      </c>
      <c r="C508" s="5">
        <f>(B508-B507)/B507</f>
        <v/>
      </c>
      <c r="D508" t="n">
        <v>1522.5</v>
      </c>
      <c r="E508" s="5">
        <f>(D508-D507)/D507</f>
        <v/>
      </c>
    </row>
    <row r="509">
      <c r="A509" t="inlineStr">
        <is>
          <t>2022-01-06</t>
        </is>
      </c>
      <c r="B509" t="n">
        <v>66167</v>
      </c>
      <c r="C509" s="5">
        <f>(B509-B508)/B508</f>
        <v/>
      </c>
      <c r="D509" t="n">
        <v>1528.57</v>
      </c>
      <c r="E509" s="5">
        <f>(D509-D508)/D508</f>
        <v/>
      </c>
    </row>
    <row r="510">
      <c r="A510" t="inlineStr">
        <is>
          <t>2022-01-07</t>
        </is>
      </c>
      <c r="B510" t="n">
        <v>65203.99999999999</v>
      </c>
      <c r="C510" s="5">
        <f>(B510-B509)/B509</f>
        <v/>
      </c>
      <c r="D510" t="n">
        <v>1528.48</v>
      </c>
      <c r="E510" s="5">
        <f>(D510-D509)/D509</f>
        <v/>
      </c>
    </row>
    <row r="511">
      <c r="A511" t="inlineStr">
        <is>
          <t>2022-01-10</t>
        </is>
      </c>
      <c r="B511" t="n">
        <v>64001.00000000001</v>
      </c>
      <c r="C511" s="5">
        <f>(B511-B510)/B510</f>
        <v/>
      </c>
      <c r="D511" t="n">
        <v>1503.71</v>
      </c>
      <c r="E511" s="5">
        <f>(D511-D510)/D510</f>
        <v/>
      </c>
    </row>
    <row r="512">
      <c r="A512" t="inlineStr">
        <is>
          <t>2022-01-11</t>
        </is>
      </c>
      <c r="B512" t="n">
        <v>63424</v>
      </c>
      <c r="C512" s="5">
        <f>(B512-B511)/B511</f>
        <v/>
      </c>
      <c r="D512" t="n">
        <v>1492.31</v>
      </c>
      <c r="E512" s="5">
        <f>(D512-D511)/D511</f>
        <v/>
      </c>
    </row>
    <row r="513">
      <c r="A513" t="inlineStr">
        <is>
          <t>2022-01-12</t>
        </is>
      </c>
      <c r="B513" t="n">
        <v>65444.99999999999</v>
      </c>
      <c r="C513" s="5">
        <f>(B513-B512)/B512</f>
        <v/>
      </c>
      <c r="D513" t="n">
        <v>1510.51</v>
      </c>
      <c r="E513" s="5">
        <f>(D513-D512)/D512</f>
        <v/>
      </c>
    </row>
    <row r="514">
      <c r="A514" t="inlineStr">
        <is>
          <t>2022-01-13</t>
        </is>
      </c>
      <c r="B514" t="n">
        <v>65203.99999999999</v>
      </c>
      <c r="C514" s="5">
        <f>(B514-B513)/B513</f>
        <v/>
      </c>
      <c r="D514" t="n">
        <v>1496.05</v>
      </c>
      <c r="E514" s="5">
        <f>(D514-D513)/D513</f>
        <v/>
      </c>
    </row>
    <row r="515">
      <c r="A515" t="inlineStr">
        <is>
          <t>2022-01-14</t>
        </is>
      </c>
      <c r="B515" t="n">
        <v>64482</v>
      </c>
      <c r="C515" s="5">
        <f>(B515-B514)/B514</f>
        <v/>
      </c>
      <c r="D515" t="n">
        <v>1496.02</v>
      </c>
      <c r="E515" s="5">
        <f>(D515-D514)/D514</f>
        <v/>
      </c>
    </row>
    <row r="516">
      <c r="A516" t="inlineStr">
        <is>
          <t>2022-01-17</t>
        </is>
      </c>
      <c r="B516" t="n">
        <v>62558</v>
      </c>
      <c r="C516" s="5">
        <f>(B516-B515)/B515</f>
        <v/>
      </c>
      <c r="D516" t="n">
        <v>1452.84</v>
      </c>
      <c r="E516" s="5">
        <f>(D516-D515)/D515</f>
        <v/>
      </c>
    </row>
    <row r="517">
      <c r="A517" t="inlineStr">
        <is>
          <t>2022-01-18</t>
        </is>
      </c>
      <c r="B517" t="n">
        <v>62606</v>
      </c>
      <c r="C517" s="5">
        <f>(B517-B516)/B516</f>
        <v/>
      </c>
      <c r="D517" t="n">
        <v>1438.94</v>
      </c>
      <c r="E517" s="5">
        <f>(D517-D516)/D516</f>
        <v/>
      </c>
    </row>
    <row r="518">
      <c r="A518" t="inlineStr">
        <is>
          <t>2022-01-19</t>
        </is>
      </c>
      <c r="B518" t="n">
        <v>64242.00000000001</v>
      </c>
      <c r="C518" s="5">
        <f>(B518-B517)/B517</f>
        <v/>
      </c>
      <c r="D518" t="n">
        <v>1442.79</v>
      </c>
      <c r="E518" s="5">
        <f>(D518-D517)/D517</f>
        <v/>
      </c>
    </row>
    <row r="519">
      <c r="A519" t="inlineStr">
        <is>
          <t>2022-01-20</t>
        </is>
      </c>
      <c r="B519" t="n">
        <v>64482</v>
      </c>
      <c r="C519" s="5">
        <f>(B519-B518)/B518</f>
        <v/>
      </c>
      <c r="D519" t="n">
        <v>1465.3</v>
      </c>
      <c r="E519" s="5">
        <f>(D519-D518)/D518</f>
        <v/>
      </c>
    </row>
    <row r="520">
      <c r="A520" t="inlineStr">
        <is>
          <t>2022-01-21</t>
        </is>
      </c>
      <c r="B520" t="n">
        <v>64096.99999999999</v>
      </c>
      <c r="C520" s="5">
        <f>(B520-B519)/B519</f>
        <v/>
      </c>
      <c r="D520" t="n">
        <v>1472.89</v>
      </c>
      <c r="E520" s="5">
        <f>(D520-D519)/D519</f>
        <v/>
      </c>
    </row>
    <row r="521">
      <c r="A521" t="inlineStr">
        <is>
          <t>2022-01-24</t>
        </is>
      </c>
      <c r="B521" t="n">
        <v>62509</v>
      </c>
      <c r="C521" s="5">
        <f>(B521-B520)/B520</f>
        <v/>
      </c>
      <c r="D521" t="n">
        <v>1439.71</v>
      </c>
      <c r="E521" s="5">
        <f>(D521-D520)/D520</f>
        <v/>
      </c>
    </row>
    <row r="522">
      <c r="A522" t="inlineStr">
        <is>
          <t>2022-01-25</t>
        </is>
      </c>
      <c r="B522" t="n">
        <v>63039</v>
      </c>
      <c r="C522" s="5">
        <f>(B522-B521)/B521</f>
        <v/>
      </c>
      <c r="D522" t="n">
        <v>1479.58</v>
      </c>
      <c r="E522" s="5">
        <f>(D522-D521)/D521</f>
        <v/>
      </c>
    </row>
    <row r="523">
      <c r="A523" t="inlineStr">
        <is>
          <t>2022-01-26</t>
        </is>
      </c>
      <c r="B523" t="n">
        <v>63472</v>
      </c>
      <c r="C523" s="5">
        <f>(B523-B522)/B522</f>
        <v/>
      </c>
      <c r="D523" t="n">
        <v>1481.58</v>
      </c>
      <c r="E523" s="5">
        <f>(D523-D522)/D522</f>
        <v/>
      </c>
    </row>
    <row r="524">
      <c r="A524" t="inlineStr">
        <is>
          <t>2022-01-27</t>
        </is>
      </c>
      <c r="B524" t="n">
        <v>63279</v>
      </c>
      <c r="C524" s="5">
        <f>(B524-B523)/B523</f>
        <v/>
      </c>
      <c r="D524" t="n">
        <v>1470.76</v>
      </c>
      <c r="E524" s="5">
        <f>(D524-D523)/D523</f>
        <v/>
      </c>
    </row>
    <row r="525">
      <c r="A525" t="inlineStr">
        <is>
          <t>2022-01-28</t>
        </is>
      </c>
      <c r="B525" t="n">
        <v>63761</v>
      </c>
      <c r="C525" s="5">
        <f>(B525-B524)/B524</f>
        <v/>
      </c>
      <c r="D525" t="n">
        <v>1478.96</v>
      </c>
      <c r="E525" s="5">
        <f>(D525-D524)/D524</f>
        <v/>
      </c>
    </row>
    <row r="526">
      <c r="A526" t="inlineStr">
        <is>
          <t>2022-02-07</t>
        </is>
      </c>
      <c r="B526" t="n">
        <v>64434</v>
      </c>
      <c r="C526" s="5">
        <f>(B526-B525)/B525</f>
        <v/>
      </c>
      <c r="D526" t="n">
        <v>1497.66</v>
      </c>
      <c r="E526" s="5">
        <f>(D526-D525)/D525</f>
        <v/>
      </c>
    </row>
    <row r="527">
      <c r="A527" t="inlineStr">
        <is>
          <t>2022-02-08</t>
        </is>
      </c>
      <c r="B527" t="n">
        <v>65589</v>
      </c>
      <c r="C527" s="5">
        <f>(B527-B526)/B526</f>
        <v/>
      </c>
      <c r="D527" t="n">
        <v>1500.99</v>
      </c>
      <c r="E527" s="5">
        <f>(D527-D526)/D526</f>
        <v/>
      </c>
    </row>
    <row r="528">
      <c r="A528" t="inlineStr">
        <is>
          <t>2022-02-09</t>
        </is>
      </c>
      <c r="B528" t="n">
        <v>65926</v>
      </c>
      <c r="C528" s="5">
        <f>(B528-B527)/B527</f>
        <v/>
      </c>
      <c r="D528" t="n">
        <v>1505.38</v>
      </c>
      <c r="E528" s="5">
        <f>(D528-D527)/D527</f>
        <v/>
      </c>
    </row>
    <row r="529">
      <c r="A529" t="inlineStr">
        <is>
          <t>2022-02-10</t>
        </is>
      </c>
      <c r="B529" t="n">
        <v>65589</v>
      </c>
      <c r="C529" s="5">
        <f>(B529-B528)/B528</f>
        <v/>
      </c>
      <c r="D529" t="n">
        <v>1506.79</v>
      </c>
      <c r="E529" s="5">
        <f>(D529-D528)/D528</f>
        <v/>
      </c>
    </row>
    <row r="530">
      <c r="A530" t="inlineStr">
        <is>
          <t>2022-02-11</t>
        </is>
      </c>
      <c r="B530" t="n">
        <v>65108.00000000001</v>
      </c>
      <c r="C530" s="5">
        <f>(B530-B529)/B529</f>
        <v/>
      </c>
      <c r="D530" t="n">
        <v>1501.71</v>
      </c>
      <c r="E530" s="5">
        <f>(D530-D529)/D529</f>
        <v/>
      </c>
    </row>
    <row r="531">
      <c r="A531" t="inlineStr">
        <is>
          <t>2022-02-14</t>
        </is>
      </c>
      <c r="B531" t="n">
        <v>63520</v>
      </c>
      <c r="C531" s="5">
        <f>(B531-B530)/B530</f>
        <v/>
      </c>
      <c r="D531" t="n">
        <v>1471.96</v>
      </c>
      <c r="E531" s="5">
        <f>(D531-D530)/D530</f>
        <v/>
      </c>
    </row>
    <row r="532">
      <c r="A532" t="inlineStr">
        <is>
          <t>2022-02-15</t>
        </is>
      </c>
      <c r="B532" t="n">
        <v>64146</v>
      </c>
      <c r="C532" s="5">
        <f>(B532-B531)/B531</f>
        <v/>
      </c>
      <c r="D532" t="n">
        <v>1492.75</v>
      </c>
      <c r="E532" s="5">
        <f>(D532-D531)/D531</f>
        <v/>
      </c>
    </row>
    <row r="533">
      <c r="A533" t="inlineStr">
        <is>
          <t>2022-02-16</t>
        </is>
      </c>
      <c r="B533" t="n">
        <v>63953</v>
      </c>
      <c r="C533" s="5">
        <f>(B533-B532)/B532</f>
        <v/>
      </c>
      <c r="D533" t="n">
        <v>1492.1</v>
      </c>
      <c r="E533" s="5">
        <f>(D533-D532)/D532</f>
        <v/>
      </c>
    </row>
    <row r="534">
      <c r="A534" t="inlineStr">
        <is>
          <t>2022-02-17</t>
        </is>
      </c>
      <c r="B534" t="n">
        <v>64723</v>
      </c>
      <c r="C534" s="5">
        <f>(B534-B533)/B533</f>
        <v/>
      </c>
      <c r="D534" t="n">
        <v>1507.99</v>
      </c>
      <c r="E534" s="5">
        <f>(D534-D533)/D533</f>
        <v/>
      </c>
    </row>
    <row r="535">
      <c r="A535" t="inlineStr">
        <is>
          <t>2022-02-18</t>
        </is>
      </c>
      <c r="B535" t="n">
        <v>64482</v>
      </c>
      <c r="C535" s="5">
        <f>(B535-B534)/B534</f>
        <v/>
      </c>
      <c r="D535" t="n">
        <v>1504.84</v>
      </c>
      <c r="E535" s="5">
        <f>(D535-D534)/D534</f>
        <v/>
      </c>
    </row>
    <row r="536">
      <c r="A536" t="inlineStr">
        <is>
          <t>2022-02-21</t>
        </is>
      </c>
      <c r="B536" t="n">
        <v>64434</v>
      </c>
      <c r="C536" s="5">
        <f>(B536-B535)/B535</f>
        <v/>
      </c>
      <c r="D536" t="n">
        <v>1510.84</v>
      </c>
      <c r="E536" s="5">
        <f>(D536-D535)/D535</f>
        <v/>
      </c>
    </row>
    <row r="537">
      <c r="A537" t="inlineStr">
        <is>
          <t>2022-02-22</t>
        </is>
      </c>
      <c r="B537" t="n">
        <v>66263</v>
      </c>
      <c r="C537" s="5">
        <f>(B537-B536)/B536</f>
        <v/>
      </c>
      <c r="D537" t="n">
        <v>1503.47</v>
      </c>
      <c r="E537" s="5">
        <f>(D537-D536)/D536</f>
        <v/>
      </c>
    </row>
    <row r="538">
      <c r="A538" t="inlineStr">
        <is>
          <t>2022-02-23</t>
        </is>
      </c>
      <c r="B538" t="n">
        <v>66311</v>
      </c>
      <c r="C538" s="5">
        <f>(B538-B537)/B537</f>
        <v/>
      </c>
      <c r="D538" t="n">
        <v>1512.3</v>
      </c>
      <c r="E538" s="5">
        <f>(D538-D537)/D537</f>
        <v/>
      </c>
    </row>
    <row r="539">
      <c r="A539" t="inlineStr">
        <is>
          <t>2022-02-24</t>
        </is>
      </c>
      <c r="B539" t="n">
        <v>65830</v>
      </c>
      <c r="C539" s="5">
        <f>(B539-B538)/B538</f>
        <v/>
      </c>
      <c r="D539" t="n">
        <v>1494.85</v>
      </c>
      <c r="E539" s="5">
        <f>(D539-D538)/D538</f>
        <v/>
      </c>
    </row>
    <row r="540">
      <c r="A540" t="inlineStr">
        <is>
          <t>2022-02-25</t>
        </is>
      </c>
      <c r="B540" t="n">
        <v>66215</v>
      </c>
      <c r="C540" s="5">
        <f>(B540-B539)/B539</f>
        <v/>
      </c>
      <c r="D540" t="n">
        <v>1498.89</v>
      </c>
      <c r="E540" s="5">
        <f>(D540-D539)/D539</f>
        <v/>
      </c>
    </row>
    <row r="541">
      <c r="A541" t="inlineStr">
        <is>
          <t>2022-02-28</t>
        </is>
      </c>
      <c r="B541" t="n">
        <v>65444.99999999999</v>
      </c>
      <c r="C541" s="5">
        <f>(B541-B540)/B540</f>
        <v/>
      </c>
      <c r="D541" t="n">
        <v>1490.13</v>
      </c>
      <c r="E541" s="5">
        <f>(D541-D540)/D540</f>
        <v/>
      </c>
    </row>
    <row r="542">
      <c r="A542" t="inlineStr">
        <is>
          <t>2022-03-01</t>
        </is>
      </c>
      <c r="B542" t="n">
        <v>65444.99999999999</v>
      </c>
      <c r="C542" s="5">
        <f>(B542-B541)/B541</f>
        <v/>
      </c>
      <c r="D542" t="n">
        <v>1498.78</v>
      </c>
      <c r="E542" s="5">
        <f>(D542-D541)/D541</f>
        <v/>
      </c>
    </row>
    <row r="543">
      <c r="A543" t="inlineStr">
        <is>
          <t>2022-03-02</t>
        </is>
      </c>
      <c r="B543" t="n">
        <v>64723</v>
      </c>
      <c r="C543" s="5">
        <f>(B543-B542)/B542</f>
        <v/>
      </c>
      <c r="D543" t="n">
        <v>1485.52</v>
      </c>
      <c r="E543" s="5">
        <f>(D543-D542)/D542</f>
        <v/>
      </c>
    </row>
    <row r="544">
      <c r="A544" t="inlineStr">
        <is>
          <t>2022-03-03</t>
        </is>
      </c>
      <c r="B544" t="n">
        <v>65685</v>
      </c>
      <c r="C544" s="5">
        <f>(B544-B543)/B543</f>
        <v/>
      </c>
      <c r="D544" t="n">
        <v>1505</v>
      </c>
      <c r="E544" s="5">
        <f>(D544-D543)/D543</f>
        <v/>
      </c>
    </row>
    <row r="545">
      <c r="A545" t="inlineStr">
        <is>
          <t>2022-03-04</t>
        </is>
      </c>
      <c r="B545" t="n">
        <v>65349.00000000001</v>
      </c>
      <c r="C545" s="5">
        <f>(B545-B544)/B544</f>
        <v/>
      </c>
      <c r="D545" t="n">
        <v>1505.33</v>
      </c>
      <c r="E545" s="5">
        <f>(D545-D544)/D544</f>
        <v/>
      </c>
    </row>
    <row r="546">
      <c r="A546" t="inlineStr">
        <is>
          <t>2022-03-07</t>
        </is>
      </c>
      <c r="B546" t="n">
        <v>64578.99999999999</v>
      </c>
      <c r="C546" s="5">
        <f>(B546-B545)/B545</f>
        <v/>
      </c>
      <c r="D546" t="n">
        <v>1499.05</v>
      </c>
      <c r="E546" s="5">
        <f>(D546-D545)/D545</f>
        <v/>
      </c>
    </row>
    <row r="547">
      <c r="A547" t="inlineStr">
        <is>
          <t>2022-03-08</t>
        </is>
      </c>
      <c r="B547" t="n">
        <v>64578.99999999999</v>
      </c>
      <c r="C547" s="5">
        <f>(B547-B546)/B546</f>
        <v/>
      </c>
      <c r="D547" t="n">
        <v>1473.71</v>
      </c>
      <c r="E547" s="5">
        <f>(D547-D546)/D546</f>
        <v/>
      </c>
    </row>
    <row r="548">
      <c r="A548" t="inlineStr">
        <is>
          <t>2022-03-09</t>
        </is>
      </c>
      <c r="B548" t="n">
        <v>64385.99999999999</v>
      </c>
      <c r="C548" s="5">
        <f>(B548-B547)/B547</f>
        <v/>
      </c>
      <c r="D548" t="n">
        <v>1473.74</v>
      </c>
      <c r="E548" s="5">
        <f>(D548-D547)/D547</f>
        <v/>
      </c>
    </row>
    <row r="549">
      <c r="A549" t="inlineStr">
        <is>
          <t>2022-03-10</t>
        </is>
      </c>
      <c r="B549" t="n">
        <v>64242.00000000001</v>
      </c>
      <c r="C549" s="5">
        <f>(B549-B548)/B548</f>
        <v/>
      </c>
      <c r="D549" t="n">
        <v>1479.08</v>
      </c>
      <c r="E549" s="5">
        <f>(D549-D548)/D548</f>
        <v/>
      </c>
    </row>
    <row r="550">
      <c r="A550" t="inlineStr">
        <is>
          <t>2022-03-11</t>
        </is>
      </c>
      <c r="B550" t="n">
        <v>64001.00000000001</v>
      </c>
      <c r="C550" s="5">
        <f>(B550-B549)/B549</f>
        <v/>
      </c>
      <c r="D550" t="n">
        <v>1466.54</v>
      </c>
      <c r="E550" s="5">
        <f>(D550-D549)/D549</f>
        <v/>
      </c>
    </row>
    <row r="551">
      <c r="A551" t="inlineStr">
        <is>
          <t>2022-03-14</t>
        </is>
      </c>
      <c r="B551" t="n">
        <v>63376</v>
      </c>
      <c r="C551" s="5">
        <f>(B551-B550)/B550</f>
        <v/>
      </c>
      <c r="D551" t="n">
        <v>1446.25</v>
      </c>
      <c r="E551" s="5">
        <f>(D551-D550)/D550</f>
        <v/>
      </c>
    </row>
    <row r="552">
      <c r="A552" t="inlineStr">
        <is>
          <t>2022-03-15</t>
        </is>
      </c>
      <c r="B552" t="n">
        <v>63231</v>
      </c>
      <c r="C552" s="5">
        <f>(B552-B551)/B551</f>
        <v/>
      </c>
      <c r="D552" t="n">
        <v>1452.74</v>
      </c>
      <c r="E552" s="5">
        <f>(D552-D551)/D551</f>
        <v/>
      </c>
    </row>
    <row r="553">
      <c r="A553" t="inlineStr">
        <is>
          <t>2022-03-16</t>
        </is>
      </c>
      <c r="B553" t="n">
        <v>63231</v>
      </c>
      <c r="C553" s="5">
        <f>(B553-B552)/B552</f>
        <v/>
      </c>
      <c r="D553" t="n">
        <v>1459.33</v>
      </c>
      <c r="E553" s="5">
        <f>(D553-D552)/D552</f>
        <v/>
      </c>
    </row>
    <row r="554">
      <c r="A554" t="inlineStr">
        <is>
          <t>2022-03-17</t>
        </is>
      </c>
      <c r="B554" t="n">
        <v>62943</v>
      </c>
      <c r="C554" s="5">
        <f>(B554-B553)/B553</f>
        <v/>
      </c>
      <c r="D554" t="n">
        <v>1461.34</v>
      </c>
      <c r="E554" s="5">
        <f>(D554-D553)/D553</f>
        <v/>
      </c>
    </row>
    <row r="555">
      <c r="A555" t="inlineStr">
        <is>
          <t>2022-03-18</t>
        </is>
      </c>
      <c r="B555" t="n">
        <v>63328</v>
      </c>
      <c r="C555" s="5">
        <f>(B555-B554)/B554</f>
        <v/>
      </c>
      <c r="D555" t="n">
        <v>1469.1</v>
      </c>
      <c r="E555" s="5">
        <f>(D555-D554)/D554</f>
        <v/>
      </c>
    </row>
    <row r="556">
      <c r="A556" t="inlineStr">
        <is>
          <t>2022-03-21</t>
        </is>
      </c>
      <c r="B556" t="n">
        <v>64916</v>
      </c>
      <c r="C556" s="5">
        <f>(B556-B555)/B555</f>
        <v/>
      </c>
      <c r="D556" t="n">
        <v>1494.95</v>
      </c>
      <c r="E556" s="5">
        <f>(D556-D555)/D555</f>
        <v/>
      </c>
    </row>
    <row r="557">
      <c r="A557" t="inlineStr">
        <is>
          <t>2022-03-22</t>
        </is>
      </c>
      <c r="B557" t="n">
        <v>65060</v>
      </c>
      <c r="C557" s="5">
        <f>(B557-B556)/B556</f>
        <v/>
      </c>
      <c r="D557" t="n">
        <v>1503.78</v>
      </c>
      <c r="E557" s="5">
        <f>(D557-D556)/D556</f>
        <v/>
      </c>
    </row>
    <row r="558">
      <c r="A558" t="inlineStr">
        <is>
          <t>2022-03-23</t>
        </is>
      </c>
      <c r="B558" t="n">
        <v>64964</v>
      </c>
      <c r="C558" s="5">
        <f>(B558-B557)/B557</f>
        <v/>
      </c>
      <c r="D558" t="n">
        <v>1502.34</v>
      </c>
      <c r="E558" s="5">
        <f>(D558-D557)/D557</f>
        <v/>
      </c>
    </row>
    <row r="559">
      <c r="A559" t="inlineStr">
        <is>
          <t>2022-03-24</t>
        </is>
      </c>
      <c r="B559" t="n">
        <v>64482</v>
      </c>
      <c r="C559" s="5">
        <f>(B559-B558)/B558</f>
        <v/>
      </c>
      <c r="D559" t="n">
        <v>1498.26</v>
      </c>
      <c r="E559" s="5">
        <f>(D559-D558)/D558</f>
        <v/>
      </c>
    </row>
    <row r="560">
      <c r="A560" t="inlineStr">
        <is>
          <t>2022-03-25</t>
        </is>
      </c>
      <c r="B560" t="n">
        <v>66840</v>
      </c>
      <c r="C560" s="5">
        <f>(B560-B559)/B559</f>
        <v/>
      </c>
      <c r="D560" t="n">
        <v>1498.5</v>
      </c>
      <c r="E560" s="5">
        <f>(D560-D559)/D559</f>
        <v/>
      </c>
    </row>
    <row r="561">
      <c r="A561" t="inlineStr">
        <is>
          <t>2022-03-28</t>
        </is>
      </c>
      <c r="B561" t="n">
        <v>69295</v>
      </c>
      <c r="C561" s="5">
        <f>(B561-B560)/B560</f>
        <v/>
      </c>
      <c r="D561" t="n">
        <v>1483.18</v>
      </c>
      <c r="E561" s="5">
        <f>(D561-D560)/D560</f>
        <v/>
      </c>
    </row>
    <row r="562">
      <c r="A562" t="inlineStr">
        <is>
          <t>2022-03-29</t>
        </is>
      </c>
      <c r="B562" t="n">
        <v>70498</v>
      </c>
      <c r="C562" s="5">
        <f>(B562-B561)/B561</f>
        <v/>
      </c>
      <c r="D562" t="n">
        <v>1497.76</v>
      </c>
      <c r="E562" s="5">
        <f>(D562-D561)/D561</f>
        <v/>
      </c>
    </row>
    <row r="563">
      <c r="A563" t="inlineStr">
        <is>
          <t>2022-03-30</t>
        </is>
      </c>
      <c r="B563" t="n">
        <v>69487</v>
      </c>
      <c r="C563" s="5">
        <f>(B563-B562)/B562</f>
        <v/>
      </c>
      <c r="D563" t="n">
        <v>1490.51</v>
      </c>
      <c r="E563" s="5">
        <f>(D563-D562)/D562</f>
        <v/>
      </c>
    </row>
    <row r="564">
      <c r="A564" t="inlineStr">
        <is>
          <t>2022-03-31</t>
        </is>
      </c>
      <c r="B564" t="n">
        <v>70161</v>
      </c>
      <c r="C564" s="5">
        <f>(B564-B563)/B563</f>
        <v/>
      </c>
      <c r="D564" t="n">
        <v>1492.15</v>
      </c>
      <c r="E564" s="5">
        <f>(D564-D563)/D563</f>
        <v/>
      </c>
    </row>
    <row r="565">
      <c r="A565" t="inlineStr">
        <is>
          <t>2022-04-01</t>
        </is>
      </c>
      <c r="B565" t="n">
        <v>75069</v>
      </c>
      <c r="C565" s="5">
        <f>(B565-B564)/B564</f>
        <v/>
      </c>
      <c r="D565" t="n">
        <v>1516.44</v>
      </c>
      <c r="E565" s="5">
        <f>(D565-D564)/D564</f>
        <v/>
      </c>
    </row>
    <row r="566">
      <c r="A566" t="inlineStr">
        <is>
          <t>2022-04-04</t>
        </is>
      </c>
      <c r="B566" t="n">
        <v>74588</v>
      </c>
      <c r="C566" s="5">
        <f>(B566-B565)/B565</f>
        <v/>
      </c>
      <c r="D566" t="n">
        <v>1524.7</v>
      </c>
      <c r="E566" s="5">
        <f>(D566-D565)/D565</f>
        <v/>
      </c>
    </row>
    <row r="567">
      <c r="A567" t="inlineStr">
        <is>
          <t>2022-04-05</t>
        </is>
      </c>
      <c r="B567" t="n">
        <v>74684</v>
      </c>
      <c r="C567" s="5">
        <f>(B567-B566)/B566</f>
        <v/>
      </c>
      <c r="D567" t="n">
        <v>1520.03</v>
      </c>
      <c r="E567" s="5">
        <f>(D567-D566)/D566</f>
        <v/>
      </c>
    </row>
    <row r="568">
      <c r="A568" t="inlineStr">
        <is>
          <t>2022-04-06</t>
        </is>
      </c>
      <c r="B568" t="n">
        <v>76416</v>
      </c>
      <c r="C568" s="5">
        <f>(B568-B567)/B567</f>
        <v/>
      </c>
      <c r="D568" t="n">
        <v>1522.9</v>
      </c>
      <c r="E568" s="5">
        <f>(D568-D567)/D567</f>
        <v/>
      </c>
    </row>
    <row r="569">
      <c r="A569" t="inlineStr">
        <is>
          <t>2022-04-07</t>
        </is>
      </c>
      <c r="B569" t="n">
        <v>74588</v>
      </c>
      <c r="C569" s="5">
        <f>(B569-B568)/B568</f>
        <v/>
      </c>
      <c r="D569" t="n">
        <v>1502.35</v>
      </c>
      <c r="E569" s="5">
        <f>(D569-D568)/D568</f>
        <v/>
      </c>
    </row>
    <row r="570">
      <c r="A570" t="inlineStr">
        <is>
          <t>2022-04-08</t>
        </is>
      </c>
      <c r="B570" t="n">
        <v>72182</v>
      </c>
      <c r="C570" s="5">
        <f>(B570-B569)/B569</f>
        <v/>
      </c>
      <c r="D570" t="n">
        <v>1482</v>
      </c>
      <c r="E570" s="5">
        <f>(D570-D569)/D569</f>
        <v/>
      </c>
    </row>
    <row r="571">
      <c r="A571" t="inlineStr">
        <is>
          <t>2022-04-12</t>
        </is>
      </c>
      <c r="B571" t="n">
        <v>73481</v>
      </c>
      <c r="C571" s="5">
        <f>(B571-B570)/B570</f>
        <v/>
      </c>
      <c r="D571" t="n">
        <v>1455.25</v>
      </c>
      <c r="E571" s="5">
        <f>(D571-D570)/D570</f>
        <v/>
      </c>
    </row>
    <row r="572">
      <c r="A572" t="inlineStr">
        <is>
          <t>2022-04-13</t>
        </is>
      </c>
      <c r="B572" t="n">
        <v>75165</v>
      </c>
      <c r="C572" s="5">
        <f>(B572-B571)/B571</f>
        <v/>
      </c>
      <c r="D572" t="n">
        <v>1477.2</v>
      </c>
      <c r="E572" s="5">
        <f>(D572-D571)/D571</f>
        <v/>
      </c>
    </row>
    <row r="573">
      <c r="A573" t="inlineStr">
        <is>
          <t>2022-04-14</t>
        </is>
      </c>
      <c r="B573" t="n">
        <v>76753</v>
      </c>
      <c r="C573" s="5">
        <f>(B573-B572)/B572</f>
        <v/>
      </c>
      <c r="D573" t="n">
        <v>1472.12</v>
      </c>
      <c r="E573" s="5">
        <f>(D573-D572)/D572</f>
        <v/>
      </c>
    </row>
    <row r="574">
      <c r="A574" t="inlineStr">
        <is>
          <t>2022-04-15</t>
        </is>
      </c>
      <c r="B574" t="n">
        <v>77090</v>
      </c>
      <c r="C574" s="5">
        <f>(B574-B573)/B573</f>
        <v/>
      </c>
      <c r="D574" t="n">
        <v>1458.56</v>
      </c>
      <c r="E574" s="5">
        <f>(D574-D573)/D573</f>
        <v/>
      </c>
    </row>
    <row r="575">
      <c r="A575" t="inlineStr">
        <is>
          <t>2022-04-18</t>
        </is>
      </c>
      <c r="B575" t="n">
        <v>77090</v>
      </c>
      <c r="C575" s="5">
        <f>(B575-B574)/B574</f>
        <v/>
      </c>
      <c r="D575" t="n">
        <v>1432.6</v>
      </c>
      <c r="E575" s="5">
        <f>(D575-D574)/D574</f>
        <v/>
      </c>
    </row>
    <row r="576">
      <c r="A576" t="inlineStr">
        <is>
          <t>2022-04-19</t>
        </is>
      </c>
      <c r="B576" t="n">
        <v>75069</v>
      </c>
      <c r="C576" s="5">
        <f>(B576-B575)/B575</f>
        <v/>
      </c>
      <c r="D576" t="n">
        <v>1406.45</v>
      </c>
      <c r="E576" s="5">
        <f>(D576-D575)/D575</f>
        <v/>
      </c>
    </row>
    <row r="577">
      <c r="A577" t="inlineStr">
        <is>
          <t>2022-04-20</t>
        </is>
      </c>
      <c r="B577" t="n">
        <v>75069</v>
      </c>
      <c r="C577" s="5">
        <f>(B577-B576)/B576</f>
        <v/>
      </c>
      <c r="D577" t="n">
        <v>1384.72</v>
      </c>
      <c r="E577" s="5">
        <f>(D577-D576)/D576</f>
        <v/>
      </c>
    </row>
    <row r="578">
      <c r="A578" t="inlineStr">
        <is>
          <t>2022-04-21</t>
        </is>
      </c>
      <c r="B578" t="n">
        <v>74828</v>
      </c>
      <c r="C578" s="5">
        <f>(B578-B577)/B577</f>
        <v/>
      </c>
      <c r="D578" t="n">
        <v>1370.21</v>
      </c>
      <c r="E578" s="5">
        <f>(D578-D577)/D577</f>
        <v/>
      </c>
    </row>
    <row r="579">
      <c r="A579" t="inlineStr">
        <is>
          <t>2022-04-22</t>
        </is>
      </c>
      <c r="B579" t="n">
        <v>74973</v>
      </c>
      <c r="C579" s="5">
        <f>(B579-B578)/B578</f>
        <v/>
      </c>
      <c r="D579" t="n">
        <v>1379.23</v>
      </c>
      <c r="E579" s="5">
        <f>(D579-D578)/D578</f>
        <v/>
      </c>
    </row>
    <row r="580">
      <c r="A580" t="inlineStr">
        <is>
          <t>2022-04-25</t>
        </is>
      </c>
      <c r="B580" t="n">
        <v>69728</v>
      </c>
      <c r="C580" s="5">
        <f>(B580-B579)/B579</f>
        <v/>
      </c>
      <c r="D580" t="n">
        <v>1310.92</v>
      </c>
      <c r="E580" s="5">
        <f>(D580-D579)/D579</f>
        <v/>
      </c>
    </row>
    <row r="581">
      <c r="A581" t="inlineStr">
        <is>
          <t>2022-04-26</t>
        </is>
      </c>
      <c r="B581" t="n">
        <v>71604</v>
      </c>
      <c r="C581" s="5">
        <f>(B581-B580)/B580</f>
        <v/>
      </c>
      <c r="D581" t="n">
        <v>1341.34</v>
      </c>
      <c r="E581" s="5">
        <f>(D581-D580)/D580</f>
        <v/>
      </c>
    </row>
    <row r="582">
      <c r="A582" t="inlineStr">
        <is>
          <t>2022-04-27</t>
        </is>
      </c>
      <c r="B582" t="n">
        <v>70834</v>
      </c>
      <c r="C582" s="5">
        <f>(B582-B581)/B581</f>
        <v/>
      </c>
      <c r="D582" t="n">
        <v>1353.77</v>
      </c>
      <c r="E582" s="5">
        <f>(D582-D581)/D581</f>
        <v/>
      </c>
    </row>
    <row r="583">
      <c r="A583" t="inlineStr">
        <is>
          <t>2022-04-28</t>
        </is>
      </c>
      <c r="B583" t="n">
        <v>69776</v>
      </c>
      <c r="C583" s="5">
        <f>(B583-B582)/B582</f>
        <v/>
      </c>
      <c r="D583" t="n">
        <v>1350.99</v>
      </c>
      <c r="E583" s="5">
        <f>(D583-D582)/D582</f>
        <v/>
      </c>
    </row>
    <row r="584">
      <c r="A584" t="inlineStr">
        <is>
          <t>2022-04-29</t>
        </is>
      </c>
      <c r="B584" t="n">
        <v>71797</v>
      </c>
      <c r="C584" s="5">
        <f>(B584-B583)/B583</f>
        <v/>
      </c>
      <c r="D584" t="n">
        <v>1366.8</v>
      </c>
      <c r="E584" s="5">
        <f>(D584-D583)/D583</f>
        <v/>
      </c>
    </row>
    <row r="585">
      <c r="A585" t="inlineStr">
        <is>
          <t>2022-05-04</t>
        </is>
      </c>
      <c r="B585" t="n">
        <v>71941</v>
      </c>
      <c r="C585" s="5">
        <f>(B585-B584)/B584</f>
        <v/>
      </c>
      <c r="D585" t="n">
        <v>1348.68</v>
      </c>
      <c r="E585" s="5">
        <f>(D585-D584)/D584</f>
        <v/>
      </c>
    </row>
    <row r="586">
      <c r="A586" t="inlineStr">
        <is>
          <t>2022-05-05</t>
        </is>
      </c>
      <c r="B586" t="n">
        <v>71893</v>
      </c>
      <c r="C586" s="5">
        <f>(B586-B585)/B585</f>
        <v/>
      </c>
      <c r="D586" t="n">
        <v>1360.68</v>
      </c>
      <c r="E586" s="5">
        <f>(D586-D585)/D585</f>
        <v/>
      </c>
    </row>
    <row r="587">
      <c r="A587" t="inlineStr">
        <is>
          <t>2022-05-06</t>
        </is>
      </c>
      <c r="B587" t="n">
        <v>70546</v>
      </c>
      <c r="C587" s="5">
        <f>(B587-B586)/B586</f>
        <v/>
      </c>
      <c r="D587" t="n">
        <v>1329.26</v>
      </c>
      <c r="E587" s="5">
        <f>(D587-D586)/D586</f>
        <v/>
      </c>
    </row>
    <row r="588">
      <c r="A588" t="inlineStr">
        <is>
          <t>2022-05-09</t>
        </is>
      </c>
      <c r="B588" t="n">
        <v>65637</v>
      </c>
      <c r="C588" s="5">
        <f>(B588-B587)/B587</f>
        <v/>
      </c>
      <c r="D588" t="n">
        <v>1269.62</v>
      </c>
      <c r="E588" s="5">
        <f>(D588-D587)/D587</f>
        <v/>
      </c>
    </row>
    <row r="589">
      <c r="A589" t="inlineStr">
        <is>
          <t>2022-05-10</t>
        </is>
      </c>
      <c r="B589" t="n">
        <v>67418</v>
      </c>
      <c r="C589" s="5">
        <f>(B589-B588)/B588</f>
        <v/>
      </c>
      <c r="D589" t="n">
        <v>1293.56</v>
      </c>
      <c r="E589" s="5">
        <f>(D589-D588)/D588</f>
        <v/>
      </c>
    </row>
    <row r="590">
      <c r="A590" t="inlineStr">
        <is>
          <t>2022-05-11</t>
        </is>
      </c>
      <c r="B590" t="n">
        <v>67851</v>
      </c>
      <c r="C590" s="5">
        <f>(B590-B589)/B589</f>
        <v/>
      </c>
      <c r="D590" t="n">
        <v>1301.53</v>
      </c>
      <c r="E590" s="5">
        <f>(D590-D589)/D589</f>
        <v/>
      </c>
    </row>
    <row r="591">
      <c r="A591" t="inlineStr">
        <is>
          <t>2022-05-12</t>
        </is>
      </c>
      <c r="B591" t="n">
        <v>64675</v>
      </c>
      <c r="C591" s="5">
        <f>(B591-B590)/B590</f>
        <v/>
      </c>
      <c r="D591" t="n">
        <v>1238.84</v>
      </c>
      <c r="E591" s="5">
        <f>(D591-D590)/D590</f>
        <v/>
      </c>
    </row>
    <row r="592">
      <c r="A592" t="inlineStr">
        <is>
          <t>2022-05-13</t>
        </is>
      </c>
      <c r="B592" t="n">
        <v>60200</v>
      </c>
      <c r="C592" s="5">
        <f>(B592-B591)/B591</f>
        <v/>
      </c>
      <c r="D592" t="n">
        <v>1182.77</v>
      </c>
      <c r="E592" s="5">
        <f>(D592-D591)/D591</f>
        <v/>
      </c>
    </row>
    <row r="593">
      <c r="A593" t="inlineStr">
        <is>
          <t>2022-05-16</t>
        </is>
      </c>
      <c r="B593" t="n">
        <v>59189</v>
      </c>
      <c r="C593" s="5">
        <f>(B593-B592)/B592</f>
        <v/>
      </c>
      <c r="D593" t="n">
        <v>1171.95</v>
      </c>
      <c r="E593" s="5">
        <f>(D593-D592)/D592</f>
        <v/>
      </c>
    </row>
    <row r="594">
      <c r="A594" t="inlineStr">
        <is>
          <t>2022-05-17</t>
        </is>
      </c>
      <c r="B594" t="n">
        <v>63328</v>
      </c>
      <c r="C594" s="5">
        <f>(B594-B593)/B593</f>
        <v/>
      </c>
      <c r="D594" t="n">
        <v>1228.37</v>
      </c>
      <c r="E594" s="5">
        <f>(D594-D593)/D593</f>
        <v/>
      </c>
    </row>
    <row r="595">
      <c r="A595" t="inlineStr">
        <is>
          <t>2022-05-18</t>
        </is>
      </c>
      <c r="B595" t="n">
        <v>64242.00000000001</v>
      </c>
      <c r="C595" s="5">
        <f>(B595-B594)/B594</f>
        <v/>
      </c>
      <c r="D595" t="n">
        <v>1240.76</v>
      </c>
      <c r="E595" s="5">
        <f>(D595-D594)/D594</f>
        <v/>
      </c>
    </row>
    <row r="596">
      <c r="A596" t="inlineStr">
        <is>
          <t>2022-05-19</t>
        </is>
      </c>
      <c r="B596" t="n">
        <v>64001.00000000001</v>
      </c>
      <c r="C596" s="5">
        <f>(B596-B595)/B595</f>
        <v/>
      </c>
      <c r="D596" t="n">
        <v>1241.64</v>
      </c>
      <c r="E596" s="5">
        <f>(D596-D595)/D595</f>
        <v/>
      </c>
    </row>
    <row r="597">
      <c r="A597" t="inlineStr">
        <is>
          <t>2022-05-20</t>
        </is>
      </c>
      <c r="B597" t="n">
        <v>64482</v>
      </c>
      <c r="C597" s="5">
        <f>(B597-B596)/B596</f>
        <v/>
      </c>
      <c r="D597" t="n">
        <v>1240.71</v>
      </c>
      <c r="E597" s="5">
        <f>(D597-D596)/D596</f>
        <v/>
      </c>
    </row>
    <row r="598">
      <c r="A598" t="inlineStr">
        <is>
          <t>2022-05-23</t>
        </is>
      </c>
      <c r="B598" t="n">
        <v>62943</v>
      </c>
      <c r="C598" s="5">
        <f>(B598-B597)/B597</f>
        <v/>
      </c>
      <c r="D598" t="n">
        <v>1218.81</v>
      </c>
      <c r="E598" s="5">
        <f>(D598-D597)/D597</f>
        <v/>
      </c>
    </row>
    <row r="599">
      <c r="A599" t="inlineStr">
        <is>
          <t>2022-05-24</t>
        </is>
      </c>
      <c r="B599" t="n">
        <v>64001.00000000001</v>
      </c>
      <c r="C599" s="5">
        <f>(B599-B598)/B598</f>
        <v/>
      </c>
      <c r="D599" t="n">
        <v>1233.38</v>
      </c>
      <c r="E599" s="5">
        <f>(D599-D598)/D598</f>
        <v/>
      </c>
    </row>
    <row r="600">
      <c r="A600" t="inlineStr">
        <is>
          <t>2022-05-25</t>
        </is>
      </c>
      <c r="B600" t="n">
        <v>66888</v>
      </c>
      <c r="C600" s="5">
        <f>(B600-B599)/B599</f>
        <v/>
      </c>
      <c r="D600" t="n">
        <v>1268.43</v>
      </c>
      <c r="E600" s="5">
        <f>(D600-D599)/D599</f>
        <v/>
      </c>
    </row>
    <row r="601">
      <c r="A601" t="inlineStr">
        <is>
          <t>2022-05-26</t>
        </is>
      </c>
      <c r="B601" t="n">
        <v>66888</v>
      </c>
      <c r="C601" s="5">
        <f>(B601-B600)/B600</f>
        <v/>
      </c>
      <c r="D601" t="n">
        <v>1268.57</v>
      </c>
      <c r="E601" s="5">
        <f>(D601-D600)/D600</f>
        <v/>
      </c>
    </row>
    <row r="602">
      <c r="A602" t="inlineStr">
        <is>
          <t>2022-05-27</t>
        </is>
      </c>
      <c r="B602" t="n">
        <v>70594</v>
      </c>
      <c r="C602" s="5">
        <f>(B602-B601)/B601</f>
        <v/>
      </c>
      <c r="D602" t="n">
        <v>1285.45</v>
      </c>
      <c r="E602" s="5">
        <f>(D602-D601)/D601</f>
        <v/>
      </c>
    </row>
    <row r="603">
      <c r="A603" t="inlineStr">
        <is>
          <t>2022-05-30</t>
        </is>
      </c>
      <c r="B603" t="n">
        <v>69872</v>
      </c>
      <c r="C603" s="5">
        <f>(B603-B602)/B602</f>
        <v/>
      </c>
      <c r="D603" t="n">
        <v>1293.92</v>
      </c>
      <c r="E603" s="5">
        <f>(D603-D602)/D602</f>
        <v/>
      </c>
    </row>
    <row r="604">
      <c r="A604" t="inlineStr">
        <is>
          <t>2022-05-31</t>
        </is>
      </c>
      <c r="B604" t="n">
        <v>69728</v>
      </c>
      <c r="C604" s="5">
        <f>(B604-B603)/B603</f>
        <v/>
      </c>
      <c r="D604" t="n">
        <v>1292.68</v>
      </c>
      <c r="E604" s="5">
        <f>(D604-D603)/D603</f>
        <v/>
      </c>
    </row>
    <row r="605">
      <c r="A605" t="inlineStr">
        <is>
          <t>2022-06-01</t>
        </is>
      </c>
      <c r="B605" t="n">
        <v>70016</v>
      </c>
      <c r="C605" s="5">
        <f>(B605-B604)/B604</f>
        <v/>
      </c>
      <c r="D605" t="n">
        <v>1299.52</v>
      </c>
      <c r="E605" s="5">
        <f>(D605-D604)/D604</f>
        <v/>
      </c>
    </row>
    <row r="606">
      <c r="A606" t="inlineStr">
        <is>
          <t>2022-06-02</t>
        </is>
      </c>
      <c r="B606" t="n">
        <v>71075</v>
      </c>
      <c r="C606" s="5">
        <f>(B606-B605)/B605</f>
        <v/>
      </c>
      <c r="D606" t="n">
        <v>1288.62</v>
      </c>
      <c r="E606" s="5">
        <f>(D606-D605)/D605</f>
        <v/>
      </c>
    </row>
    <row r="607">
      <c r="A607" t="inlineStr">
        <is>
          <t>2022-06-03</t>
        </is>
      </c>
      <c r="B607" t="n">
        <v>73722</v>
      </c>
      <c r="C607" s="5">
        <f>(B607-B606)/B606</f>
        <v/>
      </c>
      <c r="D607" t="n">
        <v>1287.98</v>
      </c>
      <c r="E607" s="5">
        <f>(D607-D606)/D606</f>
        <v/>
      </c>
    </row>
    <row r="608">
      <c r="A608" t="inlineStr">
        <is>
          <t>2022-06-06</t>
        </is>
      </c>
      <c r="B608" t="n">
        <v>74444</v>
      </c>
      <c r="C608" s="5">
        <f>(B608-B607)/B607</f>
        <v/>
      </c>
      <c r="D608" t="n">
        <v>1290.01</v>
      </c>
      <c r="E608" s="5">
        <f>(D608-D607)/D607</f>
        <v/>
      </c>
    </row>
    <row r="609">
      <c r="A609" t="inlineStr">
        <is>
          <t>2022-06-07</t>
        </is>
      </c>
      <c r="B609" t="n">
        <v>74107</v>
      </c>
      <c r="C609" s="5">
        <f>(B609-B608)/B608</f>
        <v/>
      </c>
      <c r="D609" t="n">
        <v>1291.35</v>
      </c>
      <c r="E609" s="5">
        <f>(D609-D608)/D608</f>
        <v/>
      </c>
    </row>
    <row r="610">
      <c r="A610" t="inlineStr">
        <is>
          <t>2022-06-08</t>
        </is>
      </c>
      <c r="B610" t="n">
        <v>74301</v>
      </c>
      <c r="C610" s="5">
        <f>(B610-B609)/B609</f>
        <v/>
      </c>
      <c r="D610" t="n">
        <v>1307.91</v>
      </c>
      <c r="E610" s="5">
        <f>(D610-D609)/D609</f>
        <v/>
      </c>
    </row>
    <row r="611">
      <c r="A611" t="inlineStr">
        <is>
          <t>2022-06-09</t>
        </is>
      </c>
      <c r="B611" t="n">
        <v>74010</v>
      </c>
      <c r="C611" s="5">
        <f>(B611-B610)/B610</f>
        <v/>
      </c>
      <c r="D611" t="n">
        <v>1307.8</v>
      </c>
      <c r="E611" s="5">
        <f>(D611-D610)/D610</f>
        <v/>
      </c>
    </row>
    <row r="612">
      <c r="A612" t="inlineStr">
        <is>
          <t>2022-06-10</t>
        </is>
      </c>
      <c r="B612" t="n">
        <v>72654</v>
      </c>
      <c r="C612" s="5">
        <f>(B612-B611)/B611</f>
        <v/>
      </c>
      <c r="D612" t="n">
        <v>1284.08</v>
      </c>
      <c r="E612" s="5">
        <f>(D612-D611)/D611</f>
        <v/>
      </c>
    </row>
    <row r="613">
      <c r="A613" t="inlineStr">
        <is>
          <t>2022-06-13</t>
        </is>
      </c>
      <c r="B613" t="n">
        <v>67810</v>
      </c>
      <c r="C613" s="5">
        <f>(B613-B612)/B612</f>
        <v/>
      </c>
      <c r="D613" t="n">
        <v>1227.04</v>
      </c>
      <c r="E613" s="5">
        <f>(D613-D612)/D612</f>
        <v/>
      </c>
    </row>
    <row r="614">
      <c r="A614" t="inlineStr">
        <is>
          <t>2022-06-14</t>
        </is>
      </c>
      <c r="B614" t="n">
        <v>69506</v>
      </c>
      <c r="C614" s="5">
        <f>(B614-B613)/B613</f>
        <v/>
      </c>
      <c r="D614" t="n">
        <v>1230.31</v>
      </c>
      <c r="E614" s="5">
        <f>(D614-D613)/D613</f>
        <v/>
      </c>
    </row>
    <row r="615">
      <c r="A615" t="inlineStr">
        <is>
          <t>2022-06-15</t>
        </is>
      </c>
      <c r="B615" t="n">
        <v>71540</v>
      </c>
      <c r="C615" s="5">
        <f>(B615-B614)/B614</f>
        <v/>
      </c>
      <c r="D615" t="n">
        <v>1213.93</v>
      </c>
      <c r="E615" s="5">
        <f>(D615-D614)/D614</f>
        <v/>
      </c>
    </row>
    <row r="616">
      <c r="A616" t="inlineStr">
        <is>
          <t>2022-06-16</t>
        </is>
      </c>
      <c r="B616" t="n">
        <v>76529</v>
      </c>
      <c r="C616" s="5">
        <f>(B616-B615)/B615</f>
        <v/>
      </c>
      <c r="D616" t="n">
        <v>1236.63</v>
      </c>
      <c r="E616" s="5">
        <f>(D616-D615)/D615</f>
        <v/>
      </c>
    </row>
    <row r="617">
      <c r="A617" t="inlineStr">
        <is>
          <t>2022-06-17</t>
        </is>
      </c>
      <c r="B617" t="n">
        <v>75270</v>
      </c>
      <c r="C617" s="5">
        <f>(B617-B616)/B616</f>
        <v/>
      </c>
      <c r="D617" t="n">
        <v>1217.3</v>
      </c>
      <c r="E617" s="5">
        <f>(D617-D616)/D616</f>
        <v/>
      </c>
    </row>
    <row r="618">
      <c r="A618" t="inlineStr">
        <is>
          <t>2022-06-20</t>
        </is>
      </c>
      <c r="B618" t="n">
        <v>71588</v>
      </c>
      <c r="C618" s="5">
        <f>(B618-B617)/B617</f>
        <v/>
      </c>
      <c r="D618" t="n">
        <v>1180.4</v>
      </c>
      <c r="E618" s="5">
        <f>(D618-D617)/D617</f>
        <v/>
      </c>
    </row>
    <row r="619">
      <c r="A619" t="inlineStr">
        <is>
          <t>2022-06-21</t>
        </is>
      </c>
      <c r="B619" t="n">
        <v>71201</v>
      </c>
      <c r="C619" s="5">
        <f>(B619-B618)/B618</f>
        <v/>
      </c>
      <c r="D619" t="n">
        <v>1172.47</v>
      </c>
      <c r="E619" s="5">
        <f>(D619-D618)/D618</f>
        <v/>
      </c>
    </row>
    <row r="620">
      <c r="A620" t="inlineStr">
        <is>
          <t>2022-06-22</t>
        </is>
      </c>
      <c r="B620" t="n">
        <v>67617</v>
      </c>
      <c r="C620" s="5">
        <f>(B620-B619)/B619</f>
        <v/>
      </c>
      <c r="D620" t="n">
        <v>1169.27</v>
      </c>
      <c r="E620" s="5">
        <f>(D620-D619)/D619</f>
        <v/>
      </c>
    </row>
    <row r="621">
      <c r="A621" t="inlineStr">
        <is>
          <t>2022-06-23</t>
        </is>
      </c>
      <c r="B621" t="n">
        <v>70232</v>
      </c>
      <c r="C621" s="5">
        <f>(B621-B620)/B620</f>
        <v/>
      </c>
      <c r="D621" t="n">
        <v>1188.88</v>
      </c>
      <c r="E621" s="5">
        <f>(D621-D620)/D620</f>
        <v/>
      </c>
    </row>
    <row r="622">
      <c r="A622" t="inlineStr">
        <is>
          <t>2022-06-24</t>
        </is>
      </c>
      <c r="B622" t="n">
        <v>69651</v>
      </c>
      <c r="C622" s="5">
        <f>(B622-B621)/B621</f>
        <v/>
      </c>
      <c r="D622" t="n">
        <v>1185.48</v>
      </c>
      <c r="E622" s="5">
        <f>(D622-D621)/D621</f>
        <v/>
      </c>
    </row>
    <row r="623">
      <c r="A623" t="inlineStr">
        <is>
          <t>2022-06-27</t>
        </is>
      </c>
      <c r="B623" t="n">
        <v>69264</v>
      </c>
      <c r="C623" s="5">
        <f>(B623-B622)/B622</f>
        <v/>
      </c>
      <c r="D623" t="n">
        <v>1202.82</v>
      </c>
      <c r="E623" s="5">
        <f>(D623-D622)/D622</f>
        <v/>
      </c>
    </row>
    <row r="624">
      <c r="A624" t="inlineStr">
        <is>
          <t>2022-06-28</t>
        </is>
      </c>
      <c r="B624" t="n">
        <v>70523</v>
      </c>
      <c r="C624" s="5">
        <f>(B624-B623)/B623</f>
        <v/>
      </c>
      <c r="D624" t="n">
        <v>1218.1</v>
      </c>
      <c r="E624" s="5">
        <f>(D624-D623)/D623</f>
        <v/>
      </c>
    </row>
    <row r="625">
      <c r="A625" t="inlineStr">
        <is>
          <t>2022-06-29</t>
        </is>
      </c>
      <c r="B625" t="n">
        <v>70717</v>
      </c>
      <c r="C625" s="5">
        <f>(B625-B624)/B624</f>
        <v/>
      </c>
      <c r="D625" t="n">
        <v>1218.09</v>
      </c>
      <c r="E625" s="5">
        <f>(D625-D624)/D624</f>
        <v/>
      </c>
    </row>
    <row r="626">
      <c r="A626" t="inlineStr">
        <is>
          <t>2022-06-30</t>
        </is>
      </c>
      <c r="B626" t="n">
        <v>69264</v>
      </c>
      <c r="C626" s="5">
        <f>(B626-B625)/B625</f>
        <v/>
      </c>
      <c r="D626" t="n">
        <v>1197.6</v>
      </c>
      <c r="E626" s="5">
        <f>(D626-D625)/D625</f>
        <v/>
      </c>
    </row>
    <row r="627">
      <c r="A627" t="inlineStr">
        <is>
          <t>2022-07-01</t>
        </is>
      </c>
      <c r="B627" t="n">
        <v>68101</v>
      </c>
      <c r="C627" s="5">
        <f>(B627-B626)/B626</f>
        <v/>
      </c>
      <c r="D627" t="n">
        <v>1198.9</v>
      </c>
      <c r="E627" s="5">
        <f>(D627-D626)/D626</f>
        <v/>
      </c>
    </row>
    <row r="628">
      <c r="A628" t="inlineStr">
        <is>
          <t>2022-07-04</t>
        </is>
      </c>
      <c r="B628" t="n">
        <v>65679</v>
      </c>
      <c r="C628" s="5">
        <f>(B628-B627)/B627</f>
        <v/>
      </c>
      <c r="D628" t="n">
        <v>1195.53</v>
      </c>
      <c r="E628" s="5">
        <f>(D628-D627)/D627</f>
        <v/>
      </c>
    </row>
    <row r="629">
      <c r="A629" t="inlineStr">
        <is>
          <t>2022-07-05</t>
        </is>
      </c>
      <c r="B629" t="n">
        <v>63451</v>
      </c>
      <c r="C629" s="5">
        <f>(B629-B628)/B628</f>
        <v/>
      </c>
      <c r="D629" t="n">
        <v>1181.29</v>
      </c>
      <c r="E629" s="5">
        <f>(D629-D628)/D628</f>
        <v/>
      </c>
    </row>
    <row r="630">
      <c r="A630" t="inlineStr">
        <is>
          <t>2022-07-06</t>
        </is>
      </c>
      <c r="B630" t="n">
        <v>61998</v>
      </c>
      <c r="C630" s="5">
        <f>(B630-B629)/B629</f>
        <v/>
      </c>
      <c r="D630" t="n">
        <v>1149.61</v>
      </c>
      <c r="E630" s="5">
        <f>(D630-D629)/D629</f>
        <v/>
      </c>
    </row>
    <row r="631">
      <c r="A631" t="inlineStr">
        <is>
          <t>2022-07-07</t>
        </is>
      </c>
      <c r="B631" t="n">
        <v>61998</v>
      </c>
      <c r="C631" s="5">
        <f>(B631-B630)/B630</f>
        <v/>
      </c>
      <c r="D631" t="n">
        <v>1166.48</v>
      </c>
      <c r="E631" s="5">
        <f>(D631-D630)/D630</f>
        <v/>
      </c>
    </row>
    <row r="632">
      <c r="A632" t="inlineStr">
        <is>
          <t>2022-07-08</t>
        </is>
      </c>
      <c r="B632" t="n">
        <v>62967</v>
      </c>
      <c r="C632" s="5">
        <f>(B632-B631)/B631</f>
        <v/>
      </c>
      <c r="D632" t="n">
        <v>1171.31</v>
      </c>
      <c r="E632" s="5">
        <f>(D632-D631)/D631</f>
        <v/>
      </c>
    </row>
    <row r="633">
      <c r="A633" t="inlineStr">
        <is>
          <t>2022-07-11</t>
        </is>
      </c>
      <c r="B633" t="n">
        <v>62483</v>
      </c>
      <c r="C633" s="5">
        <f>(B633-B632)/B632</f>
        <v/>
      </c>
      <c r="D633" t="n">
        <v>1155.29</v>
      </c>
      <c r="E633" s="5">
        <f>(D633-D632)/D632</f>
        <v/>
      </c>
    </row>
    <row r="634">
      <c r="A634" t="inlineStr">
        <is>
          <t>2022-07-12</t>
        </is>
      </c>
      <c r="B634" t="n">
        <v>62386</v>
      </c>
      <c r="C634" s="5">
        <f>(B634-B633)/B633</f>
        <v/>
      </c>
      <c r="D634" t="n">
        <v>1174.82</v>
      </c>
      <c r="E634" s="5">
        <f>(D634-D633)/D633</f>
        <v/>
      </c>
    </row>
    <row r="635">
      <c r="A635" t="inlineStr">
        <is>
          <t>2022-07-13</t>
        </is>
      </c>
      <c r="B635" t="n">
        <v>61611</v>
      </c>
      <c r="C635" s="5">
        <f>(B635-B634)/B634</f>
        <v/>
      </c>
      <c r="D635" t="n">
        <v>1173.92</v>
      </c>
      <c r="E635" s="5">
        <f>(D635-D634)/D634</f>
        <v/>
      </c>
    </row>
    <row r="636">
      <c r="A636" t="inlineStr">
        <is>
          <t>2022-07-14</t>
        </is>
      </c>
      <c r="B636" t="n">
        <v>60642</v>
      </c>
      <c r="C636" s="5">
        <f>(B636-B635)/B635</f>
        <v/>
      </c>
      <c r="D636" t="n">
        <v>1182.17</v>
      </c>
      <c r="E636" s="5">
        <f>(D636-D635)/D635</f>
        <v/>
      </c>
    </row>
    <row r="637">
      <c r="A637" t="inlineStr">
        <is>
          <t>2022-07-15</t>
        </is>
      </c>
      <c r="B637" t="n">
        <v>59576</v>
      </c>
      <c r="C637" s="5">
        <f>(B637-B636)/B636</f>
        <v/>
      </c>
      <c r="D637" t="n">
        <v>1179.25</v>
      </c>
      <c r="E637" s="5">
        <f>(D637-D636)/D636</f>
        <v/>
      </c>
    </row>
    <row r="638">
      <c r="A638" t="inlineStr">
        <is>
          <t>2022-07-18</t>
        </is>
      </c>
      <c r="B638" t="n">
        <v>59092</v>
      </c>
      <c r="C638" s="5">
        <f>(B638-B637)/B637</f>
        <v/>
      </c>
      <c r="D638" t="n">
        <v>1176.49</v>
      </c>
      <c r="E638" s="5">
        <f>(D638-D637)/D637</f>
        <v/>
      </c>
    </row>
    <row r="639">
      <c r="A639" t="inlineStr">
        <is>
          <t>2022-07-19</t>
        </is>
      </c>
      <c r="B639" t="n">
        <v>58123</v>
      </c>
      <c r="C639" s="5">
        <f>(B639-B638)/B638</f>
        <v/>
      </c>
      <c r="D639" t="n">
        <v>1178.33</v>
      </c>
      <c r="E639" s="5">
        <f>(D639-D638)/D638</f>
        <v/>
      </c>
    </row>
    <row r="640">
      <c r="A640" t="inlineStr">
        <is>
          <t>2022-07-20</t>
        </is>
      </c>
      <c r="B640" t="n">
        <v>59286</v>
      </c>
      <c r="C640" s="5">
        <f>(B640-B639)/B639</f>
        <v/>
      </c>
      <c r="D640" t="n">
        <v>1194.14</v>
      </c>
      <c r="E640" s="5">
        <f>(D640-D639)/D639</f>
        <v/>
      </c>
    </row>
    <row r="641">
      <c r="A641" t="inlineStr">
        <is>
          <t>2022-07-21</t>
        </is>
      </c>
      <c r="B641" t="n">
        <v>62095</v>
      </c>
      <c r="C641" s="5">
        <f>(B641-B640)/B640</f>
        <v/>
      </c>
      <c r="D641" t="n">
        <v>1198.47</v>
      </c>
      <c r="E641" s="5">
        <f>(D641-D640)/D640</f>
        <v/>
      </c>
    </row>
    <row r="642">
      <c r="A642" t="inlineStr">
        <is>
          <t>2022-07-22</t>
        </is>
      </c>
      <c r="B642" t="n">
        <v>62483</v>
      </c>
      <c r="C642" s="5">
        <f>(B642-B641)/B641</f>
        <v/>
      </c>
      <c r="D642" t="n">
        <v>1194.76</v>
      </c>
      <c r="E642" s="5">
        <f>(D642-D641)/D641</f>
        <v/>
      </c>
    </row>
    <row r="643">
      <c r="A643" t="inlineStr">
        <is>
          <t>2022-07-25</t>
        </is>
      </c>
      <c r="B643" t="n">
        <v>61320</v>
      </c>
      <c r="C643" s="5">
        <f>(B643-B642)/B642</f>
        <v/>
      </c>
      <c r="D643" t="n">
        <v>1188.5</v>
      </c>
      <c r="E643" s="5">
        <f>(D643-D642)/D642</f>
        <v/>
      </c>
    </row>
    <row r="644">
      <c r="A644" t="inlineStr">
        <is>
          <t>2022-07-26</t>
        </is>
      </c>
      <c r="B644" t="n">
        <v>61029</v>
      </c>
      <c r="C644" s="5">
        <f>(B644-B643)/B643</f>
        <v/>
      </c>
      <c r="D644" t="n">
        <v>1185.07</v>
      </c>
      <c r="E644" s="5">
        <f>(D644-D643)/D643</f>
        <v/>
      </c>
    </row>
    <row r="645">
      <c r="A645" t="inlineStr">
        <is>
          <t>2022-07-27</t>
        </is>
      </c>
      <c r="B645" t="n">
        <v>60158</v>
      </c>
      <c r="C645" s="5">
        <f>(B645-B644)/B644</f>
        <v/>
      </c>
      <c r="D645" t="n">
        <v>1191.04</v>
      </c>
      <c r="E645" s="5">
        <f>(D645-D644)/D644</f>
        <v/>
      </c>
    </row>
    <row r="646">
      <c r="A646" t="inlineStr">
        <is>
          <t>2022-07-28</t>
        </is>
      </c>
      <c r="B646" t="n">
        <v>60061</v>
      </c>
      <c r="C646" s="5">
        <f>(B646-B645)/B645</f>
        <v/>
      </c>
      <c r="D646" t="n">
        <v>1208.12</v>
      </c>
      <c r="E646" s="5">
        <f>(D646-D645)/D645</f>
        <v/>
      </c>
    </row>
    <row r="647">
      <c r="A647" t="inlineStr">
        <is>
          <t>2022-07-29</t>
        </is>
      </c>
      <c r="B647" t="n">
        <v>59092</v>
      </c>
      <c r="C647" s="5">
        <f>(B647-B646)/B646</f>
        <v/>
      </c>
      <c r="D647" t="n">
        <v>1206.33</v>
      </c>
      <c r="E647" s="5">
        <f>(D647-D646)/D646</f>
        <v/>
      </c>
    </row>
    <row r="648">
      <c r="A648" t="inlineStr">
        <is>
          <t>2022-08-01</t>
        </is>
      </c>
      <c r="B648" t="n">
        <v>59383</v>
      </c>
      <c r="C648" s="5">
        <f>(B648-B647)/B647</f>
        <v/>
      </c>
      <c r="D648" t="n">
        <v>1231.35</v>
      </c>
      <c r="E648" s="5">
        <f>(D648-D647)/D647</f>
        <v/>
      </c>
    </row>
    <row r="649">
      <c r="A649" t="inlineStr">
        <is>
          <t>2022-08-02</t>
        </is>
      </c>
      <c r="B649" t="n">
        <v>60061</v>
      </c>
      <c r="C649" s="5">
        <f>(B649-B648)/B648</f>
        <v/>
      </c>
      <c r="D649" t="n">
        <v>1241.62</v>
      </c>
      <c r="E649" s="5">
        <f>(D649-D648)/D648</f>
        <v/>
      </c>
    </row>
    <row r="650">
      <c r="A650" t="inlineStr">
        <is>
          <t>2022-08-03</t>
        </is>
      </c>
      <c r="B650" t="n">
        <v>59867</v>
      </c>
      <c r="C650" s="5">
        <f>(B650-B649)/B649</f>
        <v/>
      </c>
      <c r="D650" t="n">
        <v>1249.76</v>
      </c>
      <c r="E650" s="5">
        <f>(D650-D649)/D649</f>
        <v/>
      </c>
    </row>
    <row r="651">
      <c r="A651" t="inlineStr">
        <is>
          <t>2022-08-04</t>
        </is>
      </c>
      <c r="B651" t="n">
        <v>60739</v>
      </c>
      <c r="C651" s="5">
        <f>(B651-B650)/B650</f>
        <v/>
      </c>
      <c r="D651" t="n">
        <v>1254.15</v>
      </c>
      <c r="E651" s="5">
        <f>(D651-D650)/D650</f>
        <v/>
      </c>
    </row>
    <row r="652">
      <c r="A652" t="inlineStr">
        <is>
          <t>2022-08-05</t>
        </is>
      </c>
      <c r="B652" t="n">
        <v>60739</v>
      </c>
      <c r="C652" s="5">
        <f>(B652-B651)/B651</f>
        <v/>
      </c>
      <c r="D652" t="n">
        <v>1252.74</v>
      </c>
      <c r="E652" s="5">
        <f>(D652-D651)/D651</f>
        <v/>
      </c>
    </row>
    <row r="653">
      <c r="A653" t="inlineStr">
        <is>
          <t>2022-08-08</t>
        </is>
      </c>
      <c r="B653" t="n">
        <v>60933</v>
      </c>
      <c r="C653" s="5">
        <f>(B653-B652)/B652</f>
        <v/>
      </c>
      <c r="D653" t="n">
        <v>1256.75</v>
      </c>
      <c r="E653" s="5">
        <f>(D653-D652)/D652</f>
        <v/>
      </c>
    </row>
    <row r="654">
      <c r="A654" t="inlineStr">
        <is>
          <t>2022-08-09</t>
        </is>
      </c>
      <c r="B654" t="n">
        <v>61320</v>
      </c>
      <c r="C654" s="5">
        <f>(B654-B653)/B653</f>
        <v/>
      </c>
      <c r="D654" t="n">
        <v>1258.85</v>
      </c>
      <c r="E654" s="5">
        <f>(D654-D653)/D653</f>
        <v/>
      </c>
    </row>
    <row r="655">
      <c r="A655" t="inlineStr">
        <is>
          <t>2022-08-10</t>
        </is>
      </c>
      <c r="B655" t="n">
        <v>61611</v>
      </c>
      <c r="C655" s="5">
        <f>(B655-B654)/B654</f>
        <v/>
      </c>
      <c r="D655" t="n">
        <v>1256.5</v>
      </c>
      <c r="E655" s="5">
        <f>(D655-D654)/D654</f>
        <v/>
      </c>
    </row>
    <row r="656">
      <c r="A656" t="inlineStr">
        <is>
          <t>2022-08-11</t>
        </is>
      </c>
      <c r="B656" t="n">
        <v>61029</v>
      </c>
      <c r="C656" s="5">
        <f>(B656-B655)/B655</f>
        <v/>
      </c>
      <c r="D656" t="n">
        <v>1252.07</v>
      </c>
      <c r="E656" s="5">
        <f>(D656-D655)/D655</f>
        <v/>
      </c>
    </row>
    <row r="657">
      <c r="A657" t="inlineStr">
        <is>
          <t>2022-08-12</t>
        </is>
      </c>
      <c r="B657" t="n">
        <v>61029</v>
      </c>
      <c r="C657" s="5">
        <f>(B657-B656)/B656</f>
        <v/>
      </c>
      <c r="D657" t="n">
        <v>1262.33</v>
      </c>
      <c r="E657" s="5">
        <f>(D657-D656)/D656</f>
        <v/>
      </c>
    </row>
    <row r="658">
      <c r="A658" t="inlineStr">
        <is>
          <t>2022-08-15</t>
        </is>
      </c>
      <c r="B658" t="n">
        <v>62967</v>
      </c>
      <c r="C658" s="5">
        <f>(B658-B657)/B657</f>
        <v/>
      </c>
      <c r="D658" t="n">
        <v>1274.2</v>
      </c>
      <c r="E658" s="5">
        <f>(D658-D657)/D657</f>
        <v/>
      </c>
    </row>
    <row r="659">
      <c r="A659" t="inlineStr">
        <is>
          <t>2022-08-16</t>
        </is>
      </c>
      <c r="B659" t="n">
        <v>63936</v>
      </c>
      <c r="C659" s="5">
        <f>(B659-B658)/B658</f>
        <v/>
      </c>
      <c r="D659" t="n">
        <v>1274.69</v>
      </c>
      <c r="E659" s="5">
        <f>(D659-D658)/D658</f>
        <v/>
      </c>
    </row>
    <row r="660">
      <c r="A660" t="inlineStr">
        <is>
          <t>2022-08-17</t>
        </is>
      </c>
      <c r="B660" t="n">
        <v>62967</v>
      </c>
      <c r="C660" s="5">
        <f>(B660-B659)/B659</f>
        <v/>
      </c>
      <c r="D660" t="n">
        <v>1275.28</v>
      </c>
      <c r="E660" s="5">
        <f>(D660-D659)/D659</f>
        <v/>
      </c>
    </row>
    <row r="661">
      <c r="A661" t="inlineStr">
        <is>
          <t>2022-08-18</t>
        </is>
      </c>
      <c r="B661" t="n">
        <v>62483</v>
      </c>
      <c r="C661" s="5">
        <f>(B661-B660)/B660</f>
        <v/>
      </c>
      <c r="D661" t="n">
        <v>1273.66</v>
      </c>
      <c r="E661" s="5">
        <f>(D661-D660)/D660</f>
        <v/>
      </c>
    </row>
    <row r="662">
      <c r="A662" t="inlineStr">
        <is>
          <t>2022-08-19</t>
        </is>
      </c>
      <c r="B662" t="n">
        <v>62095</v>
      </c>
      <c r="C662" s="5">
        <f>(B662-B661)/B661</f>
        <v/>
      </c>
      <c r="D662" t="n">
        <v>1269.18</v>
      </c>
      <c r="E662" s="5">
        <f>(D662-D661)/D661</f>
        <v/>
      </c>
    </row>
    <row r="663">
      <c r="A663" t="inlineStr">
        <is>
          <t>2022-08-22</t>
        </is>
      </c>
      <c r="B663" t="n">
        <v>64420</v>
      </c>
      <c r="C663" s="5">
        <f>(B663-B662)/B662</f>
        <v/>
      </c>
      <c r="D663" t="n">
        <v>1260.43</v>
      </c>
      <c r="E663" s="5">
        <f>(D663-D662)/D662</f>
        <v/>
      </c>
    </row>
    <row r="664">
      <c r="A664" t="inlineStr">
        <is>
          <t>2022-08-23</t>
        </is>
      </c>
      <c r="B664" t="n">
        <v>64807</v>
      </c>
      <c r="C664" s="5">
        <f>(B664-B663)/B663</f>
        <v/>
      </c>
      <c r="D664" t="n">
        <v>1270.81</v>
      </c>
      <c r="E664" s="5">
        <f>(D664-D663)/D663</f>
        <v/>
      </c>
    </row>
    <row r="665">
      <c r="A665" t="inlineStr">
        <is>
          <t>2022-08-24</t>
        </is>
      </c>
      <c r="B665" t="n">
        <v>64711</v>
      </c>
      <c r="C665" s="5">
        <f>(B665-B664)/B664</f>
        <v/>
      </c>
      <c r="D665" t="n">
        <v>1277.16</v>
      </c>
      <c r="E665" s="5">
        <f>(D665-D664)/D664</f>
        <v/>
      </c>
    </row>
    <row r="666">
      <c r="A666" t="inlineStr">
        <is>
          <t>2022-08-25</t>
        </is>
      </c>
      <c r="B666" t="n">
        <v>66261</v>
      </c>
      <c r="C666" s="5">
        <f>(B666-B665)/B665</f>
        <v/>
      </c>
      <c r="D666" t="n">
        <v>1288.88</v>
      </c>
      <c r="E666" s="5">
        <f>(D666-D665)/D665</f>
        <v/>
      </c>
    </row>
    <row r="667">
      <c r="A667" t="inlineStr">
        <is>
          <t>2022-08-26</t>
        </is>
      </c>
      <c r="B667" t="n">
        <v>69942</v>
      </c>
      <c r="C667" s="5">
        <f>(B667-B666)/B666</f>
        <v/>
      </c>
      <c r="D667" t="n">
        <v>1282.57</v>
      </c>
      <c r="E667" s="5">
        <f>(D667-D666)/D666</f>
        <v/>
      </c>
    </row>
    <row r="668">
      <c r="A668" t="inlineStr">
        <is>
          <t>2022-08-29</t>
        </is>
      </c>
      <c r="B668" t="n">
        <v>71685</v>
      </c>
      <c r="C668" s="5">
        <f>(B668-B667)/B667</f>
        <v/>
      </c>
      <c r="D668" t="n">
        <v>1270.8</v>
      </c>
      <c r="E668" s="5">
        <f>(D668-D667)/D667</f>
        <v/>
      </c>
    </row>
    <row r="669">
      <c r="A669" t="inlineStr">
        <is>
          <t>2022-08-30</t>
        </is>
      </c>
      <c r="B669" t="n">
        <v>71007</v>
      </c>
      <c r="C669" s="5">
        <f>(B669-B668)/B668</f>
        <v/>
      </c>
      <c r="D669" t="n">
        <v>1279.39</v>
      </c>
      <c r="E669" s="5">
        <f>(D669-D668)/D668</f>
        <v/>
      </c>
    </row>
    <row r="670">
      <c r="A670" t="inlineStr">
        <is>
          <t>2022-08-31</t>
        </is>
      </c>
      <c r="B670" t="n">
        <v>71685</v>
      </c>
      <c r="C670" s="5">
        <f>(B670-B669)/B669</f>
        <v/>
      </c>
      <c r="D670" t="n">
        <v>1280.51</v>
      </c>
      <c r="E670" s="5">
        <f>(D670-D669)/D669</f>
        <v/>
      </c>
    </row>
    <row r="671">
      <c r="A671" t="inlineStr">
        <is>
          <t>2022-09-05</t>
        </is>
      </c>
      <c r="B671" t="n">
        <v>70232</v>
      </c>
      <c r="C671" s="5">
        <f>(B671-B670)/B670</f>
        <v/>
      </c>
      <c r="D671" t="n">
        <v>1277.35</v>
      </c>
      <c r="E671" s="5">
        <f>(D671-D670)/D670</f>
        <v/>
      </c>
    </row>
    <row r="672">
      <c r="A672" t="inlineStr">
        <is>
          <t>2022-09-06</t>
        </is>
      </c>
      <c r="B672" t="n">
        <v>70620</v>
      </c>
      <c r="C672" s="5">
        <f>(B672-B671)/B671</f>
        <v/>
      </c>
      <c r="D672" t="n">
        <v>1277.4</v>
      </c>
      <c r="E672" s="5">
        <f>(D672-D671)/D671</f>
        <v/>
      </c>
    </row>
    <row r="673">
      <c r="A673" t="inlineStr">
        <is>
          <t>2022-09-07</t>
        </is>
      </c>
      <c r="B673" t="n">
        <v>68489</v>
      </c>
      <c r="C673" s="5">
        <f>(B673-B672)/B672</f>
        <v/>
      </c>
      <c r="D673" t="n">
        <v>1243.17</v>
      </c>
      <c r="E673" s="5">
        <f>(D673-D672)/D672</f>
        <v/>
      </c>
    </row>
    <row r="674">
      <c r="A674" t="inlineStr">
        <is>
          <t>2022-09-08</t>
        </is>
      </c>
      <c r="B674" t="n">
        <v>69264</v>
      </c>
      <c r="C674" s="5">
        <f>(B674-B673)/B673</f>
        <v/>
      </c>
      <c r="D674" t="n">
        <v>1234.6</v>
      </c>
      <c r="E674" s="5">
        <f>(D674-D673)/D673</f>
        <v/>
      </c>
    </row>
    <row r="675">
      <c r="A675" t="inlineStr">
        <is>
          <t>2022-09-09</t>
        </is>
      </c>
      <c r="B675" t="n">
        <v>69748</v>
      </c>
      <c r="C675" s="5">
        <f>(B675-B674)/B674</f>
        <v/>
      </c>
      <c r="D675" t="n">
        <v>1248.78</v>
      </c>
      <c r="E675" s="5">
        <f>(D675-D674)/D674</f>
        <v/>
      </c>
    </row>
    <row r="676">
      <c r="A676" t="inlineStr">
        <is>
          <t>2022-09-12</t>
        </is>
      </c>
      <c r="B676" t="n">
        <v>71685</v>
      </c>
      <c r="C676" s="5">
        <f>(B676-B675)/B675</f>
        <v/>
      </c>
      <c r="D676" t="n">
        <v>1249.62</v>
      </c>
      <c r="E676" s="5">
        <f>(D676-D675)/D675</f>
        <v/>
      </c>
    </row>
    <row r="677">
      <c r="A677" t="inlineStr">
        <is>
          <t>2022-09-13</t>
        </is>
      </c>
      <c r="B677" t="n">
        <v>71782</v>
      </c>
      <c r="C677" s="5">
        <f>(B677-B676)/B676</f>
        <v/>
      </c>
      <c r="D677" t="n">
        <v>1248.4</v>
      </c>
      <c r="E677" s="5">
        <f>(D677-D676)/D676</f>
        <v/>
      </c>
    </row>
    <row r="678">
      <c r="A678" t="inlineStr">
        <is>
          <t>2022-09-14</t>
        </is>
      </c>
      <c r="B678" t="n">
        <v>71395</v>
      </c>
      <c r="C678" s="5">
        <f>(B678-B677)/B677</f>
        <v/>
      </c>
      <c r="D678" t="n">
        <v>1240.77</v>
      </c>
      <c r="E678" s="5">
        <f>(D678-D677)/D677</f>
        <v/>
      </c>
    </row>
    <row r="679">
      <c r="A679" t="inlineStr">
        <is>
          <t>2022-09-15</t>
        </is>
      </c>
      <c r="B679" t="n">
        <v>71588</v>
      </c>
      <c r="C679" s="5">
        <f>(B679-B678)/B678</f>
        <v/>
      </c>
      <c r="D679" t="n">
        <v>1245.66</v>
      </c>
      <c r="E679" s="5">
        <f>(D679-D678)/D678</f>
        <v/>
      </c>
    </row>
    <row r="680">
      <c r="A680" t="inlineStr">
        <is>
          <t>2022-09-16</t>
        </is>
      </c>
      <c r="B680" t="n">
        <v>69748</v>
      </c>
      <c r="C680" s="5">
        <f>(B680-B679)/B679</f>
        <v/>
      </c>
      <c r="D680" t="n">
        <v>1234.03</v>
      </c>
      <c r="E680" s="5">
        <f>(D680-D679)/D679</f>
        <v/>
      </c>
    </row>
    <row r="681">
      <c r="A681" t="inlineStr">
        <is>
          <t>2022-09-19</t>
        </is>
      </c>
      <c r="B681" t="n">
        <v>68295</v>
      </c>
      <c r="C681" s="5">
        <f>(B681-B680)/B680</f>
        <v/>
      </c>
      <c r="D681" t="n">
        <v>1205.43</v>
      </c>
      <c r="E681" s="5">
        <f>(D681-D680)/D680</f>
        <v/>
      </c>
    </row>
    <row r="682">
      <c r="A682" t="inlineStr">
        <is>
          <t>2022-09-20</t>
        </is>
      </c>
      <c r="B682" t="n">
        <v>69457</v>
      </c>
      <c r="C682" s="5">
        <f>(B682-B681)/B681</f>
        <v/>
      </c>
      <c r="D682" t="n">
        <v>1218.93</v>
      </c>
      <c r="E682" s="5">
        <f>(D682-D681)/D681</f>
        <v/>
      </c>
    </row>
    <row r="683">
      <c r="A683" t="inlineStr">
        <is>
          <t>2022-09-21</t>
        </is>
      </c>
      <c r="B683" t="n">
        <v>67810</v>
      </c>
      <c r="C683" s="5">
        <f>(B683-B682)/B682</f>
        <v/>
      </c>
      <c r="D683" t="n">
        <v>1210.55</v>
      </c>
      <c r="E683" s="5">
        <f>(D683-D682)/D682</f>
        <v/>
      </c>
    </row>
    <row r="684">
      <c r="A684" t="inlineStr">
        <is>
          <t>2022-09-22</t>
        </is>
      </c>
      <c r="B684" t="n">
        <v>67907</v>
      </c>
      <c r="C684" s="5">
        <f>(B684-B683)/B683</f>
        <v/>
      </c>
      <c r="D684" t="n">
        <v>1214.7</v>
      </c>
      <c r="E684" s="5">
        <f>(D684-D683)/D683</f>
        <v/>
      </c>
    </row>
    <row r="685">
      <c r="A685" t="inlineStr">
        <is>
          <t>2022-09-23</t>
        </is>
      </c>
      <c r="B685" t="n">
        <v>67229</v>
      </c>
      <c r="C685" s="5">
        <f>(B685-B684)/B684</f>
        <v/>
      </c>
      <c r="D685" t="n">
        <v>1203.28</v>
      </c>
      <c r="E685" s="5">
        <f>(D685-D684)/D684</f>
        <v/>
      </c>
    </row>
    <row r="686">
      <c r="A686" t="inlineStr">
        <is>
          <t>2022-09-26</t>
        </is>
      </c>
      <c r="B686" t="n">
        <v>65873</v>
      </c>
      <c r="C686" s="5">
        <f>(B686-B685)/B685</f>
        <v/>
      </c>
      <c r="D686" t="n">
        <v>1174.35</v>
      </c>
      <c r="E686" s="5">
        <f>(D686-D685)/D685</f>
        <v/>
      </c>
    </row>
    <row r="687">
      <c r="A687" t="inlineStr">
        <is>
          <t>2022-09-27</t>
        </is>
      </c>
      <c r="B687" t="n">
        <v>65001.00000000001</v>
      </c>
      <c r="C687" s="5">
        <f>(B687-B686)/B686</f>
        <v/>
      </c>
      <c r="D687" t="n">
        <v>1166.54</v>
      </c>
      <c r="E687" s="5">
        <f>(D687-D686)/D686</f>
        <v/>
      </c>
    </row>
    <row r="688">
      <c r="A688" t="inlineStr">
        <is>
          <t>2022-09-28</t>
        </is>
      </c>
      <c r="B688" t="n">
        <v>62967</v>
      </c>
      <c r="C688" s="5">
        <f>(B688-B687)/B687</f>
        <v/>
      </c>
      <c r="D688" t="n">
        <v>1143.62</v>
      </c>
      <c r="E688" s="5">
        <f>(D688-D687)/D687</f>
        <v/>
      </c>
    </row>
    <row r="689">
      <c r="A689" t="inlineStr">
        <is>
          <t>2022-09-29</t>
        </is>
      </c>
      <c r="B689" t="n">
        <v>61998</v>
      </c>
      <c r="C689" s="5">
        <f>(B689-B688)/B688</f>
        <v/>
      </c>
      <c r="D689" t="n">
        <v>1126.07</v>
      </c>
      <c r="E689" s="5">
        <f>(D689-D688)/D688</f>
        <v/>
      </c>
    </row>
    <row r="690">
      <c r="A690" t="inlineStr">
        <is>
          <t>2022-09-30</t>
        </is>
      </c>
      <c r="B690" t="n">
        <v>61998</v>
      </c>
      <c r="C690" s="5">
        <f>(B690-B689)/B689</f>
        <v/>
      </c>
      <c r="D690" t="n">
        <v>1132.11</v>
      </c>
      <c r="E690" s="5">
        <f>(D690-D689)/D689</f>
        <v/>
      </c>
    </row>
    <row r="691">
      <c r="A691" t="inlineStr">
        <is>
          <t>2022-10-03</t>
        </is>
      </c>
      <c r="B691" t="n">
        <v>57736</v>
      </c>
      <c r="C691" s="5">
        <f>(B691-B690)/B690</f>
        <v/>
      </c>
      <c r="D691" t="n">
        <v>1086.44</v>
      </c>
      <c r="E691" s="5">
        <f>(D691-D690)/D690</f>
        <v/>
      </c>
    </row>
    <row r="692">
      <c r="A692" t="inlineStr">
        <is>
          <t>2022-10-04</t>
        </is>
      </c>
      <c r="B692" t="n">
        <v>59092</v>
      </c>
      <c r="C692" s="5">
        <f>(B692-B691)/B691</f>
        <v/>
      </c>
      <c r="D692" t="n">
        <v>1078.14</v>
      </c>
      <c r="E692" s="5">
        <f>(D692-D691)/D691</f>
        <v/>
      </c>
    </row>
    <row r="693">
      <c r="A693" t="inlineStr">
        <is>
          <t>2022-10-05</t>
        </is>
      </c>
      <c r="B693" t="n">
        <v>60254</v>
      </c>
      <c r="C693" s="5">
        <f>(B693-B692)/B692</f>
        <v/>
      </c>
      <c r="D693" t="n">
        <v>1104.26</v>
      </c>
      <c r="E693" s="5">
        <f>(D693-D692)/D692</f>
        <v/>
      </c>
    </row>
    <row r="694">
      <c r="A694" t="inlineStr">
        <is>
          <t>2022-10-06</t>
        </is>
      </c>
      <c r="B694" t="n">
        <v>56186</v>
      </c>
      <c r="C694" s="5">
        <f>(B694-B693)/B693</f>
        <v/>
      </c>
      <c r="D694" t="n">
        <v>1074.52</v>
      </c>
      <c r="E694" s="5">
        <f>(D694-D693)/D693</f>
        <v/>
      </c>
    </row>
    <row r="695">
      <c r="A695" t="inlineStr">
        <is>
          <t>2022-10-07</t>
        </is>
      </c>
      <c r="B695" t="n">
        <v>52311</v>
      </c>
      <c r="C695" s="5">
        <f>(B695-B694)/B694</f>
        <v/>
      </c>
      <c r="D695" t="n">
        <v>1035.91</v>
      </c>
      <c r="E695" s="5">
        <f>(D695-D694)/D694</f>
        <v/>
      </c>
    </row>
    <row r="696">
      <c r="A696" t="inlineStr">
        <is>
          <t>2022-10-10</t>
        </is>
      </c>
      <c r="B696" t="n">
        <v>55314</v>
      </c>
      <c r="C696" s="5">
        <f>(B696-B695)/B695</f>
        <v/>
      </c>
      <c r="D696" t="n">
        <v>1042.48</v>
      </c>
      <c r="E696" s="5">
        <f>(D696-D695)/D695</f>
        <v/>
      </c>
    </row>
    <row r="697">
      <c r="A697" t="inlineStr">
        <is>
          <t>2022-10-11</t>
        </is>
      </c>
      <c r="B697" t="n">
        <v>53667</v>
      </c>
      <c r="C697" s="5">
        <f>(B697-B696)/B696</f>
        <v/>
      </c>
      <c r="D697" t="n">
        <v>1006.2</v>
      </c>
      <c r="E697" s="5">
        <f>(D697-D696)/D696</f>
        <v/>
      </c>
    </row>
    <row r="698">
      <c r="A698" t="inlineStr">
        <is>
          <t>2022-10-12</t>
        </is>
      </c>
      <c r="B698" t="n">
        <v>55701</v>
      </c>
      <c r="C698" s="5">
        <f>(B698-B697)/B697</f>
        <v/>
      </c>
      <c r="D698" t="n">
        <v>1034.81</v>
      </c>
      <c r="E698" s="5">
        <f>(D698-D697)/D697</f>
        <v/>
      </c>
    </row>
    <row r="699">
      <c r="A699" t="inlineStr">
        <is>
          <t>2022-10-13</t>
        </is>
      </c>
      <c r="B699" t="n">
        <v>55798</v>
      </c>
      <c r="C699" s="5">
        <f>(B699-B698)/B698</f>
        <v/>
      </c>
      <c r="D699" t="n">
        <v>1050.99</v>
      </c>
      <c r="E699" s="5">
        <f>(D699-D698)/D698</f>
        <v/>
      </c>
    </row>
    <row r="700">
      <c r="A700" t="inlineStr">
        <is>
          <t>2022-10-14</t>
        </is>
      </c>
      <c r="B700" t="n">
        <v>58026</v>
      </c>
      <c r="C700" s="5">
        <f>(B700-B699)/B699</f>
        <v/>
      </c>
      <c r="D700" t="n">
        <v>1061.85</v>
      </c>
      <c r="E700" s="5">
        <f>(D700-D699)/D699</f>
        <v/>
      </c>
    </row>
    <row r="701">
      <c r="A701" t="inlineStr">
        <is>
          <t>2022-10-17</t>
        </is>
      </c>
      <c r="B701" t="n">
        <v>57058</v>
      </c>
      <c r="C701" s="5">
        <f>(B701-B700)/B700</f>
        <v/>
      </c>
      <c r="D701" t="n">
        <v>1051.58</v>
      </c>
      <c r="E701" s="5">
        <f>(D701-D700)/D700</f>
        <v/>
      </c>
    </row>
    <row r="702">
      <c r="A702" t="inlineStr">
        <is>
          <t>2022-10-18</t>
        </is>
      </c>
      <c r="B702" t="n">
        <v>57155</v>
      </c>
      <c r="C702" s="5">
        <f>(B702-B701)/B701</f>
        <v/>
      </c>
      <c r="D702" t="n">
        <v>1063.66</v>
      </c>
      <c r="E702" s="5">
        <f>(D702-D701)/D701</f>
        <v/>
      </c>
    </row>
    <row r="703">
      <c r="A703" t="inlineStr">
        <is>
          <t>2022-10-19</t>
        </is>
      </c>
      <c r="B703" t="n">
        <v>57155</v>
      </c>
      <c r="C703" s="5">
        <f>(B703-B702)/B702</f>
        <v/>
      </c>
      <c r="D703" t="n">
        <v>1060.07</v>
      </c>
      <c r="E703" s="5">
        <f>(D703-D702)/D702</f>
        <v/>
      </c>
    </row>
    <row r="704">
      <c r="A704" t="inlineStr">
        <is>
          <t>2022-10-20</t>
        </is>
      </c>
      <c r="B704" t="n">
        <v>56573</v>
      </c>
      <c r="C704" s="5">
        <f>(B704-B703)/B703</f>
        <v/>
      </c>
      <c r="D704" t="n">
        <v>1058.45</v>
      </c>
      <c r="E704" s="5">
        <f>(D704-D703)/D703</f>
        <v/>
      </c>
    </row>
    <row r="705">
      <c r="A705" t="inlineStr">
        <is>
          <t>2022-10-21</t>
        </is>
      </c>
      <c r="B705" t="n">
        <v>52698</v>
      </c>
      <c r="C705" s="5">
        <f>(B705-B704)/B704</f>
        <v/>
      </c>
      <c r="D705" t="n">
        <v>1019.82</v>
      </c>
      <c r="E705" s="5">
        <f>(D705-D704)/D704</f>
        <v/>
      </c>
    </row>
    <row r="706">
      <c r="A706" t="inlineStr">
        <is>
          <t>2022-10-24</t>
        </is>
      </c>
      <c r="B706" t="n">
        <v>49017</v>
      </c>
      <c r="C706" s="5">
        <f>(B706-B705)/B705</f>
        <v/>
      </c>
      <c r="D706" t="n">
        <v>986.15</v>
      </c>
      <c r="E706" s="5">
        <f>(D706-D705)/D705</f>
        <v/>
      </c>
    </row>
    <row r="707">
      <c r="A707" t="inlineStr">
        <is>
          <t>2022-10-25</t>
        </is>
      </c>
      <c r="B707" t="n">
        <v>50373</v>
      </c>
      <c r="C707" s="5">
        <f>(B707-B706)/B706</f>
        <v/>
      </c>
      <c r="D707" t="n">
        <v>997.7</v>
      </c>
      <c r="E707" s="5">
        <f>(D707-D706)/D706</f>
        <v/>
      </c>
    </row>
    <row r="708">
      <c r="A708" t="inlineStr">
        <is>
          <t>2022-10-26</t>
        </is>
      </c>
      <c r="B708" t="n">
        <v>50277</v>
      </c>
      <c r="C708" s="5">
        <f>(B708-B707)/B707</f>
        <v/>
      </c>
      <c r="D708" t="n">
        <v>993.36</v>
      </c>
      <c r="E708" s="5">
        <f>(D708-D707)/D707</f>
        <v/>
      </c>
    </row>
    <row r="709">
      <c r="A709" t="inlineStr">
        <is>
          <t>2022-10-27</t>
        </is>
      </c>
      <c r="B709" t="n">
        <v>51633</v>
      </c>
      <c r="C709" s="5">
        <f>(B709-B708)/B708</f>
        <v/>
      </c>
      <c r="D709" t="n">
        <v>1028.01</v>
      </c>
      <c r="E709" s="5">
        <f>(D709-D708)/D708</f>
        <v/>
      </c>
    </row>
    <row r="710">
      <c r="A710" t="inlineStr">
        <is>
          <t>2022-10-28</t>
        </is>
      </c>
      <c r="B710" t="n">
        <v>51536</v>
      </c>
      <c r="C710" s="5">
        <f>(B710-B709)/B709</f>
        <v/>
      </c>
      <c r="D710" t="n">
        <v>1027.36</v>
      </c>
      <c r="E710" s="5">
        <f>(D710-D709)/D709</f>
        <v/>
      </c>
    </row>
    <row r="711">
      <c r="A711" t="inlineStr">
        <is>
          <t>2022-10-31</t>
        </is>
      </c>
      <c r="B711" t="n">
        <v>49986</v>
      </c>
      <c r="C711" s="5">
        <f>(B711-B710)/B710</f>
        <v/>
      </c>
      <c r="D711" t="n">
        <v>1027.94</v>
      </c>
      <c r="E711" s="5">
        <f>(D711-D710)/D710</f>
        <v/>
      </c>
    </row>
    <row r="712">
      <c r="A712" t="inlineStr">
        <is>
          <t>2022-11-01</t>
        </is>
      </c>
      <c r="B712" t="n">
        <v>48533</v>
      </c>
      <c r="C712" s="5">
        <f>(B712-B711)/B711</f>
        <v/>
      </c>
      <c r="D712" t="n">
        <v>1033.75</v>
      </c>
      <c r="E712" s="5">
        <f>(D712-D711)/D711</f>
        <v/>
      </c>
    </row>
    <row r="713">
      <c r="A713" t="inlineStr">
        <is>
          <t>2022-11-02</t>
        </is>
      </c>
      <c r="B713" t="n">
        <v>46499</v>
      </c>
      <c r="C713" s="5">
        <f>(B713-B712)/B712</f>
        <v/>
      </c>
      <c r="D713" t="n">
        <v>1023.19</v>
      </c>
      <c r="E713" s="5">
        <f>(D713-D712)/D712</f>
        <v/>
      </c>
    </row>
    <row r="714">
      <c r="A714" t="inlineStr">
        <is>
          <t>2022-11-03</t>
        </is>
      </c>
      <c r="B714" t="n">
        <v>47952</v>
      </c>
      <c r="C714" s="5">
        <f>(B714-B713)/B713</f>
        <v/>
      </c>
      <c r="D714" t="n">
        <v>1019.81</v>
      </c>
      <c r="E714" s="5">
        <f>(D714-D713)/D713</f>
        <v/>
      </c>
    </row>
    <row r="715">
      <c r="A715" t="inlineStr">
        <is>
          <t>2022-11-04</t>
        </is>
      </c>
      <c r="B715" t="n">
        <v>44610</v>
      </c>
      <c r="C715" s="5">
        <f>(B715-B714)/B714</f>
        <v/>
      </c>
      <c r="D715" t="n">
        <v>997.15</v>
      </c>
      <c r="E715" s="5">
        <f>(D715-D714)/D714</f>
        <v/>
      </c>
    </row>
    <row r="716">
      <c r="A716" t="inlineStr">
        <is>
          <t>2022-11-07</t>
        </is>
      </c>
      <c r="B716" t="n">
        <v>41510</v>
      </c>
      <c r="C716" s="5">
        <f>(B716-B715)/B715</f>
        <v/>
      </c>
      <c r="D716" t="n">
        <v>975.1900000000001</v>
      </c>
      <c r="E716" s="5">
        <f>(D716-D715)/D715</f>
        <v/>
      </c>
    </row>
    <row r="717">
      <c r="A717" t="inlineStr">
        <is>
          <t>2022-11-08</t>
        </is>
      </c>
      <c r="B717" t="n">
        <v>43205</v>
      </c>
      <c r="C717" s="5">
        <f>(B717-B716)/B716</f>
        <v/>
      </c>
      <c r="D717" t="n">
        <v>981.65</v>
      </c>
      <c r="E717" s="5">
        <f>(D717-D716)/D716</f>
        <v/>
      </c>
    </row>
    <row r="718">
      <c r="A718" t="inlineStr">
        <is>
          <t>2022-11-09</t>
        </is>
      </c>
      <c r="B718" t="n">
        <v>44077</v>
      </c>
      <c r="C718" s="5">
        <f>(B718-B717)/B717</f>
        <v/>
      </c>
      <c r="D718" t="n">
        <v>985.59</v>
      </c>
      <c r="E718" s="5">
        <f>(D718-D717)/D717</f>
        <v/>
      </c>
    </row>
    <row r="719">
      <c r="A719" t="inlineStr">
        <is>
          <t>2022-11-10</t>
        </is>
      </c>
      <c r="B719" t="n">
        <v>41025</v>
      </c>
      <c r="C719" s="5">
        <f>(B719-B718)/B718</f>
        <v/>
      </c>
      <c r="D719" t="n">
        <v>947.24</v>
      </c>
      <c r="E719" s="5">
        <f>(D719-D718)/D718</f>
        <v/>
      </c>
    </row>
    <row r="720">
      <c r="A720" t="inlineStr">
        <is>
          <t>2022-11-11</t>
        </is>
      </c>
      <c r="B720" t="n">
        <v>41655</v>
      </c>
      <c r="C720" s="5">
        <f>(B720-B719)/B719</f>
        <v/>
      </c>
      <c r="D720" t="n">
        <v>954.53</v>
      </c>
      <c r="E720" s="5">
        <f>(D720-D719)/D719</f>
        <v/>
      </c>
    </row>
    <row r="721">
      <c r="A721" t="inlineStr">
        <is>
          <t>2022-11-14</t>
        </is>
      </c>
      <c r="B721" t="n">
        <v>39379</v>
      </c>
      <c r="C721" s="5">
        <f>(B721-B720)/B720</f>
        <v/>
      </c>
      <c r="D721" t="n">
        <v>941.04</v>
      </c>
      <c r="E721" s="5">
        <f>(D721-D720)/D720</f>
        <v/>
      </c>
    </row>
    <row r="722">
      <c r="A722" t="inlineStr">
        <is>
          <t>2022-11-15</t>
        </is>
      </c>
      <c r="B722" t="n">
        <v>36666</v>
      </c>
      <c r="C722" s="5">
        <f>(B722-B721)/B721</f>
        <v/>
      </c>
      <c r="D722" t="n">
        <v>911.9</v>
      </c>
      <c r="E722" s="5">
        <f>(D722-D721)/D721</f>
        <v/>
      </c>
    </row>
    <row r="723">
      <c r="A723" t="inlineStr">
        <is>
          <t>2022-11-16</t>
        </is>
      </c>
      <c r="B723" t="n">
        <v>39185</v>
      </c>
      <c r="C723" s="5">
        <f>(B723-B722)/B722</f>
        <v/>
      </c>
      <c r="D723" t="n">
        <v>942.9</v>
      </c>
      <c r="E723" s="5">
        <f>(D723-D722)/D722</f>
        <v/>
      </c>
    </row>
    <row r="724">
      <c r="A724" t="inlineStr">
        <is>
          <t>2022-11-17</t>
        </is>
      </c>
      <c r="B724" t="n">
        <v>40493</v>
      </c>
      <c r="C724" s="5">
        <f>(B724-B723)/B723</f>
        <v/>
      </c>
      <c r="D724" t="n">
        <v>969.26</v>
      </c>
      <c r="E724" s="5">
        <f>(D724-D723)/D723</f>
        <v/>
      </c>
    </row>
    <row r="725">
      <c r="A725" t="inlineStr">
        <is>
          <t>2022-11-18</t>
        </is>
      </c>
      <c r="B725" t="n">
        <v>40832</v>
      </c>
      <c r="C725" s="5">
        <f>(B725-B724)/B724</f>
        <v/>
      </c>
      <c r="D725" t="n">
        <v>969.33</v>
      </c>
      <c r="E725" s="5">
        <f>(D725-D724)/D724</f>
        <v/>
      </c>
    </row>
    <row r="726">
      <c r="A726" t="inlineStr">
        <is>
          <t>2022-11-21</t>
        </is>
      </c>
      <c r="B726" t="n">
        <v>39379</v>
      </c>
      <c r="C726" s="5">
        <f>(B726-B725)/B725</f>
        <v/>
      </c>
      <c r="D726" t="n">
        <v>960.65</v>
      </c>
      <c r="E726" s="5">
        <f>(D726-D725)/D725</f>
        <v/>
      </c>
    </row>
    <row r="727">
      <c r="A727" t="inlineStr">
        <is>
          <t>2022-11-22</t>
        </is>
      </c>
      <c r="B727" t="n">
        <v>38943</v>
      </c>
      <c r="C727" s="5">
        <f>(B727-B726)/B726</f>
        <v/>
      </c>
      <c r="D727" t="n">
        <v>952.12</v>
      </c>
      <c r="E727" s="5">
        <f>(D727-D726)/D726</f>
        <v/>
      </c>
    </row>
    <row r="728">
      <c r="A728" t="inlineStr">
        <is>
          <t>2022-11-23</t>
        </is>
      </c>
      <c r="B728" t="n">
        <v>39233</v>
      </c>
      <c r="C728" s="5">
        <f>(B728-B727)/B727</f>
        <v/>
      </c>
      <c r="D728" t="n">
        <v>946</v>
      </c>
      <c r="E728" s="5">
        <f>(D728-D727)/D727</f>
        <v/>
      </c>
    </row>
    <row r="729">
      <c r="A729" t="inlineStr">
        <is>
          <t>2022-11-24</t>
        </is>
      </c>
      <c r="B729" t="n">
        <v>36521</v>
      </c>
      <c r="C729" s="5">
        <f>(B729-B728)/B728</f>
        <v/>
      </c>
      <c r="D729" t="n">
        <v>947.71</v>
      </c>
      <c r="E729" s="5">
        <f>(D729-D728)/D728</f>
        <v/>
      </c>
    </row>
    <row r="730">
      <c r="A730" t="inlineStr">
        <is>
          <t>2022-11-25</t>
        </is>
      </c>
      <c r="B730" t="n">
        <v>36618</v>
      </c>
      <c r="C730" s="5">
        <f>(B730-B729)/B729</f>
        <v/>
      </c>
      <c r="D730" t="n">
        <v>971.46</v>
      </c>
      <c r="E730" s="5">
        <f>(D730-D729)/D729</f>
        <v/>
      </c>
    </row>
    <row r="731">
      <c r="A731" t="inlineStr">
        <is>
          <t>2022-11-28</t>
        </is>
      </c>
      <c r="B731" t="n">
        <v>38894</v>
      </c>
      <c r="C731" s="5">
        <f>(B731-B730)/B730</f>
        <v/>
      </c>
      <c r="D731" t="n">
        <v>1005.69</v>
      </c>
      <c r="E731" s="5">
        <f>(D731-D730)/D730</f>
        <v/>
      </c>
    </row>
    <row r="732">
      <c r="A732" t="inlineStr">
        <is>
          <t>2022-11-29</t>
        </is>
      </c>
      <c r="B732" t="n">
        <v>41461</v>
      </c>
      <c r="C732" s="5">
        <f>(B732-B731)/B731</f>
        <v/>
      </c>
      <c r="D732" t="n">
        <v>1032.16</v>
      </c>
      <c r="E732" s="5">
        <f>(D732-D731)/D731</f>
        <v/>
      </c>
    </row>
    <row r="733">
      <c r="A733" t="inlineStr">
        <is>
          <t>2022-11-30</t>
        </is>
      </c>
      <c r="B733" t="n">
        <v>42721</v>
      </c>
      <c r="C733" s="5">
        <f>(B733-B732)/B732</f>
        <v/>
      </c>
      <c r="D733" t="n">
        <v>1048.42</v>
      </c>
      <c r="E733" s="5">
        <f>(D733-D732)/D732</f>
        <v/>
      </c>
    </row>
    <row r="734">
      <c r="A734" t="inlineStr">
        <is>
          <t>2022-12-01</t>
        </is>
      </c>
      <c r="B734" t="n">
        <v>42672</v>
      </c>
      <c r="C734" s="5">
        <f>(B734-B733)/B733</f>
        <v/>
      </c>
      <c r="D734" t="n">
        <v>1036.28</v>
      </c>
      <c r="E734" s="5">
        <f>(D734-D733)/D733</f>
        <v/>
      </c>
    </row>
    <row r="735">
      <c r="A735" t="inlineStr">
        <is>
          <t>2022-12-02</t>
        </is>
      </c>
      <c r="B735" t="n">
        <v>45530</v>
      </c>
      <c r="C735" s="5">
        <f>(B735-B734)/B734</f>
        <v/>
      </c>
      <c r="D735" t="n">
        <v>1080.01</v>
      </c>
      <c r="E735" s="5">
        <f>(D735-D734)/D734</f>
        <v/>
      </c>
    </row>
    <row r="736">
      <c r="A736" t="inlineStr">
        <is>
          <t>2022-12-05</t>
        </is>
      </c>
      <c r="B736" t="n">
        <v>46111</v>
      </c>
      <c r="C736" s="5">
        <f>(B736-B735)/B735</f>
        <v/>
      </c>
      <c r="D736" t="n">
        <v>1093.67</v>
      </c>
      <c r="E736" s="5">
        <f>(D736-D735)/D735</f>
        <v/>
      </c>
    </row>
    <row r="737">
      <c r="A737" t="inlineStr">
        <is>
          <t>2022-12-06</t>
        </is>
      </c>
      <c r="B737" t="n">
        <v>42963</v>
      </c>
      <c r="C737" s="5">
        <f>(B737-B736)/B736</f>
        <v/>
      </c>
      <c r="D737" t="n">
        <v>1048.69</v>
      </c>
      <c r="E737" s="5">
        <f>(D737-D736)/D736</f>
        <v/>
      </c>
    </row>
    <row r="738">
      <c r="A738" t="inlineStr">
        <is>
          <t>2022-12-07</t>
        </is>
      </c>
      <c r="B738" t="n">
        <v>43447</v>
      </c>
      <c r="C738" s="5">
        <f>(B738-B737)/B737</f>
        <v/>
      </c>
      <c r="D738" t="n">
        <v>1041.02</v>
      </c>
      <c r="E738" s="5">
        <f>(D738-D737)/D737</f>
        <v/>
      </c>
    </row>
    <row r="739">
      <c r="A739" t="inlineStr">
        <is>
          <t>2022-12-08</t>
        </is>
      </c>
      <c r="B739" t="n">
        <v>44561</v>
      </c>
      <c r="C739" s="5">
        <f>(B739-B738)/B738</f>
        <v/>
      </c>
      <c r="D739" t="n">
        <v>1050.53</v>
      </c>
      <c r="E739" s="5">
        <f>(D739-D738)/D738</f>
        <v/>
      </c>
    </row>
    <row r="740">
      <c r="A740" t="inlineStr">
        <is>
          <t>2022-12-09</t>
        </is>
      </c>
      <c r="B740" t="n">
        <v>44755</v>
      </c>
      <c r="C740" s="5">
        <f>(B740-B739)/B739</f>
        <v/>
      </c>
      <c r="D740" t="n">
        <v>1051.81</v>
      </c>
      <c r="E740" s="5">
        <f>(D740-D739)/D739</f>
        <v/>
      </c>
    </row>
    <row r="741">
      <c r="A741" t="inlineStr">
        <is>
          <t>2022-12-12</t>
        </is>
      </c>
      <c r="B741" t="n">
        <v>44464</v>
      </c>
      <c r="C741" s="5">
        <f>(B741-B740)/B740</f>
        <v/>
      </c>
      <c r="D741" t="n">
        <v>1032.07</v>
      </c>
      <c r="E741" s="5">
        <f>(D741-D740)/D740</f>
        <v/>
      </c>
    </row>
    <row r="742">
      <c r="A742" t="inlineStr">
        <is>
          <t>2022-12-13</t>
        </is>
      </c>
      <c r="B742" t="n">
        <v>44949</v>
      </c>
      <c r="C742" s="5">
        <f>(B742-B741)/B741</f>
        <v/>
      </c>
      <c r="D742" t="n">
        <v>1047.45</v>
      </c>
      <c r="E742" s="5">
        <f>(D742-D741)/D741</f>
        <v/>
      </c>
    </row>
    <row r="743">
      <c r="A743" t="inlineStr">
        <is>
          <t>2022-12-14</t>
        </is>
      </c>
      <c r="B743" t="n">
        <v>44997</v>
      </c>
      <c r="C743" s="5">
        <f>(B743-B742)/B742</f>
        <v/>
      </c>
      <c r="D743" t="n">
        <v>1050.43</v>
      </c>
      <c r="E743" s="5">
        <f>(D743-D742)/D742</f>
        <v/>
      </c>
    </row>
    <row r="744">
      <c r="A744" t="inlineStr">
        <is>
          <t>2022-12-15</t>
        </is>
      </c>
      <c r="B744" t="n">
        <v>45530</v>
      </c>
      <c r="C744" s="5">
        <f>(B744-B743)/B743</f>
        <v/>
      </c>
      <c r="D744" t="n">
        <v>1055.32</v>
      </c>
      <c r="E744" s="5">
        <f>(D744-D743)/D743</f>
        <v/>
      </c>
    </row>
    <row r="745">
      <c r="A745" t="inlineStr">
        <is>
          <t>2022-12-16</t>
        </is>
      </c>
      <c r="B745" t="n">
        <v>46353</v>
      </c>
      <c r="C745" s="5">
        <f>(B745-B744)/B744</f>
        <v/>
      </c>
      <c r="D745" t="n">
        <v>1052.48</v>
      </c>
      <c r="E745" s="5">
        <f>(D745-D744)/D744</f>
        <v/>
      </c>
    </row>
    <row r="746">
      <c r="A746" t="inlineStr">
        <is>
          <t>2022-12-19</t>
        </is>
      </c>
      <c r="B746" t="n">
        <v>45675</v>
      </c>
      <c r="C746" s="5">
        <f>(B746-B745)/B745</f>
        <v/>
      </c>
      <c r="D746" t="n">
        <v>1038.4</v>
      </c>
      <c r="E746" s="5">
        <f>(D746-D745)/D745</f>
        <v/>
      </c>
    </row>
    <row r="747">
      <c r="A747" t="inlineStr">
        <is>
          <t>2022-12-20</t>
        </is>
      </c>
      <c r="B747" t="n">
        <v>45046</v>
      </c>
      <c r="C747" s="5">
        <f>(B747-B746)/B746</f>
        <v/>
      </c>
      <c r="D747" t="n">
        <v>1023.13</v>
      </c>
      <c r="E747" s="5">
        <f>(D747-D746)/D746</f>
        <v/>
      </c>
    </row>
    <row r="748">
      <c r="A748" t="inlineStr">
        <is>
          <t>2022-12-21</t>
        </is>
      </c>
      <c r="B748" t="n">
        <v>44949</v>
      </c>
      <c r="C748" s="5">
        <f>(B748-B747)/B747</f>
        <v/>
      </c>
      <c r="D748" t="n">
        <v>1018.88</v>
      </c>
      <c r="E748" s="5">
        <f>(D748-D747)/D747</f>
        <v/>
      </c>
    </row>
    <row r="749">
      <c r="A749" t="inlineStr">
        <is>
          <t>2022-12-22</t>
        </is>
      </c>
      <c r="B749" t="n">
        <v>45046</v>
      </c>
      <c r="C749" s="5">
        <f>(B749-B748)/B748</f>
        <v/>
      </c>
      <c r="D749" t="n">
        <v>1022.61</v>
      </c>
      <c r="E749" s="5">
        <f>(D749-D748)/D748</f>
        <v/>
      </c>
    </row>
    <row r="750">
      <c r="A750" t="inlineStr">
        <is>
          <t>2022-12-23</t>
        </is>
      </c>
      <c r="B750" t="n">
        <v>44367</v>
      </c>
      <c r="C750" s="5">
        <f>(B750-B749)/B749</f>
        <v/>
      </c>
      <c r="D750" t="n">
        <v>1020.34</v>
      </c>
      <c r="E750" s="5">
        <f>(D750-D749)/D749</f>
        <v/>
      </c>
    </row>
    <row r="751">
      <c r="A751" t="inlineStr">
        <is>
          <t>2022-12-26</t>
        </is>
      </c>
      <c r="B751" t="n">
        <v>41268</v>
      </c>
      <c r="C751" s="5">
        <f>(B751-B750)/B750</f>
        <v/>
      </c>
      <c r="D751" t="n">
        <v>985.21</v>
      </c>
      <c r="E751" s="5">
        <f>(D751-D750)/D750</f>
        <v/>
      </c>
    </row>
    <row r="752">
      <c r="A752" t="inlineStr">
        <is>
          <t>2022-12-27</t>
        </is>
      </c>
      <c r="B752" t="n">
        <v>42430</v>
      </c>
      <c r="C752" s="5">
        <f>(B752-B751)/B751</f>
        <v/>
      </c>
      <c r="D752" t="n">
        <v>1004.57</v>
      </c>
      <c r="E752" s="5">
        <f>(D752-D751)/D751</f>
        <v/>
      </c>
    </row>
    <row r="753">
      <c r="A753" t="inlineStr">
        <is>
          <t>2022-12-28</t>
        </is>
      </c>
      <c r="B753" t="n">
        <v>41655</v>
      </c>
      <c r="C753" s="5">
        <f>(B753-B752)/B752</f>
        <v/>
      </c>
      <c r="D753" t="n">
        <v>1015.66</v>
      </c>
      <c r="E753" s="5">
        <f>(D753-D752)/D752</f>
        <v/>
      </c>
    </row>
    <row r="754">
      <c r="A754" t="inlineStr">
        <is>
          <t>2022-12-29</t>
        </is>
      </c>
      <c r="B754" t="n">
        <v>41558</v>
      </c>
      <c r="C754" s="5">
        <f>(B754-B753)/B753</f>
        <v/>
      </c>
      <c r="D754" t="n">
        <v>1009.29</v>
      </c>
      <c r="E754" s="5">
        <f>(D754-D753)/D753</f>
        <v/>
      </c>
    </row>
    <row r="755">
      <c r="A755" t="inlineStr">
        <is>
          <t>2022-12-30</t>
        </is>
      </c>
      <c r="B755" t="n">
        <v>41558</v>
      </c>
      <c r="C755" s="5">
        <f>(B755-B754)/B754</f>
        <v/>
      </c>
      <c r="D755" t="n">
        <v>1007.09</v>
      </c>
      <c r="E755" s="5">
        <f>(D755-D754)/D754</f>
        <v/>
      </c>
    </row>
    <row r="756">
      <c r="A756" t="inlineStr">
        <is>
          <t>2023-01-03</t>
        </is>
      </c>
      <c r="B756" t="n">
        <v>42575</v>
      </c>
      <c r="C756" s="5">
        <f>(B756-B755)/B755</f>
        <v/>
      </c>
      <c r="D756" t="n">
        <v>1043.9</v>
      </c>
      <c r="E756" s="5">
        <f>(D756-D755)/D755</f>
        <v/>
      </c>
    </row>
    <row r="757">
      <c r="A757" t="inlineStr">
        <is>
          <t>2023-01-04</t>
        </is>
      </c>
      <c r="B757" t="n">
        <v>42139</v>
      </c>
      <c r="C757" s="5">
        <f>(B757-B756)/B756</f>
        <v/>
      </c>
      <c r="D757" t="n">
        <v>1046.35</v>
      </c>
      <c r="E757" s="5">
        <f>(D757-D756)/D756</f>
        <v/>
      </c>
    </row>
    <row r="758">
      <c r="A758" t="inlineStr">
        <is>
          <t>2023-01-05</t>
        </is>
      </c>
      <c r="B758" t="n">
        <v>42236</v>
      </c>
      <c r="C758" s="5">
        <f>(B758-B757)/B757</f>
        <v/>
      </c>
      <c r="D758" t="n">
        <v>1055.82</v>
      </c>
      <c r="E758" s="5">
        <f>(D758-D757)/D757</f>
        <v/>
      </c>
    </row>
    <row r="759">
      <c r="A759" t="inlineStr">
        <is>
          <t>2023-01-06</t>
        </is>
      </c>
      <c r="B759" t="n">
        <v>41800</v>
      </c>
      <c r="C759" s="5">
        <f>(B759-B758)/B758</f>
        <v/>
      </c>
      <c r="D759" t="n">
        <v>1051.44</v>
      </c>
      <c r="E759" s="5">
        <f>(D759-D758)/D758</f>
        <v/>
      </c>
    </row>
    <row r="760">
      <c r="A760" t="inlineStr">
        <is>
          <t>2023-01-09</t>
        </is>
      </c>
      <c r="B760" t="n">
        <v>40686</v>
      </c>
      <c r="C760" s="5">
        <f>(B760-B759)/B759</f>
        <v/>
      </c>
      <c r="D760" t="n">
        <v>1054.21</v>
      </c>
      <c r="E760" s="5">
        <f>(D760-D759)/D759</f>
        <v/>
      </c>
    </row>
    <row r="761">
      <c r="A761" t="inlineStr">
        <is>
          <t>2023-01-10</t>
        </is>
      </c>
      <c r="B761" t="n">
        <v>40880</v>
      </c>
      <c r="C761" s="5">
        <f>(B761-B760)/B760</f>
        <v/>
      </c>
      <c r="D761" t="n">
        <v>1053.35</v>
      </c>
      <c r="E761" s="5">
        <f>(D761-D760)/D760</f>
        <v/>
      </c>
    </row>
    <row r="762">
      <c r="A762" t="inlineStr">
        <is>
          <t>2023-01-11</t>
        </is>
      </c>
      <c r="B762" t="n">
        <v>41219</v>
      </c>
      <c r="C762" s="5">
        <f>(B762-B761)/B761</f>
        <v/>
      </c>
      <c r="D762" t="n">
        <v>1055.76</v>
      </c>
      <c r="E762" s="5">
        <f>(D762-D761)/D761</f>
        <v/>
      </c>
    </row>
    <row r="763">
      <c r="A763" t="inlineStr">
        <is>
          <t>2023-01-12</t>
        </is>
      </c>
      <c r="B763" t="n">
        <v>40783</v>
      </c>
      <c r="C763" s="5">
        <f>(B763-B762)/B762</f>
        <v/>
      </c>
      <c r="D763" t="n">
        <v>1056.39</v>
      </c>
      <c r="E763" s="5">
        <f>(D763-D762)/D762</f>
        <v/>
      </c>
    </row>
    <row r="764">
      <c r="A764" t="inlineStr">
        <is>
          <t>2023-01-13</t>
        </is>
      </c>
      <c r="B764" t="n">
        <v>40735</v>
      </c>
      <c r="C764" s="5">
        <f>(B764-B763)/B763</f>
        <v/>
      </c>
      <c r="D764" t="n">
        <v>1060.17</v>
      </c>
      <c r="E764" s="5">
        <f>(D764-D763)/D763</f>
        <v/>
      </c>
    </row>
    <row r="765">
      <c r="A765" t="inlineStr">
        <is>
          <t>2023-01-16</t>
        </is>
      </c>
      <c r="B765" t="n">
        <v>40589</v>
      </c>
      <c r="C765" s="5">
        <f>(B765-B764)/B764</f>
        <v/>
      </c>
      <c r="D765" t="n">
        <v>1066.68</v>
      </c>
      <c r="E765" s="5">
        <f>(D765-D764)/D764</f>
        <v/>
      </c>
    </row>
    <row r="766">
      <c r="A766" t="inlineStr">
        <is>
          <t>2023-01-17</t>
        </is>
      </c>
      <c r="B766" t="n">
        <v>41703</v>
      </c>
      <c r="C766" s="5">
        <f>(B766-B765)/B765</f>
        <v/>
      </c>
      <c r="D766" t="n">
        <v>1088.29</v>
      </c>
      <c r="E766" s="5">
        <f>(D766-D765)/D765</f>
        <v/>
      </c>
    </row>
    <row r="767">
      <c r="A767" t="inlineStr">
        <is>
          <t>2023-01-18</t>
        </is>
      </c>
      <c r="B767" t="n">
        <v>43544</v>
      </c>
      <c r="C767" s="5">
        <f>(B767-B766)/B766</f>
        <v/>
      </c>
      <c r="D767" t="n">
        <v>1098.28</v>
      </c>
      <c r="E767" s="5">
        <f>(D767-D766)/D766</f>
        <v/>
      </c>
    </row>
    <row r="768">
      <c r="A768" t="inlineStr">
        <is>
          <t>2023-01-19</t>
        </is>
      </c>
      <c r="B768" t="n">
        <v>44174</v>
      </c>
      <c r="C768" s="5">
        <f>(B768-B767)/B767</f>
        <v/>
      </c>
      <c r="D768" t="n">
        <v>1108.08</v>
      </c>
      <c r="E768" s="5">
        <f>(D768-D767)/D767</f>
        <v/>
      </c>
    </row>
    <row r="769">
      <c r="A769" t="inlineStr">
        <is>
          <t>2023-01-27</t>
        </is>
      </c>
      <c r="B769" t="n">
        <v>44464</v>
      </c>
      <c r="C769" s="5">
        <f>(B769-B768)/B768</f>
        <v/>
      </c>
      <c r="D769" t="n">
        <v>1117.1</v>
      </c>
      <c r="E769" s="5">
        <f>(D769-D768)/D768</f>
        <v/>
      </c>
    </row>
    <row r="770">
      <c r="A770" t="inlineStr">
        <is>
          <t>2023-01-30</t>
        </is>
      </c>
      <c r="B770" t="n">
        <v>44755</v>
      </c>
      <c r="C770" s="5">
        <f>(B770-B769)/B769</f>
        <v/>
      </c>
      <c r="D770" t="n">
        <v>1102.57</v>
      </c>
      <c r="E770" s="5">
        <f>(D770-D769)/D769</f>
        <v/>
      </c>
    </row>
    <row r="771">
      <c r="A771" t="inlineStr">
        <is>
          <t>2023-01-31</t>
        </is>
      </c>
      <c r="B771" t="n">
        <v>45046</v>
      </c>
      <c r="C771" s="5">
        <f>(B771-B770)/B770</f>
        <v/>
      </c>
      <c r="D771" t="n">
        <v>1111.18</v>
      </c>
      <c r="E771" s="5">
        <f>(D771-D770)/D770</f>
        <v/>
      </c>
    </row>
    <row r="772">
      <c r="A772" t="inlineStr">
        <is>
          <t>2023-02-01</t>
        </is>
      </c>
      <c r="B772" t="n">
        <v>45627</v>
      </c>
      <c r="C772" s="5">
        <f>(B772-B771)/B771</f>
        <v/>
      </c>
      <c r="D772" t="n">
        <v>1075.97</v>
      </c>
      <c r="E772" s="5">
        <f>(D772-D771)/D771</f>
        <v/>
      </c>
    </row>
    <row r="773">
      <c r="A773" t="inlineStr">
        <is>
          <t>2023-02-02</t>
        </is>
      </c>
      <c r="B773" t="n">
        <v>48339</v>
      </c>
      <c r="C773" s="5">
        <f>(B773-B772)/B772</f>
        <v/>
      </c>
      <c r="D773" t="n">
        <v>1077.59</v>
      </c>
      <c r="E773" s="5">
        <f>(D773-D772)/D772</f>
        <v/>
      </c>
    </row>
    <row r="774">
      <c r="A774" t="inlineStr">
        <is>
          <t>2023-02-03</t>
        </is>
      </c>
      <c r="B774" t="n">
        <v>46305</v>
      </c>
      <c r="C774" s="5">
        <f>(B774-B773)/B773</f>
        <v/>
      </c>
      <c r="D774" t="n">
        <v>1077.15</v>
      </c>
      <c r="E774" s="5">
        <f>(D774-D773)/D773</f>
        <v/>
      </c>
    </row>
    <row r="775">
      <c r="A775" t="inlineStr">
        <is>
          <t>2023-02-06</t>
        </is>
      </c>
      <c r="B775" t="n">
        <v>45675</v>
      </c>
      <c r="C775" s="5">
        <f>(B775-B774)/B774</f>
        <v/>
      </c>
      <c r="D775" t="n">
        <v>1089.29</v>
      </c>
      <c r="E775" s="5">
        <f>(D775-D774)/D774</f>
        <v/>
      </c>
    </row>
    <row r="776">
      <c r="A776" t="inlineStr">
        <is>
          <t>2023-02-07</t>
        </is>
      </c>
      <c r="B776" t="n">
        <v>44271</v>
      </c>
      <c r="C776" s="5">
        <f>(B776-B775)/B775</f>
        <v/>
      </c>
      <c r="D776" t="n">
        <v>1065.84</v>
      </c>
      <c r="E776" s="5">
        <f>(D776-D775)/D775</f>
        <v/>
      </c>
    </row>
    <row r="777">
      <c r="A777" t="inlineStr">
        <is>
          <t>2023-02-08</t>
        </is>
      </c>
      <c r="B777" t="n">
        <v>43108</v>
      </c>
      <c r="C777" s="5">
        <f>(B777-B776)/B776</f>
        <v/>
      </c>
      <c r="D777" t="n">
        <v>1072.22</v>
      </c>
      <c r="E777" s="5">
        <f>(D777-D776)/D776</f>
        <v/>
      </c>
    </row>
    <row r="778">
      <c r="A778" t="inlineStr">
        <is>
          <t>2023-02-09</t>
        </is>
      </c>
      <c r="B778" t="n">
        <v>42624</v>
      </c>
      <c r="C778" s="5">
        <f>(B778-B777)/B777</f>
        <v/>
      </c>
      <c r="D778" t="n">
        <v>1064.03</v>
      </c>
      <c r="E778" s="5">
        <f>(D778-D777)/D777</f>
        <v/>
      </c>
    </row>
    <row r="779">
      <c r="A779" t="inlineStr">
        <is>
          <t>2023-02-10</t>
        </is>
      </c>
      <c r="B779" t="n">
        <v>40783</v>
      </c>
      <c r="C779" s="5">
        <f>(B779-B778)/B778</f>
        <v/>
      </c>
      <c r="D779" t="n">
        <v>1055.3</v>
      </c>
      <c r="E779" s="5">
        <f>(D779-D778)/D778</f>
        <v/>
      </c>
    </row>
    <row r="780">
      <c r="A780" t="inlineStr">
        <is>
          <t>2023-02-13</t>
        </is>
      </c>
      <c r="B780" t="n">
        <v>41171</v>
      </c>
      <c r="C780" s="5">
        <f>(B780-B779)/B779</f>
        <v/>
      </c>
      <c r="D780" t="n">
        <v>1043.7</v>
      </c>
      <c r="E780" s="5">
        <f>(D780-D779)/D779</f>
        <v/>
      </c>
    </row>
    <row r="781">
      <c r="A781" t="inlineStr">
        <is>
          <t>2023-02-14</t>
        </is>
      </c>
      <c r="B781" t="n">
        <v>41171</v>
      </c>
      <c r="C781" s="5">
        <f>(B781-B780)/B780</f>
        <v/>
      </c>
      <c r="D781" t="n">
        <v>1038.64</v>
      </c>
      <c r="E781" s="5">
        <f>(D781-D780)/D780</f>
        <v/>
      </c>
    </row>
    <row r="782">
      <c r="A782" t="inlineStr">
        <is>
          <t>2023-02-15</t>
        </is>
      </c>
      <c r="B782" t="n">
        <v>41413</v>
      </c>
      <c r="C782" s="5">
        <f>(B782-B781)/B781</f>
        <v/>
      </c>
      <c r="D782" t="n">
        <v>1048.2</v>
      </c>
      <c r="E782" s="5">
        <f>(D782-D781)/D781</f>
        <v/>
      </c>
    </row>
    <row r="783">
      <c r="A783" t="inlineStr">
        <is>
          <t>2023-02-16</t>
        </is>
      </c>
      <c r="B783" t="n">
        <v>41946</v>
      </c>
      <c r="C783" s="5">
        <f>(B783-B782)/B782</f>
        <v/>
      </c>
      <c r="D783" t="n">
        <v>1058.29</v>
      </c>
      <c r="E783" s="5">
        <f>(D783-D782)/D782</f>
        <v/>
      </c>
    </row>
    <row r="784">
      <c r="A784" t="inlineStr">
        <is>
          <t>2023-02-17</t>
        </is>
      </c>
      <c r="B784" t="n">
        <v>41897</v>
      </c>
      <c r="C784" s="5">
        <f>(B784-B783)/B783</f>
        <v/>
      </c>
      <c r="D784" t="n">
        <v>1059.31</v>
      </c>
      <c r="E784" s="5">
        <f>(D784-D783)/D783</f>
        <v/>
      </c>
    </row>
    <row r="785">
      <c r="A785" t="inlineStr">
        <is>
          <t>2023-02-20</t>
        </is>
      </c>
      <c r="B785" t="n">
        <v>42914</v>
      </c>
      <c r="C785" s="5">
        <f>(B785-B784)/B784</f>
        <v/>
      </c>
      <c r="D785" t="n">
        <v>1086.69</v>
      </c>
      <c r="E785" s="5">
        <f>(D785-D784)/D784</f>
        <v/>
      </c>
    </row>
    <row r="786">
      <c r="A786" t="inlineStr">
        <is>
          <t>2023-02-21</t>
        </is>
      </c>
      <c r="B786" t="n">
        <v>43108</v>
      </c>
      <c r="C786" s="5">
        <f>(B786-B785)/B785</f>
        <v/>
      </c>
      <c r="D786" t="n">
        <v>1082.23</v>
      </c>
      <c r="E786" s="5">
        <f>(D786-D785)/D785</f>
        <v/>
      </c>
    </row>
    <row r="787">
      <c r="A787" t="inlineStr">
        <is>
          <t>2023-02-22</t>
        </is>
      </c>
      <c r="B787" t="n">
        <v>41655</v>
      </c>
      <c r="C787" s="5">
        <f>(B787-B786)/B786</f>
        <v/>
      </c>
      <c r="D787" t="n">
        <v>1054.28</v>
      </c>
      <c r="E787" s="5">
        <f>(D787-D786)/D786</f>
        <v/>
      </c>
    </row>
    <row r="788">
      <c r="A788" t="inlineStr">
        <is>
          <t>2023-02-23</t>
        </is>
      </c>
      <c r="B788" t="n">
        <v>41655</v>
      </c>
      <c r="C788" s="5">
        <f>(B788-B787)/B787</f>
        <v/>
      </c>
      <c r="D788" t="n">
        <v>1053.66</v>
      </c>
      <c r="E788" s="5">
        <f>(D788-D787)/D787</f>
        <v/>
      </c>
    </row>
    <row r="789">
      <c r="A789" t="inlineStr">
        <is>
          <t>2023-02-24</t>
        </is>
      </c>
      <c r="B789" t="n">
        <v>40783</v>
      </c>
      <c r="C789" s="5">
        <f>(B789-B788)/B788</f>
        <v/>
      </c>
      <c r="D789" t="n">
        <v>1039.56</v>
      </c>
      <c r="E789" s="5">
        <f>(D789-D788)/D788</f>
        <v/>
      </c>
    </row>
    <row r="790">
      <c r="A790" t="inlineStr">
        <is>
          <t>2023-02-27</t>
        </is>
      </c>
      <c r="B790" t="n">
        <v>39233</v>
      </c>
      <c r="C790" s="5">
        <f>(B790-B789)/B789</f>
        <v/>
      </c>
      <c r="D790" t="n">
        <v>1021.25</v>
      </c>
      <c r="E790" s="5">
        <f>(D790-D789)/D789</f>
        <v/>
      </c>
    </row>
    <row r="791">
      <c r="A791" t="inlineStr">
        <is>
          <t>2023-02-28</t>
        </is>
      </c>
      <c r="B791" t="n">
        <v>38749</v>
      </c>
      <c r="C791" s="5">
        <f>(B791-B790)/B790</f>
        <v/>
      </c>
      <c r="D791" t="n">
        <v>1024.68</v>
      </c>
      <c r="E791" s="5">
        <f>(D791-D790)/D790</f>
        <v/>
      </c>
    </row>
    <row r="792">
      <c r="A792" t="inlineStr">
        <is>
          <t>2023-03-01</t>
        </is>
      </c>
      <c r="B792" t="n">
        <v>39524</v>
      </c>
      <c r="C792" s="5">
        <f>(B792-B791)/B791</f>
        <v/>
      </c>
      <c r="D792" t="n">
        <v>1040.55</v>
      </c>
      <c r="E792" s="5">
        <f>(D792-D791)/D791</f>
        <v/>
      </c>
    </row>
    <row r="793">
      <c r="A793" t="inlineStr">
        <is>
          <t>2023-03-02</t>
        </is>
      </c>
      <c r="B793" t="n">
        <v>39039</v>
      </c>
      <c r="C793" s="5">
        <f>(B793-B792)/B792</f>
        <v/>
      </c>
      <c r="D793" t="n">
        <v>1037.61</v>
      </c>
      <c r="E793" s="5">
        <f>(D793-D792)/D792</f>
        <v/>
      </c>
    </row>
    <row r="794">
      <c r="A794" t="inlineStr">
        <is>
          <t>2023-03-03</t>
        </is>
      </c>
      <c r="B794" t="n">
        <v>38168</v>
      </c>
      <c r="C794" s="5">
        <f>(B794-B793)/B793</f>
        <v/>
      </c>
      <c r="D794" t="n">
        <v>1024.77</v>
      </c>
      <c r="E794" s="5">
        <f>(D794-D793)/D793</f>
        <v/>
      </c>
    </row>
    <row r="795">
      <c r="A795" t="inlineStr">
        <is>
          <t>2023-03-06</t>
        </is>
      </c>
      <c r="B795" t="n">
        <v>38168</v>
      </c>
      <c r="C795" s="5">
        <f>(B795-B794)/B794</f>
        <v/>
      </c>
      <c r="D795" t="n">
        <v>1027.18</v>
      </c>
      <c r="E795" s="5">
        <f>(D795-D794)/D794</f>
        <v/>
      </c>
    </row>
    <row r="796">
      <c r="A796" t="inlineStr">
        <is>
          <t>2023-03-07</t>
        </is>
      </c>
      <c r="B796" t="n">
        <v>38458</v>
      </c>
      <c r="C796" s="5">
        <f>(B796-B795)/B795</f>
        <v/>
      </c>
      <c r="D796" t="n">
        <v>1037.84</v>
      </c>
      <c r="E796" s="5">
        <f>(D796-D795)/D795</f>
        <v/>
      </c>
    </row>
    <row r="797">
      <c r="A797" t="inlineStr">
        <is>
          <t>2023-03-08</t>
        </is>
      </c>
      <c r="B797" t="n">
        <v>38168</v>
      </c>
      <c r="C797" s="5">
        <f>(B797-B796)/B796</f>
        <v/>
      </c>
      <c r="D797" t="n">
        <v>1049.18</v>
      </c>
      <c r="E797" s="5">
        <f>(D797-D796)/D796</f>
        <v/>
      </c>
    </row>
    <row r="798">
      <c r="A798" t="inlineStr">
        <is>
          <t>2023-03-09</t>
        </is>
      </c>
      <c r="B798" t="n">
        <v>38749</v>
      </c>
      <c r="C798" s="5">
        <f>(B798-B797)/B797</f>
        <v/>
      </c>
      <c r="D798" t="n">
        <v>1055.95</v>
      </c>
      <c r="E798" s="5">
        <f>(D798-D797)/D797</f>
        <v/>
      </c>
    </row>
    <row r="799">
      <c r="A799" t="inlineStr">
        <is>
          <t>2023-03-10</t>
        </is>
      </c>
      <c r="B799" t="n">
        <v>38507</v>
      </c>
      <c r="C799" s="5">
        <f>(B799-B798)/B798</f>
        <v/>
      </c>
      <c r="D799" t="n">
        <v>1053</v>
      </c>
      <c r="E799" s="5">
        <f>(D799-D798)/D798</f>
        <v/>
      </c>
    </row>
    <row r="800">
      <c r="A800" t="inlineStr">
        <is>
          <t>2023-03-13</t>
        </is>
      </c>
      <c r="B800" t="n">
        <v>38168</v>
      </c>
      <c r="C800" s="5">
        <f>(B800-B799)/B799</f>
        <v/>
      </c>
      <c r="D800" t="n">
        <v>1052.8</v>
      </c>
      <c r="E800" s="5">
        <f>(D800-D799)/D799</f>
        <v/>
      </c>
    </row>
    <row r="801">
      <c r="A801" t="inlineStr">
        <is>
          <t>2023-03-14</t>
        </is>
      </c>
      <c r="B801" t="n">
        <v>37393</v>
      </c>
      <c r="C801" s="5">
        <f>(B801-B800)/B800</f>
        <v/>
      </c>
      <c r="D801" t="n">
        <v>1040.13</v>
      </c>
      <c r="E801" s="5">
        <f>(D801-D800)/D800</f>
        <v/>
      </c>
    </row>
    <row r="802">
      <c r="A802" t="inlineStr">
        <is>
          <t>2023-03-15</t>
        </is>
      </c>
      <c r="B802" t="n">
        <v>38749</v>
      </c>
      <c r="C802" s="5">
        <f>(B802-B801)/B801</f>
        <v/>
      </c>
      <c r="D802" t="n">
        <v>1062.19</v>
      </c>
      <c r="E802" s="5">
        <f>(D802-D801)/D801</f>
        <v/>
      </c>
    </row>
    <row r="803">
      <c r="A803" t="inlineStr">
        <is>
          <t>2023-03-16</t>
        </is>
      </c>
      <c r="B803" t="n">
        <v>38168</v>
      </c>
      <c r="C803" s="5">
        <f>(B803-B802)/B802</f>
        <v/>
      </c>
      <c r="D803" t="n">
        <v>1047.4</v>
      </c>
      <c r="E803" s="5">
        <f>(D803-D802)/D802</f>
        <v/>
      </c>
    </row>
    <row r="804">
      <c r="A804" t="inlineStr">
        <is>
          <t>2023-03-17</t>
        </is>
      </c>
      <c r="B804" t="n">
        <v>38168</v>
      </c>
      <c r="C804" s="5">
        <f>(B804-B803)/B803</f>
        <v/>
      </c>
      <c r="D804" t="n">
        <v>1045.14</v>
      </c>
      <c r="E804" s="5">
        <f>(D804-D803)/D803</f>
        <v/>
      </c>
    </row>
    <row r="805">
      <c r="A805" t="inlineStr">
        <is>
          <t>2023-03-20</t>
        </is>
      </c>
      <c r="B805" t="n">
        <v>36908</v>
      </c>
      <c r="C805" s="5">
        <f>(B805-B804)/B804</f>
        <v/>
      </c>
      <c r="D805" t="n">
        <v>1023.1</v>
      </c>
      <c r="E805" s="5">
        <f>(D805-D804)/D804</f>
        <v/>
      </c>
    </row>
    <row r="806">
      <c r="A806" t="inlineStr">
        <is>
          <t>2023-03-21</t>
        </is>
      </c>
      <c r="B806" t="n">
        <v>37296</v>
      </c>
      <c r="C806" s="5">
        <f>(B806-B805)/B805</f>
        <v/>
      </c>
      <c r="D806" t="n">
        <v>1032.43</v>
      </c>
      <c r="E806" s="5">
        <f>(D806-D805)/D805</f>
        <v/>
      </c>
    </row>
    <row r="807">
      <c r="A807" t="inlineStr">
        <is>
          <t>2023-03-22</t>
        </is>
      </c>
      <c r="B807" t="n">
        <v>36763</v>
      </c>
      <c r="C807" s="5">
        <f>(B807-B806)/B806</f>
        <v/>
      </c>
      <c r="D807" t="n">
        <v>1040.54</v>
      </c>
      <c r="E807" s="5">
        <f>(D807-D806)/D806</f>
        <v/>
      </c>
    </row>
    <row r="808">
      <c r="A808" t="inlineStr">
        <is>
          <t>2023-03-23</t>
        </is>
      </c>
      <c r="B808" t="n">
        <v>36618</v>
      </c>
      <c r="C808" s="5">
        <f>(B808-B807)/B807</f>
        <v/>
      </c>
      <c r="D808" t="n">
        <v>1045.1</v>
      </c>
      <c r="E808" s="5">
        <f>(D808-D807)/D807</f>
        <v/>
      </c>
    </row>
    <row r="809">
      <c r="A809" t="inlineStr">
        <is>
          <t>2023-03-24</t>
        </is>
      </c>
      <c r="B809" t="n">
        <v>36763</v>
      </c>
      <c r="C809" s="5">
        <f>(B809-B808)/B808</f>
        <v/>
      </c>
      <c r="D809" t="n">
        <v>1046.79</v>
      </c>
      <c r="E809" s="5">
        <f>(D809-D808)/D808</f>
        <v/>
      </c>
    </row>
    <row r="810">
      <c r="A810" t="inlineStr">
        <is>
          <t>2023-03-27</t>
        </is>
      </c>
      <c r="B810" t="n">
        <v>36908</v>
      </c>
      <c r="C810" s="5">
        <f>(B810-B809)/B809</f>
        <v/>
      </c>
      <c r="D810" t="n">
        <v>1052.25</v>
      </c>
      <c r="E810" s="5">
        <f>(D810-D809)/D809</f>
        <v/>
      </c>
    </row>
    <row r="811">
      <c r="A811" t="inlineStr">
        <is>
          <t>2023-03-28</t>
        </is>
      </c>
      <c r="B811" t="n">
        <v>37877</v>
      </c>
      <c r="C811" s="5">
        <f>(B811-B810)/B810</f>
        <v/>
      </c>
      <c r="D811" t="n">
        <v>1054.29</v>
      </c>
      <c r="E811" s="5">
        <f>(D811-D810)/D810</f>
        <v/>
      </c>
    </row>
    <row r="812">
      <c r="A812" t="inlineStr">
        <is>
          <t>2023-03-29</t>
        </is>
      </c>
      <c r="B812" t="n">
        <v>37490</v>
      </c>
      <c r="C812" s="5">
        <f>(B812-B811)/B811</f>
        <v/>
      </c>
      <c r="D812" t="n">
        <v>1056.33</v>
      </c>
      <c r="E812" s="5">
        <f>(D812-D811)/D811</f>
        <v/>
      </c>
    </row>
    <row r="813">
      <c r="A813" t="inlineStr">
        <is>
          <t>2023-03-30</t>
        </is>
      </c>
      <c r="B813" t="n">
        <v>37393</v>
      </c>
      <c r="C813" s="5">
        <f>(B813-B812)/B812</f>
        <v/>
      </c>
      <c r="D813" t="n">
        <v>1059.44</v>
      </c>
      <c r="E813" s="5">
        <f>(D813-D812)/D812</f>
        <v/>
      </c>
    </row>
    <row r="814">
      <c r="A814" t="inlineStr">
        <is>
          <t>2023-03-31</t>
        </is>
      </c>
      <c r="B814" t="n">
        <v>37344</v>
      </c>
      <c r="C814" s="5">
        <f>(B814-B813)/B813</f>
        <v/>
      </c>
      <c r="D814" t="n">
        <v>1064.64</v>
      </c>
      <c r="E814" s="5">
        <f>(D814-D813)/D813</f>
        <v/>
      </c>
    </row>
    <row r="815">
      <c r="A815" t="inlineStr">
        <is>
          <t>2023-04-03</t>
        </is>
      </c>
      <c r="B815" t="n">
        <v>37780</v>
      </c>
      <c r="C815" s="5">
        <f>(B815-B814)/B814</f>
        <v/>
      </c>
      <c r="D815" t="n">
        <v>1079.28</v>
      </c>
      <c r="E815" s="5">
        <f>(D815-D814)/D814</f>
        <v/>
      </c>
    </row>
    <row r="816">
      <c r="A816" t="inlineStr">
        <is>
          <t>2023-04-04</t>
        </is>
      </c>
      <c r="B816" t="n">
        <v>38555</v>
      </c>
      <c r="C816" s="5">
        <f>(B816-B815)/B815</f>
        <v/>
      </c>
      <c r="D816" t="n">
        <v>1078.45</v>
      </c>
      <c r="E816" s="5">
        <f>(D816-D815)/D815</f>
        <v/>
      </c>
    </row>
    <row r="817">
      <c r="A817" t="inlineStr">
        <is>
          <t>2023-04-05</t>
        </is>
      </c>
      <c r="B817" t="n">
        <v>38507</v>
      </c>
      <c r="C817" s="5">
        <f>(B817-B816)/B816</f>
        <v/>
      </c>
      <c r="D817" t="n">
        <v>1080.86</v>
      </c>
      <c r="E817" s="5">
        <f>(D817-D816)/D816</f>
        <v/>
      </c>
    </row>
    <row r="818">
      <c r="A818" t="inlineStr">
        <is>
          <t>2023-04-06</t>
        </is>
      </c>
      <c r="B818" t="n">
        <v>37877</v>
      </c>
      <c r="C818" s="5">
        <f>(B818-B817)/B817</f>
        <v/>
      </c>
      <c r="D818" t="n">
        <v>1070.91</v>
      </c>
      <c r="E818" s="5">
        <f>(D818-D817)/D817</f>
        <v/>
      </c>
    </row>
    <row r="819">
      <c r="A819" t="inlineStr">
        <is>
          <t>2023-04-07</t>
        </is>
      </c>
      <c r="B819" t="n">
        <v>37780</v>
      </c>
      <c r="C819" s="5">
        <f>(B819-B818)/B818</f>
        <v/>
      </c>
      <c r="D819" t="n">
        <v>1069.71</v>
      </c>
      <c r="E819" s="5">
        <f>(D819-D818)/D818</f>
        <v/>
      </c>
    </row>
    <row r="820">
      <c r="A820" t="inlineStr">
        <is>
          <t>2023-04-10</t>
        </is>
      </c>
      <c r="B820" t="n">
        <v>39718</v>
      </c>
      <c r="C820" s="5">
        <f>(B820-B819)/B819</f>
        <v/>
      </c>
      <c r="D820" t="n">
        <v>1065.35</v>
      </c>
      <c r="E820" s="5">
        <f>(D820-D819)/D819</f>
        <v/>
      </c>
    </row>
    <row r="821">
      <c r="A821" t="inlineStr">
        <is>
          <t>2023-04-11</t>
        </is>
      </c>
      <c r="B821" t="n">
        <v>39427</v>
      </c>
      <c r="C821" s="5">
        <f>(B821-B820)/B820</f>
        <v/>
      </c>
      <c r="D821" t="n">
        <v>1069.46</v>
      </c>
      <c r="E821" s="5">
        <f>(D821-D820)/D820</f>
        <v/>
      </c>
    </row>
    <row r="822">
      <c r="A822" t="inlineStr">
        <is>
          <t>2023-04-12</t>
        </is>
      </c>
      <c r="B822" t="n">
        <v>39475</v>
      </c>
      <c r="C822" s="5">
        <f>(B822-B821)/B821</f>
        <v/>
      </c>
      <c r="D822" t="n">
        <v>1069.45</v>
      </c>
      <c r="E822" s="5">
        <f>(D822-D821)/D821</f>
        <v/>
      </c>
    </row>
    <row r="823">
      <c r="A823" t="inlineStr">
        <is>
          <t>2023-04-13</t>
        </is>
      </c>
      <c r="B823" t="n">
        <v>39766</v>
      </c>
      <c r="C823" s="5">
        <f>(B823-B822)/B822</f>
        <v/>
      </c>
      <c r="D823" t="n">
        <v>1064.3</v>
      </c>
      <c r="E823" s="5">
        <f>(D823-D822)/D822</f>
        <v/>
      </c>
    </row>
    <row r="824">
      <c r="A824" t="inlineStr">
        <is>
          <t>2023-04-14</t>
        </is>
      </c>
      <c r="B824" t="n">
        <v>38749</v>
      </c>
      <c r="C824" s="5">
        <f>(B824-B823)/B823</f>
        <v/>
      </c>
      <c r="D824" t="n">
        <v>1052.89</v>
      </c>
      <c r="E824" s="5">
        <f>(D824-D823)/D823</f>
        <v/>
      </c>
    </row>
    <row r="825">
      <c r="A825" t="inlineStr">
        <is>
          <t>2023-04-17</t>
        </is>
      </c>
      <c r="B825" t="n">
        <v>38604</v>
      </c>
      <c r="C825" s="5">
        <f>(B825-B824)/B824</f>
        <v/>
      </c>
      <c r="D825" t="n">
        <v>1053.81</v>
      </c>
      <c r="E825" s="5">
        <f>(D825-D824)/D824</f>
        <v/>
      </c>
    </row>
    <row r="826">
      <c r="A826" t="inlineStr">
        <is>
          <t>2023-04-18</t>
        </is>
      </c>
      <c r="B826" t="n">
        <v>38700</v>
      </c>
      <c r="C826" s="5">
        <f>(B826-B825)/B825</f>
        <v/>
      </c>
      <c r="D826" t="n">
        <v>1055.02</v>
      </c>
      <c r="E826" s="5">
        <f>(D826-D825)/D825</f>
        <v/>
      </c>
    </row>
    <row r="827">
      <c r="A827" t="inlineStr">
        <is>
          <t>2023-04-19</t>
        </is>
      </c>
      <c r="B827" t="n">
        <v>39233</v>
      </c>
      <c r="C827" s="5">
        <f>(B827-B826)/B826</f>
        <v/>
      </c>
      <c r="D827" t="n">
        <v>1048.98</v>
      </c>
      <c r="E827" s="5">
        <f>(D827-D826)/D826</f>
        <v/>
      </c>
    </row>
    <row r="828">
      <c r="A828" t="inlineStr">
        <is>
          <t>2023-04-20</t>
        </is>
      </c>
      <c r="B828" t="n">
        <v>39136</v>
      </c>
      <c r="C828" s="5">
        <f>(B828-B827)/B827</f>
        <v/>
      </c>
      <c r="D828" t="n">
        <v>1049.25</v>
      </c>
      <c r="E828" s="5">
        <f>(D828-D827)/D827</f>
        <v/>
      </c>
    </row>
    <row r="829">
      <c r="A829" t="inlineStr">
        <is>
          <t>2023-04-21</t>
        </is>
      </c>
      <c r="B829" t="n">
        <v>38071</v>
      </c>
      <c r="C829" s="5">
        <f>(B829-B828)/B828</f>
        <v/>
      </c>
      <c r="D829" t="n">
        <v>1042.91</v>
      </c>
      <c r="E829" s="5">
        <f>(D829-D828)/D828</f>
        <v/>
      </c>
    </row>
    <row r="830">
      <c r="A830" t="inlineStr">
        <is>
          <t>2023-04-24</t>
        </is>
      </c>
      <c r="B830" t="n">
        <v>37199</v>
      </c>
      <c r="C830" s="5">
        <f>(B830-B829)/B829</f>
        <v/>
      </c>
      <c r="D830" t="n">
        <v>1041.36</v>
      </c>
      <c r="E830" s="5">
        <f>(D830-D829)/D829</f>
        <v/>
      </c>
    </row>
    <row r="831">
      <c r="A831" t="inlineStr">
        <is>
          <t>2023-04-25</t>
        </is>
      </c>
      <c r="B831" t="n">
        <v>36521</v>
      </c>
      <c r="C831" s="5">
        <f>(B831-B830)/B830</f>
        <v/>
      </c>
      <c r="D831" t="n">
        <v>1034.85</v>
      </c>
      <c r="E831" s="5">
        <f>(D831-D830)/D830</f>
        <v/>
      </c>
    </row>
    <row r="832">
      <c r="A832" t="inlineStr">
        <is>
          <t>2023-04-26</t>
        </is>
      </c>
      <c r="B832" t="n">
        <v>37199</v>
      </c>
      <c r="C832" s="5">
        <f>(B832-B831)/B831</f>
        <v/>
      </c>
      <c r="D832" t="n">
        <v>1040.8</v>
      </c>
      <c r="E832" s="5">
        <f>(D832-D831)/D831</f>
        <v/>
      </c>
    </row>
    <row r="833">
      <c r="A833" t="inlineStr">
        <is>
          <t>2023-04-27</t>
        </is>
      </c>
      <c r="B833" t="n">
        <v>37441</v>
      </c>
      <c r="C833" s="5">
        <f>(B833-B832)/B832</f>
        <v/>
      </c>
      <c r="D833" t="n">
        <v>1039.63</v>
      </c>
      <c r="E833" s="5">
        <f>(D833-D832)/D832</f>
        <v/>
      </c>
    </row>
    <row r="834">
      <c r="A834" t="inlineStr">
        <is>
          <t>2023-04-28</t>
        </is>
      </c>
      <c r="B834" t="n">
        <v>37974</v>
      </c>
      <c r="C834" s="5">
        <f>(B834-B833)/B833</f>
        <v/>
      </c>
      <c r="D834" t="n">
        <v>1049.12</v>
      </c>
      <c r="E834" s="5">
        <f>(D834-D833)/D833</f>
        <v/>
      </c>
    </row>
    <row r="835">
      <c r="A835" t="inlineStr">
        <is>
          <t>2023-05-04</t>
        </is>
      </c>
      <c r="B835" t="n">
        <v>36715</v>
      </c>
      <c r="C835" s="5">
        <f>(B835-B834)/B834</f>
        <v/>
      </c>
      <c r="D835" t="n">
        <v>1040.61</v>
      </c>
      <c r="E835" s="5">
        <f>(D835-D834)/D834</f>
        <v/>
      </c>
    </row>
    <row r="836">
      <c r="A836" t="inlineStr">
        <is>
          <t>2023-05-05</t>
        </is>
      </c>
      <c r="B836" t="n">
        <v>36618</v>
      </c>
      <c r="C836" s="5">
        <f>(B836-B835)/B835</f>
        <v/>
      </c>
      <c r="D836" t="n">
        <v>1040.31</v>
      </c>
      <c r="E836" s="5">
        <f>(D836-D835)/D835</f>
        <v/>
      </c>
    </row>
    <row r="837">
      <c r="A837" t="inlineStr">
        <is>
          <t>2023-05-08</t>
        </is>
      </c>
      <c r="B837" t="n">
        <v>36666</v>
      </c>
      <c r="C837" s="5">
        <f>(B837-B836)/B836</f>
        <v/>
      </c>
      <c r="D837" t="n">
        <v>1053.44</v>
      </c>
      <c r="E837" s="5">
        <f>(D837-D836)/D836</f>
        <v/>
      </c>
    </row>
    <row r="838">
      <c r="A838" t="inlineStr">
        <is>
          <t>2023-05-09</t>
        </is>
      </c>
      <c r="B838" t="n">
        <v>36763</v>
      </c>
      <c r="C838" s="5">
        <f>(B838-B837)/B837</f>
        <v/>
      </c>
      <c r="D838" t="n">
        <v>1053.77</v>
      </c>
      <c r="E838" s="5">
        <f>(D838-D837)/D837</f>
        <v/>
      </c>
    </row>
    <row r="839">
      <c r="A839" t="inlineStr">
        <is>
          <t>2023-05-10</t>
        </is>
      </c>
      <c r="B839" t="n">
        <v>37780</v>
      </c>
      <c r="C839" s="5">
        <f>(B839-B838)/B838</f>
        <v/>
      </c>
      <c r="D839" t="n">
        <v>1058.26</v>
      </c>
      <c r="E839" s="5">
        <f>(D839-D838)/D838</f>
        <v/>
      </c>
    </row>
    <row r="840">
      <c r="A840" t="inlineStr">
        <is>
          <t>2023-05-11</t>
        </is>
      </c>
      <c r="B840" t="n">
        <v>37490</v>
      </c>
      <c r="C840" s="5">
        <f>(B840-B839)/B839</f>
        <v/>
      </c>
      <c r="D840" t="n">
        <v>1057.12</v>
      </c>
      <c r="E840" s="5">
        <f>(D840-D839)/D839</f>
        <v/>
      </c>
    </row>
    <row r="841">
      <c r="A841" t="inlineStr">
        <is>
          <t>2023-05-12</t>
        </is>
      </c>
      <c r="B841" t="n">
        <v>37780</v>
      </c>
      <c r="C841" s="5">
        <f>(B841-B840)/B840</f>
        <v/>
      </c>
      <c r="D841" t="n">
        <v>1066.9</v>
      </c>
      <c r="E841" s="5">
        <f>(D841-D840)/D840</f>
        <v/>
      </c>
    </row>
    <row r="842">
      <c r="A842" t="inlineStr">
        <is>
          <t>2023-05-15</t>
        </is>
      </c>
      <c r="B842" t="n">
        <v>37683</v>
      </c>
      <c r="C842" s="5">
        <f>(B842-B841)/B841</f>
        <v/>
      </c>
      <c r="D842" t="n">
        <v>1065.71</v>
      </c>
      <c r="E842" s="5">
        <f>(D842-D841)/D841</f>
        <v/>
      </c>
    </row>
    <row r="843">
      <c r="A843" t="inlineStr">
        <is>
          <t>2023-05-16</t>
        </is>
      </c>
      <c r="B843" t="n">
        <v>37247</v>
      </c>
      <c r="C843" s="5">
        <f>(B843-B842)/B842</f>
        <v/>
      </c>
      <c r="D843" t="n">
        <v>1065.91</v>
      </c>
      <c r="E843" s="5">
        <f>(D843-D842)/D842</f>
        <v/>
      </c>
    </row>
    <row r="844">
      <c r="A844" t="inlineStr">
        <is>
          <t>2023-05-17</t>
        </is>
      </c>
      <c r="B844" t="n">
        <v>36957</v>
      </c>
      <c r="C844" s="5">
        <f>(B844-B843)/B843</f>
        <v/>
      </c>
      <c r="D844" t="n">
        <v>1060.44</v>
      </c>
      <c r="E844" s="5">
        <f>(D844-D843)/D843</f>
        <v/>
      </c>
    </row>
    <row r="845">
      <c r="A845" t="inlineStr">
        <is>
          <t>2023-05-18</t>
        </is>
      </c>
      <c r="B845" t="n">
        <v>36908</v>
      </c>
      <c r="C845" s="5">
        <f>(B845-B844)/B844</f>
        <v/>
      </c>
      <c r="D845" t="n">
        <v>1068.31</v>
      </c>
      <c r="E845" s="5">
        <f>(D845-D844)/D844</f>
        <v/>
      </c>
    </row>
    <row r="846">
      <c r="A846" t="inlineStr">
        <is>
          <t>2023-05-19</t>
        </is>
      </c>
      <c r="B846" t="n">
        <v>37102</v>
      </c>
      <c r="C846" s="5">
        <f>(B846-B845)/B845</f>
        <v/>
      </c>
      <c r="D846" t="n">
        <v>1067.07</v>
      </c>
      <c r="E846" s="5">
        <f>(D846-D845)/D845</f>
        <v/>
      </c>
    </row>
    <row r="847">
      <c r="A847" t="inlineStr">
        <is>
          <t>2023-05-22</t>
        </is>
      </c>
      <c r="B847" t="n">
        <v>37344</v>
      </c>
      <c r="C847" s="5">
        <f>(B847-B846)/B846</f>
        <v/>
      </c>
      <c r="D847" t="n">
        <v>1070.64</v>
      </c>
      <c r="E847" s="5">
        <f>(D847-D846)/D846</f>
        <v/>
      </c>
    </row>
    <row r="848">
      <c r="A848" t="inlineStr">
        <is>
          <t>2023-05-23</t>
        </is>
      </c>
      <c r="B848" t="n">
        <v>37054</v>
      </c>
      <c r="C848" s="5">
        <f>(B848-B847)/B847</f>
        <v/>
      </c>
      <c r="D848" t="n">
        <v>1065.85</v>
      </c>
      <c r="E848" s="5">
        <f>(D848-D847)/D847</f>
        <v/>
      </c>
    </row>
    <row r="849">
      <c r="A849" t="inlineStr">
        <is>
          <t>2023-05-24</t>
        </is>
      </c>
      <c r="B849" t="n">
        <v>36763</v>
      </c>
      <c r="C849" s="5">
        <f>(B849-B848)/B848</f>
        <v/>
      </c>
      <c r="D849" t="n">
        <v>1061.79</v>
      </c>
      <c r="E849" s="5">
        <f>(D849-D848)/D848</f>
        <v/>
      </c>
    </row>
    <row r="850">
      <c r="A850" t="inlineStr">
        <is>
          <t>2023-05-25</t>
        </is>
      </c>
      <c r="B850" t="n">
        <v>36811</v>
      </c>
      <c r="C850" s="5">
        <f>(B850-B849)/B849</f>
        <v/>
      </c>
      <c r="D850" t="n">
        <v>1064.63</v>
      </c>
      <c r="E850" s="5">
        <f>(D850-D849)/D849</f>
        <v/>
      </c>
    </row>
    <row r="851">
      <c r="A851" t="inlineStr">
        <is>
          <t>2023-05-26</t>
        </is>
      </c>
      <c r="B851" t="n">
        <v>37005</v>
      </c>
      <c r="C851" s="5">
        <f>(B851-B850)/B850</f>
        <v/>
      </c>
      <c r="D851" t="n">
        <v>1063.76</v>
      </c>
      <c r="E851" s="5">
        <f>(D851-D850)/D850</f>
        <v/>
      </c>
    </row>
    <row r="852">
      <c r="A852" t="inlineStr">
        <is>
          <t>2023-05-29</t>
        </is>
      </c>
      <c r="B852" t="n">
        <v>37490</v>
      </c>
      <c r="C852" s="5">
        <f>(B852-B851)/B851</f>
        <v/>
      </c>
      <c r="D852" t="n">
        <v>1074.98</v>
      </c>
      <c r="E852" s="5">
        <f>(D852-D851)/D851</f>
        <v/>
      </c>
    </row>
    <row r="853">
      <c r="A853" t="inlineStr">
        <is>
          <t>2023-05-30</t>
        </is>
      </c>
      <c r="B853" t="n">
        <v>38168</v>
      </c>
      <c r="C853" s="5">
        <f>(B853-B852)/B852</f>
        <v/>
      </c>
      <c r="D853" t="n">
        <v>1078.05</v>
      </c>
      <c r="E853" s="5">
        <f>(D853-D852)/D852</f>
        <v/>
      </c>
    </row>
    <row r="854">
      <c r="A854" t="inlineStr">
        <is>
          <t>2023-05-31</t>
        </is>
      </c>
      <c r="B854" t="n">
        <v>37974</v>
      </c>
      <c r="C854" s="5">
        <f>(B854-B853)/B853</f>
        <v/>
      </c>
      <c r="D854" t="n">
        <v>1075.17</v>
      </c>
      <c r="E854" s="5">
        <f>(D854-D853)/D853</f>
        <v/>
      </c>
    </row>
    <row r="855">
      <c r="A855" t="inlineStr">
        <is>
          <t>2023-06-01</t>
        </is>
      </c>
      <c r="B855" t="n">
        <v>38071</v>
      </c>
      <c r="C855" s="5">
        <f>(B855-B854)/B854</f>
        <v/>
      </c>
      <c r="D855" t="n">
        <v>1078.39</v>
      </c>
      <c r="E855" s="5">
        <f>(D855-D854)/D854</f>
        <v/>
      </c>
    </row>
    <row r="856">
      <c r="A856" t="inlineStr">
        <is>
          <t>2023-06-02</t>
        </is>
      </c>
      <c r="B856" t="n">
        <v>39524</v>
      </c>
      <c r="C856" s="5">
        <f>(B856-B855)/B855</f>
        <v/>
      </c>
      <c r="D856" t="n">
        <v>1090.84</v>
      </c>
      <c r="E856" s="5">
        <f>(D856-D855)/D855</f>
        <v/>
      </c>
    </row>
    <row r="857">
      <c r="A857" t="inlineStr">
        <is>
          <t>2023-06-05</t>
        </is>
      </c>
      <c r="B857" t="n">
        <v>39911</v>
      </c>
      <c r="C857" s="5">
        <f>(B857-B856)/B856</f>
        <v/>
      </c>
      <c r="D857" t="n">
        <v>1097.82</v>
      </c>
      <c r="E857" s="5">
        <f>(D857-D856)/D856</f>
        <v/>
      </c>
    </row>
    <row r="858">
      <c r="A858" t="inlineStr">
        <is>
          <t>2023-06-06</t>
        </is>
      </c>
      <c r="B858" t="n">
        <v>40493</v>
      </c>
      <c r="C858" s="5">
        <f>(B858-B857)/B857</f>
        <v/>
      </c>
      <c r="D858" t="n">
        <v>1108.31</v>
      </c>
      <c r="E858" s="5">
        <f>(D858-D857)/D857</f>
        <v/>
      </c>
    </row>
    <row r="859">
      <c r="A859" t="inlineStr">
        <is>
          <t>2023-06-07</t>
        </is>
      </c>
      <c r="B859" t="n">
        <v>40493</v>
      </c>
      <c r="C859" s="5">
        <f>(B859-B858)/B858</f>
        <v/>
      </c>
      <c r="D859" t="n">
        <v>1109.54</v>
      </c>
      <c r="E859" s="5">
        <f>(D859-D858)/D858</f>
        <v/>
      </c>
    </row>
    <row r="860">
      <c r="A860" t="inlineStr">
        <is>
          <t>2023-06-08</t>
        </is>
      </c>
      <c r="B860" t="n">
        <v>39379</v>
      </c>
      <c r="C860" s="5">
        <f>(B860-B859)/B859</f>
        <v/>
      </c>
      <c r="D860" t="n">
        <v>1101.32</v>
      </c>
      <c r="E860" s="5">
        <f>(D860-D859)/D859</f>
        <v/>
      </c>
    </row>
    <row r="861">
      <c r="A861" t="inlineStr">
        <is>
          <t>2023-06-09</t>
        </is>
      </c>
      <c r="B861" t="n">
        <v>40105</v>
      </c>
      <c r="C861" s="5">
        <f>(B861-B860)/B860</f>
        <v/>
      </c>
      <c r="D861" t="n">
        <v>1107.53</v>
      </c>
      <c r="E861" s="5">
        <f>(D861-D860)/D860</f>
        <v/>
      </c>
    </row>
    <row r="862">
      <c r="A862" t="inlineStr">
        <is>
          <t>2023-06-12</t>
        </is>
      </c>
      <c r="B862" t="n">
        <v>41655</v>
      </c>
      <c r="C862" s="5">
        <f>(B862-B861)/B861</f>
        <v/>
      </c>
      <c r="D862" t="n">
        <v>1116.02</v>
      </c>
      <c r="E862" s="5">
        <f>(D862-D861)/D861</f>
        <v/>
      </c>
    </row>
    <row r="863">
      <c r="A863" t="inlineStr">
        <is>
          <t>2023-06-13</t>
        </is>
      </c>
      <c r="B863" t="n">
        <v>41655</v>
      </c>
      <c r="C863" s="5">
        <f>(B863-B862)/B862</f>
        <v/>
      </c>
      <c r="D863" t="n">
        <v>1122.46</v>
      </c>
      <c r="E863" s="5">
        <f>(D863-D862)/D862</f>
        <v/>
      </c>
    </row>
    <row r="864">
      <c r="A864" t="inlineStr">
        <is>
          <t>2023-06-14</t>
        </is>
      </c>
      <c r="B864" t="n">
        <v>40735</v>
      </c>
      <c r="C864" s="5">
        <f>(B864-B863)/B863</f>
        <v/>
      </c>
      <c r="D864" t="n">
        <v>1117.42</v>
      </c>
      <c r="E864" s="5">
        <f>(D864-D863)/D863</f>
        <v/>
      </c>
    </row>
    <row r="865">
      <c r="A865" t="inlineStr">
        <is>
          <t>2023-06-15</t>
        </is>
      </c>
      <c r="B865" t="n">
        <v>40396</v>
      </c>
      <c r="C865" s="5">
        <f>(B865-B864)/B864</f>
        <v/>
      </c>
      <c r="D865" t="n">
        <v>1116.97</v>
      </c>
      <c r="E865" s="5">
        <f>(D865-D864)/D864</f>
        <v/>
      </c>
    </row>
    <row r="866">
      <c r="A866" t="inlineStr">
        <is>
          <t>2023-06-16</t>
        </is>
      </c>
      <c r="B866" t="n">
        <v>40057</v>
      </c>
      <c r="C866" s="5">
        <f>(B866-B865)/B865</f>
        <v/>
      </c>
      <c r="D866" t="n">
        <v>1115.22</v>
      </c>
      <c r="E866" s="5">
        <f>(D866-D865)/D865</f>
        <v/>
      </c>
    </row>
    <row r="867">
      <c r="A867" t="inlineStr">
        <is>
          <t>2023-06-19</t>
        </is>
      </c>
      <c r="B867" t="n">
        <v>40202</v>
      </c>
      <c r="C867" s="5">
        <f>(B867-B866)/B866</f>
        <v/>
      </c>
      <c r="D867" t="n">
        <v>1105.4</v>
      </c>
      <c r="E867" s="5">
        <f>(D867-D866)/D866</f>
        <v/>
      </c>
    </row>
    <row r="868">
      <c r="A868" t="inlineStr">
        <is>
          <t>2023-06-20</t>
        </is>
      </c>
      <c r="B868" t="n">
        <v>41171</v>
      </c>
      <c r="C868" s="5">
        <f>(B868-B867)/B867</f>
        <v/>
      </c>
      <c r="D868" t="n">
        <v>1111.72</v>
      </c>
      <c r="E868" s="5">
        <f>(D868-D867)/D867</f>
        <v/>
      </c>
    </row>
    <row r="869">
      <c r="A869" t="inlineStr">
        <is>
          <t>2023-06-21</t>
        </is>
      </c>
      <c r="B869" t="n">
        <v>41364</v>
      </c>
      <c r="C869" s="5">
        <f>(B869-B868)/B868</f>
        <v/>
      </c>
      <c r="D869" t="n">
        <v>1118.46</v>
      </c>
      <c r="E869" s="5">
        <f>(D869-D868)/D868</f>
        <v/>
      </c>
    </row>
    <row r="870">
      <c r="A870" t="inlineStr">
        <is>
          <t>2023-06-22</t>
        </is>
      </c>
      <c r="B870" t="n">
        <v>41703</v>
      </c>
      <c r="C870" s="5">
        <f>(B870-B869)/B869</f>
        <v/>
      </c>
      <c r="D870" t="n">
        <v>1125.3</v>
      </c>
      <c r="E870" s="5">
        <f>(D870-D869)/D869</f>
        <v/>
      </c>
    </row>
    <row r="871">
      <c r="A871" t="inlineStr">
        <is>
          <t>2023-06-23</t>
        </is>
      </c>
      <c r="B871" t="n">
        <v>41558</v>
      </c>
      <c r="C871" s="5">
        <f>(B871-B870)/B870</f>
        <v/>
      </c>
      <c r="D871" t="n">
        <v>1129.38</v>
      </c>
      <c r="E871" s="5">
        <f>(D871-D870)/D870</f>
        <v/>
      </c>
    </row>
    <row r="872">
      <c r="A872" t="inlineStr">
        <is>
          <t>2023-06-26</t>
        </is>
      </c>
      <c r="B872" t="n">
        <v>42963</v>
      </c>
      <c r="C872" s="5">
        <f>(B872-B871)/B871</f>
        <v/>
      </c>
      <c r="D872" t="n">
        <v>1132.03</v>
      </c>
      <c r="E872" s="5">
        <f>(D872-D871)/D871</f>
        <v/>
      </c>
    </row>
    <row r="873">
      <c r="A873" t="inlineStr">
        <is>
          <t>2023-06-27</t>
        </is>
      </c>
      <c r="B873" t="n">
        <v>42817</v>
      </c>
      <c r="C873" s="5">
        <f>(B873-B872)/B872</f>
        <v/>
      </c>
      <c r="D873" t="n">
        <v>1134.33</v>
      </c>
      <c r="E873" s="5">
        <f>(D873-D872)/D872</f>
        <v/>
      </c>
    </row>
    <row r="874">
      <c r="A874" t="inlineStr">
        <is>
          <t>2023-06-28</t>
        </is>
      </c>
      <c r="B874" t="n">
        <v>42527</v>
      </c>
      <c r="C874" s="5">
        <f>(B874-B873)/B873</f>
        <v/>
      </c>
      <c r="D874" t="n">
        <v>1138.35</v>
      </c>
      <c r="E874" s="5">
        <f>(D874-D873)/D873</f>
        <v/>
      </c>
    </row>
    <row r="875">
      <c r="A875" t="inlineStr">
        <is>
          <t>2023-06-29</t>
        </is>
      </c>
      <c r="B875" t="n">
        <v>41364</v>
      </c>
      <c r="C875" s="5">
        <f>(B875-B874)/B874</f>
        <v/>
      </c>
      <c r="D875" t="n">
        <v>1125.39</v>
      </c>
      <c r="E875" s="5">
        <f>(D875-D874)/D874</f>
        <v/>
      </c>
    </row>
    <row r="876">
      <c r="A876" t="inlineStr">
        <is>
          <t>2023-06-30</t>
        </is>
      </c>
      <c r="B876" t="n">
        <v>41946</v>
      </c>
      <c r="C876" s="5">
        <f>(B876-B875)/B875</f>
        <v/>
      </c>
      <c r="D876" t="n">
        <v>1120.18</v>
      </c>
      <c r="E876" s="5">
        <f>(D876-D875)/D875</f>
        <v/>
      </c>
    </row>
    <row r="877">
      <c r="A877" t="inlineStr">
        <is>
          <t>2023-07-03</t>
        </is>
      </c>
      <c r="B877" t="n">
        <v>41655</v>
      </c>
      <c r="C877" s="5">
        <f>(B877-B876)/B876</f>
        <v/>
      </c>
      <c r="D877" t="n">
        <v>1125.5</v>
      </c>
      <c r="E877" s="5">
        <f>(D877-D876)/D876</f>
        <v/>
      </c>
    </row>
    <row r="878">
      <c r="A878" t="inlineStr">
        <is>
          <t>2023-07-04</t>
        </is>
      </c>
      <c r="B878" t="n">
        <v>41897</v>
      </c>
      <c r="C878" s="5">
        <f>(B878-B877)/B877</f>
        <v/>
      </c>
      <c r="D878" t="n">
        <v>1132</v>
      </c>
      <c r="E878" s="5">
        <f>(D878-D877)/D877</f>
        <v/>
      </c>
    </row>
    <row r="879">
      <c r="A879" t="inlineStr">
        <is>
          <t>2023-07-05</t>
        </is>
      </c>
      <c r="B879" t="n">
        <v>41994</v>
      </c>
      <c r="C879" s="5">
        <f>(B879-B878)/B878</f>
        <v/>
      </c>
      <c r="D879" t="n">
        <v>1134.62</v>
      </c>
      <c r="E879" s="5">
        <f>(D879-D878)/D878</f>
        <v/>
      </c>
    </row>
    <row r="880">
      <c r="A880" t="inlineStr">
        <is>
          <t>2023-07-06</t>
        </is>
      </c>
      <c r="B880" t="n">
        <v>41849</v>
      </c>
      <c r="C880" s="5">
        <f>(B880-B879)/B879</f>
        <v/>
      </c>
      <c r="D880" t="n">
        <v>1126.22</v>
      </c>
      <c r="E880" s="5">
        <f>(D880-D879)/D879</f>
        <v/>
      </c>
    </row>
    <row r="881">
      <c r="A881" t="inlineStr">
        <is>
          <t>2023-07-07</t>
        </is>
      </c>
      <c r="B881" t="n">
        <v>44077</v>
      </c>
      <c r="C881" s="5">
        <f>(B881-B880)/B880</f>
        <v/>
      </c>
      <c r="D881" t="n">
        <v>1138.07</v>
      </c>
      <c r="E881" s="5">
        <f>(D881-D880)/D880</f>
        <v/>
      </c>
    </row>
    <row r="882">
      <c r="A882" t="inlineStr">
        <is>
          <t>2023-07-10</t>
        </is>
      </c>
      <c r="B882" t="n">
        <v>46256</v>
      </c>
      <c r="C882" s="5">
        <f>(B882-B881)/B881</f>
        <v/>
      </c>
      <c r="D882" t="n">
        <v>1149.02</v>
      </c>
      <c r="E882" s="5">
        <f>(D882-D881)/D881</f>
        <v/>
      </c>
    </row>
    <row r="883">
      <c r="A883" t="inlineStr">
        <is>
          <t>2023-07-11</t>
        </is>
      </c>
      <c r="B883" t="n">
        <v>47274</v>
      </c>
      <c r="C883" s="5">
        <f>(B883-B882)/B882</f>
        <v/>
      </c>
      <c r="D883" t="n">
        <v>1151.77</v>
      </c>
      <c r="E883" s="5">
        <f>(D883-D882)/D882</f>
        <v/>
      </c>
    </row>
    <row r="884">
      <c r="A884" t="inlineStr">
        <is>
          <t>2023-07-12</t>
        </is>
      </c>
      <c r="B884" t="n">
        <v>47613</v>
      </c>
      <c r="C884" s="5">
        <f>(B884-B883)/B883</f>
        <v/>
      </c>
      <c r="D884" t="n">
        <v>1154.2</v>
      </c>
      <c r="E884" s="5">
        <f>(D884-D883)/D883</f>
        <v/>
      </c>
    </row>
    <row r="885">
      <c r="A885" t="inlineStr">
        <is>
          <t>2023-07-13</t>
        </is>
      </c>
      <c r="B885" t="n">
        <v>47806</v>
      </c>
      <c r="C885" s="5">
        <f>(B885-B884)/B884</f>
        <v/>
      </c>
      <c r="D885" t="n">
        <v>1165.42</v>
      </c>
      <c r="E885" s="5">
        <f>(D885-D884)/D884</f>
        <v/>
      </c>
    </row>
    <row r="886">
      <c r="A886" t="inlineStr">
        <is>
          <t>2023-07-14</t>
        </is>
      </c>
      <c r="B886" t="n">
        <v>47903</v>
      </c>
      <c r="C886" s="5">
        <f>(B886-B885)/B885</f>
        <v/>
      </c>
      <c r="D886" t="n">
        <v>1168.4</v>
      </c>
      <c r="E886" s="5">
        <f>(D886-D885)/D885</f>
        <v/>
      </c>
    </row>
    <row r="887">
      <c r="A887" t="inlineStr">
        <is>
          <t>2023-07-17</t>
        </is>
      </c>
      <c r="B887" t="n">
        <v>47128</v>
      </c>
      <c r="C887" s="5">
        <f>(B887-B886)/B886</f>
        <v/>
      </c>
      <c r="D887" t="n">
        <v>1173.13</v>
      </c>
      <c r="E887" s="5">
        <f>(D887-D886)/D886</f>
        <v/>
      </c>
    </row>
    <row r="888">
      <c r="A888" t="inlineStr">
        <is>
          <t>2023-07-18</t>
        </is>
      </c>
      <c r="B888" t="n">
        <v>46547</v>
      </c>
      <c r="C888" s="5">
        <f>(B888-B887)/B887</f>
        <v/>
      </c>
      <c r="D888" t="n">
        <v>1174.09</v>
      </c>
      <c r="E888" s="5">
        <f>(D888-D887)/D887</f>
        <v/>
      </c>
    </row>
    <row r="889">
      <c r="A889" t="inlineStr">
        <is>
          <t>2023-07-19</t>
        </is>
      </c>
      <c r="B889" t="n">
        <v>46983</v>
      </c>
      <c r="C889" s="5">
        <f>(B889-B888)/B888</f>
        <v/>
      </c>
      <c r="D889" t="n">
        <v>1172.98</v>
      </c>
      <c r="E889" s="5">
        <f>(D889-D888)/D888</f>
        <v/>
      </c>
    </row>
    <row r="890">
      <c r="A890" t="inlineStr">
        <is>
          <t>2023-07-20</t>
        </is>
      </c>
      <c r="B890" t="n">
        <v>47564</v>
      </c>
      <c r="C890" s="5">
        <f>(B890-B889)/B889</f>
        <v/>
      </c>
      <c r="D890" t="n">
        <v>1172.81</v>
      </c>
      <c r="E890" s="5">
        <f>(D890-D889)/D889</f>
        <v/>
      </c>
    </row>
    <row r="891">
      <c r="A891" t="inlineStr">
        <is>
          <t>2023-07-21</t>
        </is>
      </c>
      <c r="B891" t="n">
        <v>50858</v>
      </c>
      <c r="C891" s="5">
        <f>(B891-B890)/B890</f>
        <v/>
      </c>
      <c r="D891" t="n">
        <v>1185.9</v>
      </c>
      <c r="E891" s="5">
        <f>(D891-D890)/D890</f>
        <v/>
      </c>
    </row>
    <row r="892">
      <c r="A892" t="inlineStr">
        <is>
          <t>2023-07-24</t>
        </is>
      </c>
      <c r="B892" t="n">
        <v>52795</v>
      </c>
      <c r="C892" s="5">
        <f>(B892-B891)/B891</f>
        <v/>
      </c>
      <c r="D892" t="n">
        <v>1190.72</v>
      </c>
      <c r="E892" s="5">
        <f>(D892-D891)/D891</f>
        <v/>
      </c>
    </row>
    <row r="893">
      <c r="A893" t="inlineStr">
        <is>
          <t>2023-07-25</t>
        </is>
      </c>
      <c r="B893" t="n">
        <v>51923</v>
      </c>
      <c r="C893" s="5">
        <f>(B893-B892)/B892</f>
        <v/>
      </c>
      <c r="D893" t="n">
        <v>1195.9</v>
      </c>
      <c r="E893" s="5">
        <f>(D893-D892)/D892</f>
        <v/>
      </c>
    </row>
    <row r="894">
      <c r="A894" t="inlineStr">
        <is>
          <t>2023-07-26</t>
        </is>
      </c>
      <c r="B894" t="n">
        <v>50955</v>
      </c>
      <c r="C894" s="5">
        <f>(B894-B893)/B893</f>
        <v/>
      </c>
      <c r="D894" t="n">
        <v>1200.84</v>
      </c>
      <c r="E894" s="5">
        <f>(D894-D893)/D893</f>
        <v/>
      </c>
    </row>
    <row r="895">
      <c r="A895" t="inlineStr">
        <is>
          <t>2023-07-27</t>
        </is>
      </c>
      <c r="B895" t="n">
        <v>52910</v>
      </c>
      <c r="C895" s="5">
        <f>(B895-B894)/B894</f>
        <v/>
      </c>
      <c r="D895" t="n">
        <v>1197.33</v>
      </c>
      <c r="E895" s="5">
        <f>(D895-D894)/D894</f>
        <v/>
      </c>
    </row>
    <row r="896">
      <c r="A896" t="inlineStr">
        <is>
          <t>2023-07-28</t>
        </is>
      </c>
      <c r="B896" t="n">
        <v>53302</v>
      </c>
      <c r="C896" s="5">
        <f>(B896-B895)/B895</f>
        <v/>
      </c>
      <c r="D896" t="n">
        <v>1207.67</v>
      </c>
      <c r="E896" s="5">
        <f>(D896-D895)/D895</f>
        <v/>
      </c>
    </row>
    <row r="897">
      <c r="A897" t="inlineStr">
        <is>
          <t>2023-07-31</t>
        </is>
      </c>
      <c r="B897" t="n">
        <v>52519</v>
      </c>
      <c r="C897" s="5">
        <f>(B897-B896)/B896</f>
        <v/>
      </c>
      <c r="D897" t="n">
        <v>1222.9</v>
      </c>
      <c r="E897" s="5">
        <f>(D897-D896)/D896</f>
        <v/>
      </c>
    </row>
    <row r="898">
      <c r="A898" t="inlineStr">
        <is>
          <t>2023-08-01</t>
        </is>
      </c>
      <c r="B898" t="n">
        <v>50563</v>
      </c>
      <c r="C898" s="5">
        <f>(B898-B897)/B897</f>
        <v/>
      </c>
      <c r="D898" t="n">
        <v>1217.56</v>
      </c>
      <c r="E898" s="5">
        <f>(D898-D897)/D897</f>
        <v/>
      </c>
    </row>
    <row r="899">
      <c r="A899" t="inlineStr">
        <is>
          <t>2023-08-02</t>
        </is>
      </c>
      <c r="B899" t="n">
        <v>50563</v>
      </c>
      <c r="C899" s="5">
        <f>(B899-B898)/B898</f>
        <v/>
      </c>
      <c r="D899" t="n">
        <v>1220.43</v>
      </c>
      <c r="E899" s="5">
        <f>(D899-D898)/D898</f>
        <v/>
      </c>
    </row>
    <row r="900">
      <c r="A900" t="inlineStr">
        <is>
          <t>2023-08-03</t>
        </is>
      </c>
      <c r="B900" t="n">
        <v>51541</v>
      </c>
      <c r="C900" s="5">
        <f>(B900-B899)/B899</f>
        <v/>
      </c>
      <c r="D900" t="n">
        <v>1210.95</v>
      </c>
      <c r="E900" s="5">
        <f>(D900-D899)/D899</f>
        <v/>
      </c>
    </row>
    <row r="901">
      <c r="A901" t="inlineStr">
        <is>
          <t>2023-08-04</t>
        </is>
      </c>
      <c r="B901" t="n">
        <v>51835</v>
      </c>
      <c r="C901" s="5">
        <f>(B901-B900)/B900</f>
        <v/>
      </c>
      <c r="D901" t="n">
        <v>1225.98</v>
      </c>
      <c r="E901" s="5">
        <f>(D901-D900)/D900</f>
        <v/>
      </c>
    </row>
    <row r="902">
      <c r="A902" t="inlineStr">
        <is>
          <t>2023-08-07</t>
        </is>
      </c>
      <c r="B902" t="n">
        <v>52617</v>
      </c>
      <c r="C902" s="5">
        <f>(B902-B901)/B901</f>
        <v/>
      </c>
      <c r="D902" t="n">
        <v>1241.42</v>
      </c>
      <c r="E902" s="5">
        <f>(D902-D901)/D901</f>
        <v/>
      </c>
    </row>
    <row r="903">
      <c r="A903" t="inlineStr">
        <is>
          <t>2023-08-08</t>
        </is>
      </c>
      <c r="B903" t="n">
        <v>52421</v>
      </c>
      <c r="C903" s="5">
        <f>(B903-B902)/B902</f>
        <v/>
      </c>
      <c r="D903" t="n">
        <v>1242.23</v>
      </c>
      <c r="E903" s="5">
        <f>(D903-D902)/D902</f>
        <v/>
      </c>
    </row>
    <row r="904">
      <c r="A904" t="inlineStr">
        <is>
          <t>2023-08-09</t>
        </is>
      </c>
      <c r="B904" t="n">
        <v>51443</v>
      </c>
      <c r="C904" s="5">
        <f>(B904-B903)/B903</f>
        <v/>
      </c>
      <c r="D904" t="n">
        <v>1233.99</v>
      </c>
      <c r="E904" s="5">
        <f>(D904-D903)/D903</f>
        <v/>
      </c>
    </row>
    <row r="905">
      <c r="A905" t="inlineStr">
        <is>
          <t>2023-08-10</t>
        </is>
      </c>
      <c r="B905" t="n">
        <v>50857</v>
      </c>
      <c r="C905" s="5">
        <f>(B905-B904)/B904</f>
        <v/>
      </c>
      <c r="D905" t="n">
        <v>1220.61</v>
      </c>
      <c r="E905" s="5">
        <f>(D905-D904)/D904</f>
        <v/>
      </c>
    </row>
    <row r="906">
      <c r="A906" t="inlineStr">
        <is>
          <t>2023-08-11</t>
        </is>
      </c>
      <c r="B906" t="n">
        <v>52128</v>
      </c>
      <c r="C906" s="5">
        <f>(B906-B905)/B905</f>
        <v/>
      </c>
      <c r="D906" t="n">
        <v>1232.21</v>
      </c>
      <c r="E906" s="5">
        <f>(D906-D905)/D905</f>
        <v/>
      </c>
    </row>
    <row r="907">
      <c r="A907" t="inlineStr">
        <is>
          <t>2023-08-14</t>
        </is>
      </c>
      <c r="B907" t="n">
        <v>53008</v>
      </c>
      <c r="C907" s="5">
        <f>(B907-B906)/B906</f>
        <v/>
      </c>
      <c r="D907" t="n">
        <v>1236.84</v>
      </c>
      <c r="E907" s="5">
        <f>(D907-D906)/D906</f>
        <v/>
      </c>
    </row>
    <row r="908">
      <c r="A908" t="inlineStr">
        <is>
          <t>2023-08-15</t>
        </is>
      </c>
      <c r="B908" t="n">
        <v>52813</v>
      </c>
      <c r="C908" s="5">
        <f>(B908-B907)/B907</f>
        <v/>
      </c>
      <c r="D908" t="n">
        <v>1234.05</v>
      </c>
      <c r="E908" s="5">
        <f>(D908-D907)/D907</f>
        <v/>
      </c>
    </row>
    <row r="909">
      <c r="A909" t="inlineStr">
        <is>
          <t>2023-08-16</t>
        </is>
      </c>
      <c r="B909" t="n">
        <v>52617</v>
      </c>
      <c r="C909" s="5">
        <f>(B909-B908)/B908</f>
        <v/>
      </c>
      <c r="D909" t="n">
        <v>1243.26</v>
      </c>
      <c r="E909" s="5">
        <f>(D909-D908)/D908</f>
        <v/>
      </c>
    </row>
    <row r="910">
      <c r="A910" t="inlineStr">
        <is>
          <t>2023-08-17</t>
        </is>
      </c>
      <c r="B910" t="n">
        <v>52715</v>
      </c>
      <c r="C910" s="5">
        <f>(B910-B909)/B909</f>
        <v/>
      </c>
      <c r="D910" t="n">
        <v>1233.48</v>
      </c>
      <c r="E910" s="5">
        <f>(D910-D909)/D909</f>
        <v/>
      </c>
    </row>
    <row r="911">
      <c r="A911" t="inlineStr">
        <is>
          <t>2023-08-18</t>
        </is>
      </c>
      <c r="B911" t="n">
        <v>49096</v>
      </c>
      <c r="C911" s="5">
        <f>(B911-B910)/B910</f>
        <v/>
      </c>
      <c r="D911" t="n">
        <v>1177.99</v>
      </c>
      <c r="E911" s="5">
        <f>(D911-D910)/D910</f>
        <v/>
      </c>
    </row>
    <row r="912">
      <c r="A912" t="inlineStr">
        <is>
          <t>2023-08-21</t>
        </is>
      </c>
      <c r="B912" t="n">
        <v>47923</v>
      </c>
      <c r="C912" s="5">
        <f>(B912-B911)/B911</f>
        <v/>
      </c>
      <c r="D912" t="n">
        <v>1179.76</v>
      </c>
      <c r="E912" s="5">
        <f>(D912-D911)/D911</f>
        <v/>
      </c>
    </row>
    <row r="913">
      <c r="A913" t="inlineStr">
        <is>
          <t>2023-08-22</t>
        </is>
      </c>
      <c r="B913" t="n">
        <v>48901</v>
      </c>
      <c r="C913" s="5">
        <f>(B913-B912)/B912</f>
        <v/>
      </c>
      <c r="D913" t="n">
        <v>1180.49</v>
      </c>
      <c r="E913" s="5">
        <f>(D913-D912)/D912</f>
        <v/>
      </c>
    </row>
    <row r="914">
      <c r="A914" t="inlineStr">
        <is>
          <t>2023-08-23</t>
        </is>
      </c>
      <c r="B914" t="n">
        <v>48607</v>
      </c>
      <c r="C914" s="5">
        <f>(B914-B913)/B913</f>
        <v/>
      </c>
      <c r="D914" t="n">
        <v>1172.56</v>
      </c>
      <c r="E914" s="5">
        <f>(D914-D913)/D913</f>
        <v/>
      </c>
    </row>
    <row r="915">
      <c r="A915" t="inlineStr">
        <is>
          <t>2023-08-24</t>
        </is>
      </c>
      <c r="B915" t="n">
        <v>49194</v>
      </c>
      <c r="C915" s="5">
        <f>(B915-B914)/B914</f>
        <v/>
      </c>
      <c r="D915" t="n">
        <v>1189.39</v>
      </c>
      <c r="E915" s="5">
        <f>(D915-D914)/D914</f>
        <v/>
      </c>
    </row>
    <row r="916">
      <c r="A916" t="inlineStr">
        <is>
          <t>2023-08-25</t>
        </is>
      </c>
      <c r="B916" t="n">
        <v>49390</v>
      </c>
      <c r="C916" s="5">
        <f>(B916-B915)/B915</f>
        <v/>
      </c>
      <c r="D916" t="n">
        <v>1183.37</v>
      </c>
      <c r="E916" s="5">
        <f>(D916-D915)/D915</f>
        <v/>
      </c>
    </row>
    <row r="917">
      <c r="A917" t="inlineStr">
        <is>
          <t>2023-08-28</t>
        </is>
      </c>
      <c r="B917" t="n">
        <v>50563</v>
      </c>
      <c r="C917" s="5">
        <f>(B917-B916)/B916</f>
        <v/>
      </c>
      <c r="D917" t="n">
        <v>1201.72</v>
      </c>
      <c r="E917" s="5">
        <f>(D917-D916)/D916</f>
        <v/>
      </c>
    </row>
    <row r="918">
      <c r="A918" t="inlineStr">
        <is>
          <t>2023-08-29</t>
        </is>
      </c>
      <c r="B918" t="n">
        <v>51737</v>
      </c>
      <c r="C918" s="5">
        <f>(B918-B917)/B917</f>
        <v/>
      </c>
      <c r="D918" t="n">
        <v>1204.43</v>
      </c>
      <c r="E918" s="5">
        <f>(D918-D917)/D917</f>
        <v/>
      </c>
    </row>
    <row r="919">
      <c r="A919" t="inlineStr">
        <is>
          <t>2023-08-30</t>
        </is>
      </c>
      <c r="B919" t="n">
        <v>52617</v>
      </c>
      <c r="C919" s="5">
        <f>(B919-B918)/B918</f>
        <v/>
      </c>
      <c r="D919" t="n">
        <v>1213.16</v>
      </c>
      <c r="E919" s="5">
        <f>(D919-D918)/D918</f>
        <v/>
      </c>
    </row>
    <row r="920">
      <c r="A920" t="inlineStr">
        <is>
          <t>2023-08-31</t>
        </is>
      </c>
      <c r="B920" t="n">
        <v>52617</v>
      </c>
      <c r="C920" s="5">
        <f>(B920-B919)/B919</f>
        <v/>
      </c>
      <c r="D920" t="n">
        <v>1224.05</v>
      </c>
      <c r="E920" s="5">
        <f>(D920-D919)/D919</f>
        <v/>
      </c>
    </row>
    <row r="921">
      <c r="A921" t="inlineStr">
        <is>
          <t>2023-09-05</t>
        </is>
      </c>
      <c r="B921" t="n">
        <v>53106</v>
      </c>
      <c r="C921" s="5">
        <f>(B921-B920)/B920</f>
        <v/>
      </c>
      <c r="D921" t="n">
        <v>1234.98</v>
      </c>
      <c r="E921" s="5">
        <f>(D921-D920)/D920</f>
        <v/>
      </c>
    </row>
    <row r="922">
      <c r="A922" t="inlineStr">
        <is>
          <t>2023-09-06</t>
        </is>
      </c>
      <c r="B922" t="n">
        <v>53791</v>
      </c>
      <c r="C922" s="5">
        <f>(B922-B921)/B921</f>
        <v/>
      </c>
      <c r="D922" t="n">
        <v>1245.5</v>
      </c>
      <c r="E922" s="5">
        <f>(D922-D921)/D921</f>
        <v/>
      </c>
    </row>
    <row r="923">
      <c r="A923" t="inlineStr">
        <is>
          <t>2023-09-07</t>
        </is>
      </c>
      <c r="B923" t="n">
        <v>53791</v>
      </c>
      <c r="C923" s="5">
        <f>(B923-B922)/B922</f>
        <v/>
      </c>
      <c r="D923" t="n">
        <v>1243.14</v>
      </c>
      <c r="E923" s="5">
        <f>(D923-D922)/D922</f>
        <v/>
      </c>
    </row>
    <row r="924">
      <c r="A924" t="inlineStr">
        <is>
          <t>2023-09-08</t>
        </is>
      </c>
      <c r="B924" t="n">
        <v>54280</v>
      </c>
      <c r="C924" s="5">
        <f>(B924-B923)/B923</f>
        <v/>
      </c>
      <c r="D924" t="n">
        <v>1241.48</v>
      </c>
      <c r="E924" s="5">
        <f>(D924-D923)/D923</f>
        <v/>
      </c>
    </row>
    <row r="925">
      <c r="A925" t="inlineStr">
        <is>
          <t>2023-09-11</t>
        </is>
      </c>
      <c r="B925" t="n">
        <v>53302</v>
      </c>
      <c r="C925" s="5">
        <f>(B925-B924)/B924</f>
        <v/>
      </c>
      <c r="D925" t="n">
        <v>1223.63</v>
      </c>
      <c r="E925" s="5">
        <f>(D925-D924)/D924</f>
        <v/>
      </c>
    </row>
    <row r="926">
      <c r="A926" t="inlineStr">
        <is>
          <t>2023-09-12</t>
        </is>
      </c>
      <c r="B926" t="n">
        <v>54573</v>
      </c>
      <c r="C926" s="5">
        <f>(B926-B925)/B925</f>
        <v/>
      </c>
      <c r="D926" t="n">
        <v>1245.44</v>
      </c>
      <c r="E926" s="5">
        <f>(D926-D925)/D925</f>
        <v/>
      </c>
    </row>
    <row r="927">
      <c r="A927" t="inlineStr">
        <is>
          <t>2023-09-13</t>
        </is>
      </c>
      <c r="B927" t="n">
        <v>56236</v>
      </c>
      <c r="C927" s="5">
        <f>(B927-B926)/B926</f>
        <v/>
      </c>
      <c r="D927" t="n">
        <v>1238.39</v>
      </c>
      <c r="E927" s="5">
        <f>(D927-D926)/D926</f>
        <v/>
      </c>
    </row>
    <row r="928">
      <c r="A928" t="inlineStr">
        <is>
          <t>2023-09-14</t>
        </is>
      </c>
      <c r="B928" t="n">
        <v>56040</v>
      </c>
      <c r="C928" s="5">
        <f>(B928-B927)/B927</f>
        <v/>
      </c>
      <c r="D928" t="n">
        <v>1223.81</v>
      </c>
      <c r="E928" s="5">
        <f>(D928-D927)/D927</f>
        <v/>
      </c>
    </row>
    <row r="929">
      <c r="A929" t="inlineStr">
        <is>
          <t>2023-09-15</t>
        </is>
      </c>
      <c r="B929" t="n">
        <v>54671</v>
      </c>
      <c r="C929" s="5">
        <f>(B929-B928)/B928</f>
        <v/>
      </c>
      <c r="D929" t="n">
        <v>1227.36</v>
      </c>
      <c r="E929" s="5">
        <f>(D929-D928)/D928</f>
        <v/>
      </c>
    </row>
    <row r="930">
      <c r="A930" t="inlineStr">
        <is>
          <t>2023-09-18</t>
        </is>
      </c>
      <c r="B930" t="n">
        <v>53791</v>
      </c>
      <c r="C930" s="5">
        <f>(B930-B929)/B929</f>
        <v/>
      </c>
      <c r="D930" t="n">
        <v>1211.81</v>
      </c>
      <c r="E930" s="5">
        <f>(D930-D929)/D929</f>
        <v/>
      </c>
    </row>
    <row r="931">
      <c r="A931" t="inlineStr">
        <is>
          <t>2023-09-19</t>
        </is>
      </c>
      <c r="B931" t="n">
        <v>54280</v>
      </c>
      <c r="C931" s="5">
        <f>(B931-B930)/B930</f>
        <v/>
      </c>
      <c r="D931" t="n">
        <v>1211.5</v>
      </c>
      <c r="E931" s="5">
        <f>(D931-D930)/D930</f>
        <v/>
      </c>
    </row>
    <row r="932">
      <c r="A932" t="inlineStr">
        <is>
          <t>2023-09-20</t>
        </is>
      </c>
      <c r="B932" t="n">
        <v>54573</v>
      </c>
      <c r="C932" s="5">
        <f>(B932-B931)/B931</f>
        <v/>
      </c>
      <c r="D932" t="n">
        <v>1226.11</v>
      </c>
      <c r="E932" s="5">
        <f>(D932-D931)/D931</f>
        <v/>
      </c>
    </row>
    <row r="933">
      <c r="A933" t="inlineStr">
        <is>
          <t>2023-09-21</t>
        </is>
      </c>
      <c r="B933" t="n">
        <v>53008</v>
      </c>
      <c r="C933" s="5">
        <f>(B933-B932)/B932</f>
        <v/>
      </c>
      <c r="D933" t="n">
        <v>1212.74</v>
      </c>
      <c r="E933" s="5">
        <f>(D933-D932)/D932</f>
        <v/>
      </c>
    </row>
    <row r="934">
      <c r="A934" t="inlineStr">
        <is>
          <t>2023-09-22</t>
        </is>
      </c>
      <c r="B934" t="n">
        <v>50954</v>
      </c>
      <c r="C934" s="5">
        <f>(B934-B933)/B933</f>
        <v/>
      </c>
      <c r="D934" t="n">
        <v>1193.05</v>
      </c>
      <c r="E934" s="5">
        <f>(D934-D933)/D933</f>
        <v/>
      </c>
    </row>
    <row r="935">
      <c r="A935" t="inlineStr">
        <is>
          <t>2023-09-25</t>
        </is>
      </c>
      <c r="B935" t="n">
        <v>49879</v>
      </c>
      <c r="C935" s="5">
        <f>(B935-B934)/B934</f>
        <v/>
      </c>
      <c r="D935" t="n">
        <v>1153.2</v>
      </c>
      <c r="E935" s="5">
        <f>(D935-D934)/D934</f>
        <v/>
      </c>
    </row>
    <row r="936">
      <c r="A936" t="inlineStr">
        <is>
          <t>2023-09-26</t>
        </is>
      </c>
      <c r="B936" t="n">
        <v>50368</v>
      </c>
      <c r="C936" s="5">
        <f>(B936-B935)/B935</f>
        <v/>
      </c>
      <c r="D936" t="n">
        <v>1137.96</v>
      </c>
      <c r="E936" s="5">
        <f>(D936-D935)/D935</f>
        <v/>
      </c>
    </row>
    <row r="937">
      <c r="A937" t="inlineStr">
        <is>
          <t>2023-09-27</t>
        </is>
      </c>
      <c r="B937" t="n">
        <v>50857</v>
      </c>
      <c r="C937" s="5">
        <f>(B937-B936)/B936</f>
        <v/>
      </c>
      <c r="D937" t="n">
        <v>1153.85</v>
      </c>
      <c r="E937" s="5">
        <f>(D937-D936)/D936</f>
        <v/>
      </c>
    </row>
    <row r="938">
      <c r="A938" t="inlineStr">
        <is>
          <t>2023-09-28</t>
        </is>
      </c>
      <c r="B938" t="n">
        <v>51835</v>
      </c>
      <c r="C938" s="5">
        <f>(B938-B937)/B937</f>
        <v/>
      </c>
      <c r="D938" t="n">
        <v>1152.43</v>
      </c>
      <c r="E938" s="5">
        <f>(D938-D937)/D937</f>
        <v/>
      </c>
    </row>
    <row r="939">
      <c r="A939" t="inlineStr">
        <is>
          <t>2023-09-29</t>
        </is>
      </c>
      <c r="B939" t="n">
        <v>51443</v>
      </c>
      <c r="C939" s="5">
        <f>(B939-B938)/B938</f>
        <v/>
      </c>
      <c r="D939" t="n">
        <v>1154.15</v>
      </c>
      <c r="E939" s="5">
        <f>(D939-D938)/D938</f>
        <v/>
      </c>
    </row>
    <row r="940">
      <c r="A940" t="inlineStr">
        <is>
          <t>2023-10-02</t>
        </is>
      </c>
      <c r="B940" t="n">
        <v>50759</v>
      </c>
      <c r="C940" s="5">
        <f>(B940-B939)/B939</f>
        <v/>
      </c>
      <c r="D940" t="n">
        <v>1155.25</v>
      </c>
      <c r="E940" s="5">
        <f>(D940-D939)/D939</f>
        <v/>
      </c>
    </row>
    <row r="941">
      <c r="A941" t="inlineStr">
        <is>
          <t>2023-10-03</t>
        </is>
      </c>
      <c r="B941" t="n">
        <v>47923</v>
      </c>
      <c r="C941" s="5">
        <f>(B941-B940)/B940</f>
        <v/>
      </c>
      <c r="D941" t="n">
        <v>1118.1</v>
      </c>
      <c r="E941" s="5">
        <f>(D941-D940)/D940</f>
        <v/>
      </c>
    </row>
    <row r="942">
      <c r="A942" t="inlineStr">
        <is>
          <t>2023-10-04</t>
        </is>
      </c>
      <c r="B942" t="n">
        <v>48118</v>
      </c>
      <c r="C942" s="5">
        <f>(B942-B941)/B941</f>
        <v/>
      </c>
      <c r="D942" t="n">
        <v>1128.67</v>
      </c>
      <c r="E942" s="5">
        <f>(D942-D941)/D941</f>
        <v/>
      </c>
    </row>
    <row r="943">
      <c r="A943" t="inlineStr">
        <is>
          <t>2023-10-05</t>
        </is>
      </c>
      <c r="B943" t="n">
        <v>45967</v>
      </c>
      <c r="C943" s="5">
        <f>(B943-B942)/B942</f>
        <v/>
      </c>
      <c r="D943" t="n">
        <v>1113.89</v>
      </c>
      <c r="E943" s="5">
        <f>(D943-D942)/D942</f>
        <v/>
      </c>
    </row>
    <row r="944">
      <c r="A944" t="inlineStr">
        <is>
          <t>2023-10-06</t>
        </is>
      </c>
      <c r="B944" t="n">
        <v>47238</v>
      </c>
      <c r="C944" s="5">
        <f>(B944-B943)/B943</f>
        <v/>
      </c>
      <c r="D944" t="n">
        <v>1128.54</v>
      </c>
      <c r="E944" s="5">
        <f>(D944-D943)/D943</f>
        <v/>
      </c>
    </row>
    <row r="945">
      <c r="A945" t="inlineStr">
        <is>
          <t>2023-10-09</t>
        </is>
      </c>
      <c r="B945" t="n">
        <v>46896</v>
      </c>
      <c r="C945" s="5">
        <f>(B945-B944)/B944</f>
        <v/>
      </c>
      <c r="D945" t="n">
        <v>1137.36</v>
      </c>
      <c r="E945" s="5">
        <f>(D945-D944)/D944</f>
        <v/>
      </c>
    </row>
    <row r="946">
      <c r="A946" t="inlineStr">
        <is>
          <t>2023-10-10</t>
        </is>
      </c>
      <c r="B946" t="n">
        <v>47776</v>
      </c>
      <c r="C946" s="5">
        <f>(B946-B945)/B945</f>
        <v/>
      </c>
      <c r="D946" t="n">
        <v>1143.69</v>
      </c>
      <c r="E946" s="5">
        <f>(D946-D945)/D945</f>
        <v/>
      </c>
    </row>
    <row r="947">
      <c r="A947" t="inlineStr">
        <is>
          <t>2023-10-11</t>
        </is>
      </c>
      <c r="B947" t="n">
        <v>48216</v>
      </c>
      <c r="C947" s="5">
        <f>(B947-B946)/B946</f>
        <v/>
      </c>
      <c r="D947" t="n">
        <v>1150.81</v>
      </c>
      <c r="E947" s="5">
        <f>(D947-D946)/D946</f>
        <v/>
      </c>
    </row>
    <row r="948">
      <c r="A948" t="inlineStr">
        <is>
          <t>2023-10-12</t>
        </is>
      </c>
      <c r="B948" t="n">
        <v>47336</v>
      </c>
      <c r="C948" s="5">
        <f>(B948-B947)/B947</f>
        <v/>
      </c>
      <c r="D948" t="n">
        <v>1151.61</v>
      </c>
      <c r="E948" s="5">
        <f>(D948-D947)/D947</f>
        <v/>
      </c>
    </row>
    <row r="949">
      <c r="A949" t="inlineStr">
        <is>
          <t>2023-10-13</t>
        </is>
      </c>
      <c r="B949" t="n">
        <v>48412</v>
      </c>
      <c r="C949" s="5">
        <f>(B949-B948)/B948</f>
        <v/>
      </c>
      <c r="D949" t="n">
        <v>1154.73</v>
      </c>
      <c r="E949" s="5">
        <f>(D949-D948)/D948</f>
        <v/>
      </c>
    </row>
    <row r="950">
      <c r="A950" t="inlineStr">
        <is>
          <t>2023-10-16</t>
        </is>
      </c>
      <c r="B950" t="n">
        <v>47531</v>
      </c>
      <c r="C950" s="5">
        <f>(B950-B949)/B949</f>
        <v/>
      </c>
      <c r="D950" t="n">
        <v>1141.42</v>
      </c>
      <c r="E950" s="5">
        <f>(D950-D949)/D949</f>
        <v/>
      </c>
    </row>
    <row r="951">
      <c r="A951" t="inlineStr">
        <is>
          <t>2023-10-17</t>
        </is>
      </c>
      <c r="B951" t="n">
        <v>45282</v>
      </c>
      <c r="C951" s="5">
        <f>(B951-B950)/B950</f>
        <v/>
      </c>
      <c r="D951" t="n">
        <v>1121.65</v>
      </c>
      <c r="E951" s="5">
        <f>(D951-D950)/D950</f>
        <v/>
      </c>
    </row>
    <row r="952">
      <c r="A952" t="inlineStr">
        <is>
          <t>2023-10-18</t>
        </is>
      </c>
      <c r="B952" t="n">
        <v>43717</v>
      </c>
      <c r="C952" s="5">
        <f>(B952-B951)/B951</f>
        <v/>
      </c>
      <c r="D952" t="n">
        <v>1103.4</v>
      </c>
      <c r="E952" s="5">
        <f>(D952-D951)/D951</f>
        <v/>
      </c>
    </row>
    <row r="953">
      <c r="A953" t="inlineStr">
        <is>
          <t>2023-10-19</t>
        </is>
      </c>
      <c r="B953" t="n">
        <v>42055</v>
      </c>
      <c r="C953" s="5">
        <f>(B953-B952)/B952</f>
        <v/>
      </c>
      <c r="D953" t="n">
        <v>1087.85</v>
      </c>
      <c r="E953" s="5">
        <f>(D953-D952)/D952</f>
        <v/>
      </c>
    </row>
    <row r="954">
      <c r="A954" t="inlineStr">
        <is>
          <t>2023-10-20</t>
        </is>
      </c>
      <c r="B954" t="n">
        <v>43717</v>
      </c>
      <c r="C954" s="5">
        <f>(B954-B953)/B953</f>
        <v/>
      </c>
      <c r="D954" t="n">
        <v>1108.03</v>
      </c>
      <c r="E954" s="5">
        <f>(D954-D953)/D953</f>
        <v/>
      </c>
    </row>
    <row r="955">
      <c r="A955" t="inlineStr">
        <is>
          <t>2023-10-23</t>
        </is>
      </c>
      <c r="B955" t="n">
        <v>42055</v>
      </c>
      <c r="C955" s="5">
        <f>(B955-B954)/B954</f>
        <v/>
      </c>
      <c r="D955" t="n">
        <v>1093.53</v>
      </c>
      <c r="E955" s="5">
        <f>(D955-D954)/D954</f>
        <v/>
      </c>
    </row>
    <row r="956">
      <c r="A956" t="inlineStr">
        <is>
          <t>2023-10-24</t>
        </is>
      </c>
      <c r="B956" t="n">
        <v>42055</v>
      </c>
      <c r="C956" s="5">
        <f>(B956-B955)/B955</f>
        <v/>
      </c>
      <c r="D956" t="n">
        <v>1105.9</v>
      </c>
      <c r="E956" s="5">
        <f>(D956-D955)/D955</f>
        <v/>
      </c>
    </row>
    <row r="957">
      <c r="A957" t="inlineStr">
        <is>
          <t>2023-10-25</t>
        </is>
      </c>
      <c r="B957" t="n">
        <v>42544</v>
      </c>
      <c r="C957" s="5">
        <f>(B957-B956)/B956</f>
        <v/>
      </c>
      <c r="D957" t="n">
        <v>1101.66</v>
      </c>
      <c r="E957" s="5">
        <f>(D957-D956)/D956</f>
        <v/>
      </c>
    </row>
    <row r="958">
      <c r="A958" t="inlineStr">
        <is>
          <t>2023-10-26</t>
        </is>
      </c>
      <c r="B958" t="n">
        <v>41077</v>
      </c>
      <c r="C958" s="5">
        <f>(B958-B957)/B957</f>
        <v/>
      </c>
      <c r="D958" t="n">
        <v>1055.45</v>
      </c>
      <c r="E958" s="5">
        <f>(D958-D957)/D957</f>
        <v/>
      </c>
    </row>
    <row r="959">
      <c r="A959" t="inlineStr">
        <is>
          <t>2023-10-27</t>
        </is>
      </c>
      <c r="B959" t="n">
        <v>41077</v>
      </c>
      <c r="C959" s="5">
        <f>(B959-B958)/B958</f>
        <v/>
      </c>
      <c r="D959" t="n">
        <v>1060.62</v>
      </c>
      <c r="E959" s="5">
        <f>(D959-D958)/D958</f>
        <v/>
      </c>
    </row>
    <row r="960">
      <c r="A960" t="inlineStr">
        <is>
          <t>2023-10-30</t>
        </is>
      </c>
      <c r="B960" t="n">
        <v>39609</v>
      </c>
      <c r="C960" s="5">
        <f>(B960-B959)/B959</f>
        <v/>
      </c>
      <c r="D960" t="n">
        <v>1042.4</v>
      </c>
      <c r="E960" s="5">
        <f>(D960-D959)/D959</f>
        <v/>
      </c>
    </row>
    <row r="961">
      <c r="A961" t="inlineStr">
        <is>
          <t>2023-10-31</t>
        </is>
      </c>
      <c r="B961" t="n">
        <v>36871</v>
      </c>
      <c r="C961" s="5">
        <f>(B961-B960)/B960</f>
        <v/>
      </c>
      <c r="D961" t="n">
        <v>1028.19</v>
      </c>
      <c r="E961" s="5">
        <f>(D961-D960)/D960</f>
        <v/>
      </c>
    </row>
    <row r="962">
      <c r="A962" t="inlineStr">
        <is>
          <t>2023-11-01</t>
        </is>
      </c>
      <c r="B962" t="n">
        <v>34328</v>
      </c>
      <c r="C962" s="5">
        <f>(B962-B961)/B961</f>
        <v/>
      </c>
      <c r="D962" t="n">
        <v>1039.66</v>
      </c>
      <c r="E962" s="5">
        <f>(D962-D961)/D961</f>
        <v/>
      </c>
    </row>
    <row r="963">
      <c r="A963" t="inlineStr">
        <is>
          <t>2023-11-02</t>
        </is>
      </c>
      <c r="B963" t="n">
        <v>36186</v>
      </c>
      <c r="C963" s="5">
        <f>(B963-B962)/B962</f>
        <v/>
      </c>
      <c r="D963" t="n">
        <v>1075.47</v>
      </c>
      <c r="E963" s="5">
        <f>(D963-D962)/D962</f>
        <v/>
      </c>
    </row>
    <row r="964">
      <c r="A964" t="inlineStr">
        <is>
          <t>2023-11-03</t>
        </is>
      </c>
      <c r="B964" t="n">
        <v>38094</v>
      </c>
      <c r="C964" s="5">
        <f>(B964-B963)/B963</f>
        <v/>
      </c>
      <c r="D964" t="n">
        <v>1076.78</v>
      </c>
      <c r="E964" s="5">
        <f>(D964-D963)/D963</f>
        <v/>
      </c>
    </row>
    <row r="965">
      <c r="A965" t="inlineStr">
        <is>
          <t>2023-11-06</t>
        </is>
      </c>
      <c r="B965" t="n">
        <v>37213</v>
      </c>
      <c r="C965" s="5">
        <f>(B965-B964)/B964</f>
        <v/>
      </c>
      <c r="D965" t="n">
        <v>1089.66</v>
      </c>
      <c r="E965" s="5">
        <f>(D965-D964)/D964</f>
        <v/>
      </c>
    </row>
    <row r="966">
      <c r="A966" t="inlineStr">
        <is>
          <t>2023-11-07</t>
        </is>
      </c>
      <c r="B966" t="n">
        <v>37360</v>
      </c>
      <c r="C966" s="5">
        <f>(B966-B965)/B965</f>
        <v/>
      </c>
      <c r="D966" t="n">
        <v>1080.29</v>
      </c>
      <c r="E966" s="5">
        <f>(D966-D965)/D965</f>
        <v/>
      </c>
    </row>
    <row r="967">
      <c r="A967" t="inlineStr">
        <is>
          <t>2023-11-08</t>
        </is>
      </c>
      <c r="B967" t="n">
        <v>38729</v>
      </c>
      <c r="C967" s="5">
        <f>(B967-B966)/B966</f>
        <v/>
      </c>
      <c r="D967" t="n">
        <v>1113.43</v>
      </c>
      <c r="E967" s="5">
        <f>(D967-D966)/D966</f>
        <v/>
      </c>
    </row>
    <row r="968">
      <c r="A968" t="inlineStr">
        <is>
          <t>2023-11-09</t>
        </is>
      </c>
      <c r="B968" t="n">
        <v>39414</v>
      </c>
      <c r="C968" s="5">
        <f>(B968-B967)/B967</f>
        <v/>
      </c>
      <c r="D968" t="n">
        <v>1113.89</v>
      </c>
      <c r="E968" s="5">
        <f>(D968-D967)/D967</f>
        <v/>
      </c>
    </row>
    <row r="969">
      <c r="A969" t="inlineStr">
        <is>
          <t>2023-11-10</t>
        </is>
      </c>
      <c r="B969" t="n">
        <v>38534</v>
      </c>
      <c r="C969" s="5">
        <f>(B969-B968)/B968</f>
        <v/>
      </c>
      <c r="D969" t="n">
        <v>1101.68</v>
      </c>
      <c r="E969" s="5">
        <f>(D969-D968)/D968</f>
        <v/>
      </c>
    </row>
    <row r="970">
      <c r="A970" t="inlineStr">
        <is>
          <t>2023-11-13</t>
        </is>
      </c>
      <c r="B970" t="n">
        <v>39120</v>
      </c>
      <c r="C970" s="5">
        <f>(B970-B969)/B969</f>
        <v/>
      </c>
      <c r="D970" t="n">
        <v>1100.07</v>
      </c>
      <c r="E970" s="5">
        <f>(D970-D969)/D969</f>
        <v/>
      </c>
    </row>
    <row r="971">
      <c r="A971" t="inlineStr">
        <is>
          <t>2023-11-14</t>
        </is>
      </c>
      <c r="B971" t="n">
        <v>40588</v>
      </c>
      <c r="C971" s="5">
        <f>(B971-B970)/B970</f>
        <v/>
      </c>
      <c r="D971" t="n">
        <v>1109.73</v>
      </c>
      <c r="E971" s="5">
        <f>(D971-D970)/D970</f>
        <v/>
      </c>
    </row>
    <row r="972">
      <c r="A972" t="inlineStr">
        <is>
          <t>2023-11-15</t>
        </is>
      </c>
      <c r="B972" t="n">
        <v>40979</v>
      </c>
      <c r="C972" s="5">
        <f>(B972-B971)/B971</f>
        <v/>
      </c>
      <c r="D972" t="n">
        <v>1122.5</v>
      </c>
      <c r="E972" s="5">
        <f>(D972-D971)/D971</f>
        <v/>
      </c>
    </row>
    <row r="973">
      <c r="A973" t="inlineStr">
        <is>
          <t>2023-11-16</t>
        </is>
      </c>
      <c r="B973" t="n">
        <v>40588</v>
      </c>
      <c r="C973" s="5">
        <f>(B973-B972)/B972</f>
        <v/>
      </c>
      <c r="D973" t="n">
        <v>1125.53</v>
      </c>
      <c r="E973" s="5">
        <f>(D973-D972)/D972</f>
        <v/>
      </c>
    </row>
    <row r="974">
      <c r="A974" t="inlineStr">
        <is>
          <t>2023-11-17</t>
        </is>
      </c>
      <c r="B974" t="n">
        <v>40490</v>
      </c>
      <c r="C974" s="5">
        <f>(B974-B973)/B973</f>
        <v/>
      </c>
      <c r="D974" t="n">
        <v>1101.19</v>
      </c>
      <c r="E974" s="5">
        <f>(D974-D973)/D973</f>
        <v/>
      </c>
    </row>
    <row r="975">
      <c r="A975" t="inlineStr">
        <is>
          <t>2023-11-20</t>
        </is>
      </c>
      <c r="B975" t="n">
        <v>39658</v>
      </c>
      <c r="C975" s="5">
        <f>(B975-B974)/B974</f>
        <v/>
      </c>
      <c r="D975" t="n">
        <v>1103.66</v>
      </c>
      <c r="E975" s="5">
        <f>(D975-D974)/D974</f>
        <v/>
      </c>
    </row>
    <row r="976">
      <c r="A976" t="inlineStr">
        <is>
          <t>2023-11-21</t>
        </is>
      </c>
      <c r="B976" t="n">
        <v>40001</v>
      </c>
      <c r="C976" s="5">
        <f>(B976-B975)/B975</f>
        <v/>
      </c>
      <c r="D976" t="n">
        <v>1110.46</v>
      </c>
      <c r="E976" s="5">
        <f>(D976-D975)/D975</f>
        <v/>
      </c>
    </row>
    <row r="977">
      <c r="A977" t="inlineStr">
        <is>
          <t>2023-11-22</t>
        </is>
      </c>
      <c r="B977" t="n">
        <v>38925</v>
      </c>
      <c r="C977" s="5">
        <f>(B977-B976)/B976</f>
        <v/>
      </c>
      <c r="D977" t="n">
        <v>1113.82</v>
      </c>
      <c r="E977" s="5">
        <f>(D977-D976)/D976</f>
        <v/>
      </c>
    </row>
    <row r="978">
      <c r="A978" t="inlineStr">
        <is>
          <t>2023-11-23</t>
        </is>
      </c>
      <c r="B978" t="n">
        <v>36480</v>
      </c>
      <c r="C978" s="5">
        <f>(B978-B977)/B977</f>
        <v/>
      </c>
      <c r="D978" t="n">
        <v>1088.49</v>
      </c>
      <c r="E978" s="5">
        <f>(D978-D977)/D977</f>
        <v/>
      </c>
    </row>
    <row r="979">
      <c r="A979" t="inlineStr">
        <is>
          <t>2023-11-24</t>
        </is>
      </c>
      <c r="B979" t="n">
        <v>37702</v>
      </c>
      <c r="C979" s="5">
        <f>(B979-B978)/B978</f>
        <v/>
      </c>
      <c r="D979" t="n">
        <v>1095.61</v>
      </c>
      <c r="E979" s="5">
        <f>(D979-D978)/D978</f>
        <v/>
      </c>
    </row>
    <row r="980">
      <c r="A980" t="inlineStr">
        <is>
          <t>2023-11-27</t>
        </is>
      </c>
      <c r="B980" t="n">
        <v>37164</v>
      </c>
      <c r="C980" s="5">
        <f>(B980-B979)/B979</f>
        <v/>
      </c>
      <c r="D980" t="n">
        <v>1088.06</v>
      </c>
      <c r="E980" s="5">
        <f>(D980-D979)/D979</f>
        <v/>
      </c>
    </row>
    <row r="981">
      <c r="A981" t="inlineStr">
        <is>
          <t>2023-11-28</t>
        </is>
      </c>
      <c r="B981" t="n">
        <v>37164</v>
      </c>
      <c r="C981" s="5">
        <f>(B981-B980)/B980</f>
        <v/>
      </c>
      <c r="D981" t="n">
        <v>1095.43</v>
      </c>
      <c r="E981" s="5">
        <f>(D981-D980)/D980</f>
        <v/>
      </c>
    </row>
    <row r="982">
      <c r="A982" t="inlineStr">
        <is>
          <t>2023-11-29</t>
        </is>
      </c>
      <c r="B982" t="n">
        <v>37947</v>
      </c>
      <c r="C982" s="5">
        <f>(B982-B981)/B981</f>
        <v/>
      </c>
      <c r="D982" t="n">
        <v>1102.8</v>
      </c>
      <c r="E982" s="5">
        <f>(D982-D981)/D981</f>
        <v/>
      </c>
    </row>
    <row r="983">
      <c r="A983" t="inlineStr">
        <is>
          <t>2023-11-30</t>
        </is>
      </c>
      <c r="B983" t="n">
        <v>37653</v>
      </c>
      <c r="C983" s="5">
        <f>(B983-B982)/B982</f>
        <v/>
      </c>
      <c r="D983" t="n">
        <v>1094.13</v>
      </c>
      <c r="E983" s="5">
        <f>(D983-D982)/D982</f>
        <v/>
      </c>
    </row>
    <row r="984">
      <c r="A984" t="inlineStr">
        <is>
          <t>2023-12-01</t>
        </is>
      </c>
      <c r="B984" t="n">
        <v>37898</v>
      </c>
      <c r="C984" s="5">
        <f>(B984-B983)/B983</f>
        <v/>
      </c>
      <c r="D984" t="n">
        <v>1102.16</v>
      </c>
      <c r="E984" s="5">
        <f>(D984-D983)/D983</f>
        <v/>
      </c>
    </row>
    <row r="985">
      <c r="A985" t="inlineStr">
        <is>
          <t>2023-12-04</t>
        </is>
      </c>
      <c r="B985" t="n">
        <v>39072</v>
      </c>
      <c r="C985" s="5">
        <f>(B985-B984)/B984</f>
        <v/>
      </c>
      <c r="D985" t="n">
        <v>1120.49</v>
      </c>
      <c r="E985" s="5">
        <f>(D985-D984)/D984</f>
        <v/>
      </c>
    </row>
    <row r="986">
      <c r="A986" t="inlineStr">
        <is>
          <t>2023-12-05</t>
        </is>
      </c>
      <c r="B986" t="n">
        <v>39120</v>
      </c>
      <c r="C986" s="5">
        <f>(B986-B985)/B985</f>
        <v/>
      </c>
      <c r="D986" t="n">
        <v>1115.97</v>
      </c>
      <c r="E986" s="5">
        <f>(D986-D985)/D985</f>
        <v/>
      </c>
    </row>
    <row r="987">
      <c r="A987" t="inlineStr">
        <is>
          <t>2023-12-06</t>
        </is>
      </c>
      <c r="B987" t="n">
        <v>40050</v>
      </c>
      <c r="C987" s="5">
        <f>(B987-B986)/B986</f>
        <v/>
      </c>
      <c r="D987" t="n">
        <v>1126.43</v>
      </c>
      <c r="E987" s="5">
        <f>(D987-D986)/D986</f>
        <v/>
      </c>
    </row>
    <row r="988">
      <c r="A988" t="inlineStr">
        <is>
          <t>2023-12-07</t>
        </is>
      </c>
      <c r="B988" t="n">
        <v>39952</v>
      </c>
      <c r="C988" s="5">
        <f>(B988-B987)/B987</f>
        <v/>
      </c>
      <c r="D988" t="n">
        <v>1121.49</v>
      </c>
      <c r="E988" s="5">
        <f>(D988-D987)/D987</f>
        <v/>
      </c>
    </row>
    <row r="989">
      <c r="A989" t="inlineStr">
        <is>
          <t>2023-12-08</t>
        </is>
      </c>
      <c r="B989" t="n">
        <v>41663</v>
      </c>
      <c r="C989" s="5">
        <f>(B989-B988)/B988</f>
        <v/>
      </c>
      <c r="D989" t="n">
        <v>1124.44</v>
      </c>
      <c r="E989" s="5">
        <f>(D989-D988)/D988</f>
        <v/>
      </c>
    </row>
    <row r="990">
      <c r="A990" t="inlineStr">
        <is>
          <t>2023-12-11</t>
        </is>
      </c>
      <c r="B990" t="n">
        <v>41566</v>
      </c>
      <c r="C990" s="5">
        <f>(B990-B989)/B989</f>
        <v/>
      </c>
      <c r="D990" t="n">
        <v>1125.5</v>
      </c>
      <c r="E990" s="5">
        <f>(D990-D989)/D989</f>
        <v/>
      </c>
    </row>
    <row r="991">
      <c r="A991" t="inlineStr">
        <is>
          <t>2023-12-12</t>
        </is>
      </c>
      <c r="B991" t="n">
        <v>41566</v>
      </c>
      <c r="C991" s="5">
        <f>(B991-B990)/B990</f>
        <v/>
      </c>
      <c r="D991" t="n">
        <v>1127.63</v>
      </c>
      <c r="E991" s="5">
        <f>(D991-D990)/D990</f>
        <v/>
      </c>
    </row>
    <row r="992">
      <c r="A992" t="inlineStr">
        <is>
          <t>2023-12-13</t>
        </is>
      </c>
      <c r="B992" t="n">
        <v>40783</v>
      </c>
      <c r="C992" s="5">
        <f>(B992-B991)/B991</f>
        <v/>
      </c>
      <c r="D992" t="n">
        <v>1114.2</v>
      </c>
      <c r="E992" s="5">
        <f>(D992-D991)/D991</f>
        <v/>
      </c>
    </row>
    <row r="993">
      <c r="A993" t="inlineStr">
        <is>
          <t>2023-12-14</t>
        </is>
      </c>
      <c r="B993" t="n">
        <v>40685</v>
      </c>
      <c r="C993" s="5">
        <f>(B993-B992)/B992</f>
        <v/>
      </c>
      <c r="D993" t="n">
        <v>1110.13</v>
      </c>
      <c r="E993" s="5">
        <f>(D993-D992)/D992</f>
        <v/>
      </c>
    </row>
    <row r="994">
      <c r="A994" t="inlineStr">
        <is>
          <t>2023-12-15</t>
        </is>
      </c>
      <c r="B994" t="n">
        <v>39854</v>
      </c>
      <c r="C994" s="5">
        <f>(B994-B993)/B993</f>
        <v/>
      </c>
      <c r="D994" t="n">
        <v>1102.3</v>
      </c>
      <c r="E994" s="5">
        <f>(D994-D993)/D993</f>
        <v/>
      </c>
    </row>
    <row r="995">
      <c r="A995" t="inlineStr">
        <is>
          <t>2023-12-18</t>
        </is>
      </c>
      <c r="B995" t="n">
        <v>38729</v>
      </c>
      <c r="C995" s="5">
        <f>(B995-B994)/B994</f>
        <v/>
      </c>
      <c r="D995" t="n">
        <v>1091.88</v>
      </c>
      <c r="E995" s="5">
        <f>(D995-D994)/D994</f>
        <v/>
      </c>
    </row>
    <row r="996">
      <c r="A996" t="inlineStr">
        <is>
          <t>2023-12-19</t>
        </is>
      </c>
      <c r="B996" t="n">
        <v>39756</v>
      </c>
      <c r="C996" s="5">
        <f>(B996-B995)/B995</f>
        <v/>
      </c>
      <c r="D996" t="n">
        <v>1096.3</v>
      </c>
      <c r="E996" s="5">
        <f>(D996-D995)/D995</f>
        <v/>
      </c>
    </row>
    <row r="997">
      <c r="A997" t="inlineStr">
        <is>
          <t>2023-12-20</t>
        </is>
      </c>
      <c r="B997" t="n">
        <v>41468</v>
      </c>
      <c r="C997" s="5">
        <f>(B997-B996)/B996</f>
        <v/>
      </c>
      <c r="D997" t="n">
        <v>1100.76</v>
      </c>
      <c r="E997" s="5">
        <f>(D997-D996)/D996</f>
        <v/>
      </c>
    </row>
    <row r="998">
      <c r="A998" t="inlineStr">
        <is>
          <t>2023-12-21</t>
        </is>
      </c>
      <c r="B998" t="n">
        <v>41712</v>
      </c>
      <c r="C998" s="5">
        <f>(B998-B997)/B997</f>
        <v/>
      </c>
      <c r="D998" t="n">
        <v>1102.43</v>
      </c>
      <c r="E998" s="5">
        <f>(D998-D997)/D997</f>
        <v/>
      </c>
    </row>
    <row r="999">
      <c r="A999" t="inlineStr">
        <is>
          <t>2023-12-22</t>
        </is>
      </c>
      <c r="B999" t="n">
        <v>41419</v>
      </c>
      <c r="C999" s="5">
        <f>(B999-B998)/B998</f>
        <v/>
      </c>
      <c r="D999" t="n">
        <v>1103.06</v>
      </c>
      <c r="E999" s="5">
        <f>(D999-D998)/D998</f>
        <v/>
      </c>
    </row>
    <row r="1000">
      <c r="A1000" t="inlineStr">
        <is>
          <t>2023-12-25</t>
        </is>
      </c>
      <c r="B1000" t="n">
        <v>41712</v>
      </c>
      <c r="C1000" s="5">
        <f>(B1000-B999)/B999</f>
        <v/>
      </c>
      <c r="D1000" t="n">
        <v>1117.66</v>
      </c>
      <c r="E1000" s="5">
        <f>(D1000-D999)/D999</f>
        <v/>
      </c>
    </row>
    <row r="1001">
      <c r="A1001" t="inlineStr">
        <is>
          <t>2023-12-26</t>
        </is>
      </c>
      <c r="B1001" t="n">
        <v>41761</v>
      </c>
      <c r="C1001" s="5">
        <f>(B1001-B1000)/B1000</f>
        <v/>
      </c>
      <c r="D1001" t="n">
        <v>1122.25</v>
      </c>
      <c r="E1001" s="5">
        <f>(D1001-D1000)/D1000</f>
        <v/>
      </c>
    </row>
    <row r="1002">
      <c r="A1002" t="inlineStr">
        <is>
          <t>2023-12-27</t>
        </is>
      </c>
      <c r="B1002" t="n">
        <v>41908</v>
      </c>
      <c r="C1002" s="5">
        <f>(B1002-B1001)/B1001</f>
        <v/>
      </c>
      <c r="D1002" t="n">
        <v>1121.99</v>
      </c>
      <c r="E1002" s="5">
        <f>(D1002-D1001)/D1001</f>
        <v/>
      </c>
    </row>
    <row r="1003">
      <c r="A1003" t="inlineStr">
        <is>
          <t>2023-12-28</t>
        </is>
      </c>
      <c r="B1003" t="n">
        <v>42103</v>
      </c>
      <c r="C1003" s="5">
        <f>(B1003-B1002)/B1002</f>
        <v/>
      </c>
      <c r="D1003" t="n">
        <v>1128.93</v>
      </c>
      <c r="E1003" s="5">
        <f>(D1003-D1002)/D1002</f>
        <v/>
      </c>
    </row>
    <row r="1004">
      <c r="A1004" t="inlineStr">
        <is>
          <t>2023-12-29</t>
        </is>
      </c>
      <c r="B1004" t="n">
        <v>41859</v>
      </c>
      <c r="C1004" s="5">
        <f>(B1004-B1003)/B1003</f>
        <v/>
      </c>
      <c r="D1004" t="n">
        <v>1129.93</v>
      </c>
      <c r="E1004" s="5">
        <f>(D1004-D1003)/D1003</f>
        <v/>
      </c>
    </row>
    <row r="1005">
      <c r="A1005" t="inlineStr">
        <is>
          <t>2024-01-02</t>
        </is>
      </c>
      <c r="B1005" t="n">
        <v>41517</v>
      </c>
      <c r="C1005" s="5">
        <f>(B1005-B1004)/B1004</f>
        <v/>
      </c>
      <c r="D1005" t="n">
        <v>1131.72</v>
      </c>
      <c r="E1005" s="5">
        <f>(D1005-D1004)/D1004</f>
        <v/>
      </c>
    </row>
    <row r="1006">
      <c r="A1006" t="inlineStr">
        <is>
          <t>2024-01-03</t>
        </is>
      </c>
      <c r="B1006" t="n">
        <v>42250</v>
      </c>
      <c r="C1006" s="5">
        <f>(B1006-B1005)/B1005</f>
        <v/>
      </c>
      <c r="D1006" t="n">
        <v>1144.17</v>
      </c>
      <c r="E1006" s="5">
        <f>(D1006-D1005)/D1005</f>
        <v/>
      </c>
    </row>
    <row r="1007">
      <c r="A1007" t="inlineStr">
        <is>
          <t>2024-01-04</t>
        </is>
      </c>
      <c r="B1007" t="n">
        <v>42250</v>
      </c>
      <c r="C1007" s="5">
        <f>(B1007-B1006)/B1006</f>
        <v/>
      </c>
      <c r="D1007" t="n">
        <v>1150.72</v>
      </c>
      <c r="E1007" s="5">
        <f>(D1007-D1006)/D1006</f>
        <v/>
      </c>
    </row>
    <row r="1008">
      <c r="A1008" t="inlineStr">
        <is>
          <t>2024-01-05</t>
        </is>
      </c>
      <c r="B1008" t="n">
        <v>42886</v>
      </c>
      <c r="C1008" s="5">
        <f>(B1008-B1007)/B1007</f>
        <v/>
      </c>
      <c r="D1008" t="n">
        <v>1154.68</v>
      </c>
      <c r="E1008" s="5">
        <f>(D1008-D1007)/D1007</f>
        <v/>
      </c>
    </row>
    <row r="1009">
      <c r="A1009" t="inlineStr">
        <is>
          <t>2024-01-08</t>
        </is>
      </c>
      <c r="B1009" t="n">
        <v>42250</v>
      </c>
      <c r="C1009" s="5">
        <f>(B1009-B1008)/B1008</f>
        <v/>
      </c>
      <c r="D1009" t="n">
        <v>1160.19</v>
      </c>
      <c r="E1009" s="5">
        <f>(D1009-D1008)/D1008</f>
        <v/>
      </c>
    </row>
    <row r="1010">
      <c r="A1010" t="inlineStr">
        <is>
          <t>2024-01-09</t>
        </is>
      </c>
      <c r="B1010" t="n">
        <v>41761</v>
      </c>
      <c r="C1010" s="5">
        <f>(B1010-B1009)/B1009</f>
        <v/>
      </c>
      <c r="D1010" t="n">
        <v>1158.59</v>
      </c>
      <c r="E1010" s="5">
        <f>(D1010-D1009)/D1009</f>
        <v/>
      </c>
    </row>
    <row r="1011">
      <c r="A1011" t="inlineStr">
        <is>
          <t>2024-01-10</t>
        </is>
      </c>
      <c r="B1011" t="n">
        <v>41321</v>
      </c>
      <c r="C1011" s="5">
        <f>(B1011-B1010)/B1010</f>
        <v/>
      </c>
      <c r="D1011" t="n">
        <v>1161.54</v>
      </c>
      <c r="E1011" s="5">
        <f>(D1011-D1010)/D1010</f>
        <v/>
      </c>
    </row>
    <row r="1012">
      <c r="A1012" t="inlineStr">
        <is>
          <t>2024-01-11</t>
        </is>
      </c>
      <c r="B1012" t="n">
        <v>41517</v>
      </c>
      <c r="C1012" s="5">
        <f>(B1012-B1011)/B1011</f>
        <v/>
      </c>
      <c r="D1012" t="n">
        <v>1162.22</v>
      </c>
      <c r="E1012" s="5">
        <f>(D1012-D1011)/D1011</f>
        <v/>
      </c>
    </row>
    <row r="1013">
      <c r="A1013" t="inlineStr">
        <is>
          <t>2024-01-12</t>
        </is>
      </c>
      <c r="B1013" t="n">
        <v>40979</v>
      </c>
      <c r="C1013" s="5">
        <f>(B1013-B1012)/B1012</f>
        <v/>
      </c>
      <c r="D1013" t="n">
        <v>1154.7</v>
      </c>
      <c r="E1013" s="5">
        <f>(D1013-D1012)/D1012</f>
        <v/>
      </c>
    </row>
    <row r="1014">
      <c r="A1014" t="inlineStr">
        <is>
          <t>2024-01-15</t>
        </is>
      </c>
      <c r="B1014" t="n">
        <v>41957</v>
      </c>
      <c r="C1014" s="5">
        <f>(B1014-B1013)/B1013</f>
        <v/>
      </c>
      <c r="D1014" t="n">
        <v>1154.12</v>
      </c>
      <c r="E1014" s="5">
        <f>(D1014-D1013)/D1013</f>
        <v/>
      </c>
    </row>
    <row r="1015">
      <c r="A1015" t="inlineStr">
        <is>
          <t>2024-01-16</t>
        </is>
      </c>
      <c r="B1015" t="n">
        <v>43326</v>
      </c>
      <c r="C1015" s="5">
        <f>(B1015-B1014)/B1014</f>
        <v/>
      </c>
      <c r="D1015" t="n">
        <v>1163.12</v>
      </c>
      <c r="E1015" s="5">
        <f>(D1015-D1014)/D1014</f>
        <v/>
      </c>
    </row>
    <row r="1016">
      <c r="A1016" t="inlineStr">
        <is>
          <t>2024-01-17</t>
        </is>
      </c>
      <c r="B1016" t="n">
        <v>43913</v>
      </c>
      <c r="C1016" s="5">
        <f>(B1016-B1015)/B1015</f>
        <v/>
      </c>
      <c r="D1016" t="n">
        <v>1162.53</v>
      </c>
      <c r="E1016" s="5">
        <f>(D1016-D1015)/D1015</f>
        <v/>
      </c>
    </row>
    <row r="1017">
      <c r="A1017" t="inlineStr">
        <is>
          <t>2024-01-18</t>
        </is>
      </c>
      <c r="B1017" t="n">
        <v>44842</v>
      </c>
      <c r="C1017" s="5">
        <f>(B1017-B1016)/B1016</f>
        <v/>
      </c>
      <c r="D1017" t="n">
        <v>1169.06</v>
      </c>
      <c r="E1017" s="5">
        <f>(D1017-D1016)/D1016</f>
        <v/>
      </c>
    </row>
    <row r="1018">
      <c r="A1018" t="inlineStr">
        <is>
          <t>2024-01-19</t>
        </is>
      </c>
      <c r="B1018" t="n">
        <v>45037</v>
      </c>
      <c r="C1018" s="5">
        <f>(B1018-B1017)/B1017</f>
        <v/>
      </c>
      <c r="D1018" t="n">
        <v>1181.5</v>
      </c>
      <c r="E1018" s="5">
        <f>(D1018-D1017)/D1017</f>
        <v/>
      </c>
    </row>
    <row r="1019">
      <c r="A1019" t="inlineStr">
        <is>
          <t>2024-01-22</t>
        </is>
      </c>
      <c r="B1019" t="n">
        <v>45135</v>
      </c>
      <c r="C1019" s="5">
        <f>(B1019-B1018)/B1018</f>
        <v/>
      </c>
      <c r="D1019" t="n">
        <v>1182.86</v>
      </c>
      <c r="E1019" s="5">
        <f>(D1019-D1018)/D1018</f>
        <v/>
      </c>
    </row>
    <row r="1020">
      <c r="A1020" t="inlineStr">
        <is>
          <t>2024-01-23</t>
        </is>
      </c>
      <c r="B1020" t="n">
        <v>44402</v>
      </c>
      <c r="C1020" s="5">
        <f>(B1020-B1019)/B1019</f>
        <v/>
      </c>
      <c r="D1020" t="n">
        <v>1177.5</v>
      </c>
      <c r="E1020" s="5">
        <f>(D1020-D1019)/D1019</f>
        <v/>
      </c>
    </row>
    <row r="1021">
      <c r="A1021" t="inlineStr">
        <is>
          <t>2024-01-24</t>
        </is>
      </c>
      <c r="B1021" t="n">
        <v>43424</v>
      </c>
      <c r="C1021" s="5">
        <f>(B1021-B1020)/B1020</f>
        <v/>
      </c>
      <c r="D1021" t="n">
        <v>1172.97</v>
      </c>
      <c r="E1021" s="5">
        <f>(D1021-D1020)/D1020</f>
        <v/>
      </c>
    </row>
    <row r="1022">
      <c r="A1022" t="inlineStr">
        <is>
          <t>2024-01-25</t>
        </is>
      </c>
      <c r="B1022" t="n">
        <v>44206</v>
      </c>
      <c r="C1022" s="5">
        <f>(B1022-B1021)/B1021</f>
        <v/>
      </c>
      <c r="D1022" t="n">
        <v>1170.37</v>
      </c>
      <c r="E1022" s="5">
        <f>(D1022-D1021)/D1021</f>
        <v/>
      </c>
    </row>
    <row r="1023">
      <c r="A1023" t="inlineStr">
        <is>
          <t>2024-01-26</t>
        </is>
      </c>
      <c r="B1023" t="n">
        <v>43913</v>
      </c>
      <c r="C1023" s="5">
        <f>(B1023-B1022)/B1022</f>
        <v/>
      </c>
      <c r="D1023" t="n">
        <v>1175.67</v>
      </c>
      <c r="E1023" s="5">
        <f>(D1023-D1022)/D1022</f>
        <v/>
      </c>
    </row>
    <row r="1024">
      <c r="A1024" t="inlineStr">
        <is>
          <t>2024-01-29</t>
        </is>
      </c>
      <c r="B1024" t="n">
        <v>43619</v>
      </c>
      <c r="C1024" s="5">
        <f>(B1024-B1023)/B1023</f>
        <v/>
      </c>
      <c r="D1024" t="n">
        <v>1175.69</v>
      </c>
      <c r="E1024" s="5">
        <f>(D1024-D1023)/D1023</f>
        <v/>
      </c>
    </row>
    <row r="1025">
      <c r="A1025" t="inlineStr">
        <is>
          <t>2024-01-30</t>
        </is>
      </c>
      <c r="B1025" t="n">
        <v>44402</v>
      </c>
      <c r="C1025" s="5">
        <f>(B1025-B1024)/B1024</f>
        <v/>
      </c>
      <c r="D1025" t="n">
        <v>1179.65</v>
      </c>
      <c r="E1025" s="5">
        <f>(D1025-D1024)/D1024</f>
        <v/>
      </c>
    </row>
    <row r="1026">
      <c r="A1026" t="inlineStr">
        <is>
          <t>2024-01-31</t>
        </is>
      </c>
      <c r="B1026" t="n">
        <v>44011</v>
      </c>
      <c r="C1026" s="5">
        <f>(B1026-B1025)/B1025</f>
        <v/>
      </c>
      <c r="D1026" t="n">
        <v>1164.31</v>
      </c>
      <c r="E1026" s="5">
        <f>(D1026-D1025)/D1025</f>
        <v/>
      </c>
    </row>
    <row r="1027">
      <c r="A1027" t="inlineStr">
        <is>
          <t>2024-02-01</t>
        </is>
      </c>
      <c r="B1027" t="n">
        <v>45184</v>
      </c>
      <c r="C1027" s="5">
        <f>(B1027-B1026)/B1026</f>
        <v/>
      </c>
      <c r="D1027" t="n">
        <v>1173.02</v>
      </c>
      <c r="E1027" s="5">
        <f>(D1027-D1026)/D1026</f>
        <v/>
      </c>
    </row>
    <row r="1028">
      <c r="A1028" t="inlineStr">
        <is>
          <t>2024-02-02</t>
        </is>
      </c>
      <c r="B1028" t="n">
        <v>46358</v>
      </c>
      <c r="C1028" s="5">
        <f>(B1028-B1027)/B1027</f>
        <v/>
      </c>
      <c r="D1028" t="n">
        <v>1172.55</v>
      </c>
      <c r="E1028" s="5">
        <f>(D1028-D1027)/D1027</f>
        <v/>
      </c>
    </row>
    <row r="1029">
      <c r="A1029" t="inlineStr">
        <is>
          <t>2024-02-05</t>
        </is>
      </c>
      <c r="B1029" t="n">
        <v>46358</v>
      </c>
      <c r="C1029" s="5">
        <f>(B1029-B1028)/B1028</f>
        <v/>
      </c>
      <c r="D1029" t="n">
        <v>1186.06</v>
      </c>
      <c r="E1029" s="5">
        <f>(D1029-D1028)/D1028</f>
        <v/>
      </c>
    </row>
    <row r="1030">
      <c r="A1030" t="inlineStr">
        <is>
          <t>2024-02-06</t>
        </is>
      </c>
      <c r="B1030" t="n">
        <v>45967</v>
      </c>
      <c r="C1030" s="5">
        <f>(B1030-B1029)/B1029</f>
        <v/>
      </c>
      <c r="D1030" t="n">
        <v>1188.48</v>
      </c>
      <c r="E1030" s="5">
        <f>(D1030-D1029)/D1029</f>
        <v/>
      </c>
    </row>
    <row r="1031">
      <c r="A1031" t="inlineStr">
        <is>
          <t>2024-02-07</t>
        </is>
      </c>
      <c r="B1031" t="n">
        <v>45575</v>
      </c>
      <c r="C1031" s="5">
        <f>(B1031-B1030)/B1030</f>
        <v/>
      </c>
      <c r="D1031" t="n">
        <v>1198.53</v>
      </c>
      <c r="E1031" s="5">
        <f>(D1031-D1030)/D1030</f>
        <v/>
      </c>
    </row>
    <row r="1032">
      <c r="A1032" t="inlineStr">
        <is>
          <t>2024-02-15</t>
        </is>
      </c>
      <c r="B1032" t="n">
        <v>44842</v>
      </c>
      <c r="C1032" s="5">
        <f>(B1032-B1031)/B1031</f>
        <v/>
      </c>
      <c r="D1032" t="n">
        <v>1202.5</v>
      </c>
      <c r="E1032" s="5">
        <f>(D1032-D1031)/D1031</f>
        <v/>
      </c>
    </row>
    <row r="1033">
      <c r="A1033" t="inlineStr">
        <is>
          <t>2024-02-16</t>
        </is>
      </c>
      <c r="B1033" t="n">
        <v>45282</v>
      </c>
      <c r="C1033" s="5">
        <f>(B1033-B1032)/B1032</f>
        <v/>
      </c>
      <c r="D1033" t="n">
        <v>1209.7</v>
      </c>
      <c r="E1033" s="5">
        <f>(D1033-D1032)/D1032</f>
        <v/>
      </c>
    </row>
    <row r="1034">
      <c r="A1034" t="inlineStr">
        <is>
          <t>2024-02-19</t>
        </is>
      </c>
      <c r="B1034" t="n">
        <v>45771</v>
      </c>
      <c r="C1034" s="5">
        <f>(B1034-B1033)/B1033</f>
        <v/>
      </c>
      <c r="D1034" t="n">
        <v>1224.97</v>
      </c>
      <c r="E1034" s="5">
        <f>(D1034-D1033)/D1033</f>
        <v/>
      </c>
    </row>
    <row r="1035">
      <c r="A1035" t="inlineStr">
        <is>
          <t>2024-02-20</t>
        </is>
      </c>
      <c r="B1035" t="n">
        <v>45771</v>
      </c>
      <c r="C1035" s="5">
        <f>(B1035-B1034)/B1034</f>
        <v/>
      </c>
      <c r="D1035" t="n">
        <v>1230.06</v>
      </c>
      <c r="E1035" s="5">
        <f>(D1035-D1034)/D1034</f>
        <v/>
      </c>
    </row>
    <row r="1036">
      <c r="A1036" t="inlineStr">
        <is>
          <t>2024-02-21</t>
        </is>
      </c>
      <c r="B1036" t="n">
        <v>45086</v>
      </c>
      <c r="C1036" s="5">
        <f>(B1036-B1035)/B1035</f>
        <v/>
      </c>
      <c r="D1036" t="n">
        <v>1230.04</v>
      </c>
      <c r="E1036" s="5">
        <f>(D1036-D1035)/D1035</f>
        <v/>
      </c>
    </row>
    <row r="1037">
      <c r="A1037" t="inlineStr">
        <is>
          <t>2024-02-22</t>
        </is>
      </c>
      <c r="B1037" t="n">
        <v>44304</v>
      </c>
      <c r="C1037" s="5">
        <f>(B1037-B1036)/B1036</f>
        <v/>
      </c>
      <c r="D1037" t="n">
        <v>1227.31</v>
      </c>
      <c r="E1037" s="5">
        <f>(D1037-D1036)/D1036</f>
        <v/>
      </c>
    </row>
    <row r="1038">
      <c r="A1038" t="inlineStr">
        <is>
          <t>2024-02-23</t>
        </is>
      </c>
      <c r="B1038" t="n">
        <v>43033</v>
      </c>
      <c r="C1038" s="5">
        <f>(B1038-B1037)/B1037</f>
        <v/>
      </c>
      <c r="D1038" t="n">
        <v>1212</v>
      </c>
      <c r="E1038" s="5">
        <f>(D1038-D1037)/D1037</f>
        <v/>
      </c>
    </row>
    <row r="1039">
      <c r="A1039" t="inlineStr">
        <is>
          <t>2024-02-26</t>
        </is>
      </c>
      <c r="B1039" t="n">
        <v>43375</v>
      </c>
      <c r="C1039" s="5">
        <f>(B1039-B1038)/B1038</f>
        <v/>
      </c>
      <c r="D1039" t="n">
        <v>1224.17</v>
      </c>
      <c r="E1039" s="5">
        <f>(D1039-D1038)/D1038</f>
        <v/>
      </c>
    </row>
    <row r="1040">
      <c r="A1040" t="inlineStr">
        <is>
          <t>2024-02-27</t>
        </is>
      </c>
      <c r="B1040" t="n">
        <v>43766</v>
      </c>
      <c r="C1040" s="5">
        <f>(B1040-B1039)/B1039</f>
        <v/>
      </c>
      <c r="D1040" t="n">
        <v>1237.46</v>
      </c>
      <c r="E1040" s="5">
        <f>(D1040-D1039)/D1039</f>
        <v/>
      </c>
    </row>
    <row r="1041">
      <c r="A1041" t="inlineStr">
        <is>
          <t>2024-02-28</t>
        </is>
      </c>
      <c r="B1041" t="n">
        <v>44304</v>
      </c>
      <c r="C1041" s="5">
        <f>(B1041-B1040)/B1040</f>
        <v/>
      </c>
      <c r="D1041" t="n">
        <v>1254.55</v>
      </c>
      <c r="E1041" s="5">
        <f>(D1041-D1040)/D1040</f>
        <v/>
      </c>
    </row>
    <row r="1042">
      <c r="A1042" t="inlineStr">
        <is>
          <t>2024-02-29</t>
        </is>
      </c>
      <c r="B1042" t="n">
        <v>45184</v>
      </c>
      <c r="C1042" s="5">
        <f>(B1042-B1041)/B1041</f>
        <v/>
      </c>
      <c r="D1042" t="n">
        <v>1252.73</v>
      </c>
      <c r="E1042" s="5">
        <f>(D1042-D1041)/D1041</f>
        <v/>
      </c>
    </row>
    <row r="1043">
      <c r="A1043" t="inlineStr">
        <is>
          <t>2024-03-01</t>
        </is>
      </c>
      <c r="B1043" t="n">
        <v>45575</v>
      </c>
      <c r="C1043" s="5">
        <f>(B1043-B1042)/B1042</f>
        <v/>
      </c>
      <c r="D1043" t="n">
        <v>1258.28</v>
      </c>
      <c r="E1043" s="5">
        <f>(D1043-D1042)/D1042</f>
        <v/>
      </c>
    </row>
    <row r="1044">
      <c r="A1044" t="inlineStr">
        <is>
          <t>2024-03-04</t>
        </is>
      </c>
      <c r="B1044" t="n">
        <v>46358</v>
      </c>
      <c r="C1044" s="5">
        <f>(B1044-B1043)/B1043</f>
        <v/>
      </c>
      <c r="D1044" t="n">
        <v>1261.41</v>
      </c>
      <c r="E1044" s="5">
        <f>(D1044-D1043)/D1043</f>
        <v/>
      </c>
    </row>
    <row r="1045">
      <c r="A1045" t="inlineStr">
        <is>
          <t>2024-03-05</t>
        </is>
      </c>
      <c r="B1045" t="n">
        <v>48901</v>
      </c>
      <c r="C1045" s="5">
        <f>(B1045-B1044)/B1044</f>
        <v/>
      </c>
      <c r="D1045" t="n">
        <v>1269.98</v>
      </c>
      <c r="E1045" s="5">
        <f>(D1045-D1044)/D1044</f>
        <v/>
      </c>
    </row>
    <row r="1046">
      <c r="A1046" t="inlineStr">
        <is>
          <t>2024-03-06</t>
        </is>
      </c>
      <c r="B1046" t="n">
        <v>47629</v>
      </c>
      <c r="C1046" s="5">
        <f>(B1046-B1045)/B1045</f>
        <v/>
      </c>
      <c r="D1046" t="n">
        <v>1262.73</v>
      </c>
      <c r="E1046" s="5">
        <f>(D1046-D1045)/D1045</f>
        <v/>
      </c>
    </row>
    <row r="1047">
      <c r="A1047" t="inlineStr">
        <is>
          <t>2024-03-07</t>
        </is>
      </c>
      <c r="B1047" t="n">
        <v>47923</v>
      </c>
      <c r="C1047" s="5">
        <f>(B1047-B1046)/B1046</f>
        <v/>
      </c>
      <c r="D1047" t="n">
        <v>1268.46</v>
      </c>
      <c r="E1047" s="5">
        <f>(D1047-D1046)/D1046</f>
        <v/>
      </c>
    </row>
    <row r="1048">
      <c r="A1048" t="inlineStr">
        <is>
          <t>2024-03-08</t>
        </is>
      </c>
      <c r="B1048" t="n">
        <v>46700</v>
      </c>
      <c r="C1048" s="5">
        <f>(B1048-B1047)/B1047</f>
        <v/>
      </c>
      <c r="D1048" t="n">
        <v>1247.35</v>
      </c>
      <c r="E1048" s="5">
        <f>(D1048-D1047)/D1047</f>
        <v/>
      </c>
    </row>
    <row r="1049">
      <c r="A1049" t="inlineStr">
        <is>
          <t>2024-03-11</t>
        </is>
      </c>
      <c r="B1049" t="n">
        <v>45380</v>
      </c>
      <c r="C1049" s="5">
        <f>(B1049-B1048)/B1048</f>
        <v/>
      </c>
      <c r="D1049" t="n">
        <v>1235.49</v>
      </c>
      <c r="E1049" s="5">
        <f>(D1049-D1048)/D1048</f>
        <v/>
      </c>
    </row>
    <row r="1050">
      <c r="A1050" t="inlineStr">
        <is>
          <t>2024-03-12</t>
        </is>
      </c>
      <c r="B1050" t="n">
        <v>45722</v>
      </c>
      <c r="C1050" s="5">
        <f>(B1050-B1049)/B1049</f>
        <v/>
      </c>
      <c r="D1050" t="n">
        <v>1245</v>
      </c>
      <c r="E1050" s="5">
        <f>(D1050-D1049)/D1049</f>
        <v/>
      </c>
    </row>
    <row r="1051">
      <c r="A1051" t="inlineStr">
        <is>
          <t>2024-03-13</t>
        </is>
      </c>
      <c r="B1051" t="n">
        <v>47482</v>
      </c>
      <c r="C1051" s="5">
        <f>(B1051-B1050)/B1050</f>
        <v/>
      </c>
      <c r="D1051" t="n">
        <v>1270.51</v>
      </c>
      <c r="E1051" s="5">
        <f>(D1051-D1050)/D1050</f>
        <v/>
      </c>
    </row>
    <row r="1052">
      <c r="A1052" t="inlineStr">
        <is>
          <t>2024-03-14</t>
        </is>
      </c>
      <c r="B1052" t="n">
        <v>46211</v>
      </c>
      <c r="C1052" s="5">
        <f>(B1052-B1051)/B1051</f>
        <v/>
      </c>
      <c r="D1052" t="n">
        <v>1264.26</v>
      </c>
      <c r="E1052" s="5">
        <f>(D1052-D1051)/D1051</f>
        <v/>
      </c>
    </row>
    <row r="1053">
      <c r="A1053" t="inlineStr">
        <is>
          <t>2024-03-15</t>
        </is>
      </c>
      <c r="B1053" t="n">
        <v>46309</v>
      </c>
      <c r="C1053" s="5">
        <f>(B1053-B1052)/B1052</f>
        <v/>
      </c>
      <c r="D1053" t="n">
        <v>1263.78</v>
      </c>
      <c r="E1053" s="5">
        <f>(D1053-D1052)/D1052</f>
        <v/>
      </c>
    </row>
    <row r="1054">
      <c r="A1054" t="inlineStr">
        <is>
          <t>2024-03-18</t>
        </is>
      </c>
      <c r="B1054" t="n">
        <v>44891</v>
      </c>
      <c r="C1054" s="5">
        <f>(B1054-B1053)/B1053</f>
        <v/>
      </c>
      <c r="D1054" t="n">
        <v>1243.56</v>
      </c>
      <c r="E1054" s="5">
        <f>(D1054-D1053)/D1053</f>
        <v/>
      </c>
    </row>
    <row r="1055">
      <c r="A1055" t="inlineStr">
        <is>
          <t>2024-03-19</t>
        </is>
      </c>
      <c r="B1055" t="n">
        <v>44500</v>
      </c>
      <c r="C1055" s="5">
        <f>(B1055-B1054)/B1054</f>
        <v/>
      </c>
      <c r="D1055" t="n">
        <v>1242.46</v>
      </c>
      <c r="E1055" s="5">
        <f>(D1055-D1054)/D1054</f>
        <v/>
      </c>
    </row>
    <row r="1056">
      <c r="A1056" t="inlineStr">
        <is>
          <t>2024-03-20</t>
        </is>
      </c>
      <c r="B1056" t="n">
        <v>46945</v>
      </c>
      <c r="C1056" s="5">
        <f>(B1056-B1055)/B1055</f>
        <v/>
      </c>
      <c r="D1056" t="n">
        <v>1260.08</v>
      </c>
      <c r="E1056" s="5">
        <f>(D1056-D1055)/D1055</f>
        <v/>
      </c>
    </row>
    <row r="1057">
      <c r="A1057" t="inlineStr">
        <is>
          <t>2024-03-21</t>
        </is>
      </c>
      <c r="B1057" t="n">
        <v>47434</v>
      </c>
      <c r="C1057" s="5">
        <f>(B1057-B1056)/B1056</f>
        <v/>
      </c>
      <c r="D1057" t="n">
        <v>1276.42</v>
      </c>
      <c r="E1057" s="5">
        <f>(D1057-D1056)/D1056</f>
        <v/>
      </c>
    </row>
    <row r="1058">
      <c r="A1058" t="inlineStr">
        <is>
          <t>2024-03-22</t>
        </is>
      </c>
      <c r="B1058" t="n">
        <v>48020</v>
      </c>
      <c r="C1058" s="5">
        <f>(B1058-B1057)/B1057</f>
        <v/>
      </c>
      <c r="D1058" t="n">
        <v>1281.8</v>
      </c>
      <c r="E1058" s="5">
        <f>(D1058-D1057)/D1057</f>
        <v/>
      </c>
    </row>
    <row r="1059">
      <c r="A1059" t="inlineStr">
        <is>
          <t>2024-03-25</t>
        </is>
      </c>
      <c r="B1059" t="n">
        <v>47238</v>
      </c>
      <c r="C1059" s="5">
        <f>(B1059-B1058)/B1058</f>
        <v/>
      </c>
      <c r="D1059" t="n">
        <v>1267.86</v>
      </c>
      <c r="E1059" s="5">
        <f>(D1059-D1058)/D1058</f>
        <v/>
      </c>
    </row>
    <row r="1060">
      <c r="A1060" t="inlineStr">
        <is>
          <t>2024-03-26</t>
        </is>
      </c>
      <c r="B1060" t="n">
        <v>47580</v>
      </c>
      <c r="C1060" s="5">
        <f>(B1060-B1059)/B1059</f>
        <v/>
      </c>
      <c r="D1060" t="n">
        <v>1282.21</v>
      </c>
      <c r="E1060" s="5">
        <f>(D1060-D1059)/D1059</f>
        <v/>
      </c>
    </row>
    <row r="1061">
      <c r="A1061" t="inlineStr">
        <is>
          <t>2024-03-27</t>
        </is>
      </c>
      <c r="B1061" t="n">
        <v>49585</v>
      </c>
      <c r="C1061" s="5">
        <f>(B1061-B1060)/B1060</f>
        <v/>
      </c>
      <c r="D1061" t="n">
        <v>1283.09</v>
      </c>
      <c r="E1061" s="5">
        <f>(D1061-D1060)/D1060</f>
        <v/>
      </c>
    </row>
    <row r="1062">
      <c r="A1062" t="inlineStr">
        <is>
          <t>2024-03-28</t>
        </is>
      </c>
      <c r="B1062" t="n">
        <v>49879</v>
      </c>
      <c r="C1062" s="5">
        <f>(B1062-B1061)/B1061</f>
        <v/>
      </c>
      <c r="D1062" t="n">
        <v>1290.18</v>
      </c>
      <c r="E1062" s="5">
        <f>(D1062-D1061)/D1061</f>
        <v/>
      </c>
    </row>
    <row r="1063">
      <c r="A1063" t="inlineStr">
        <is>
          <t>2024-03-29</t>
        </is>
      </c>
      <c r="B1063" t="n">
        <v>49976</v>
      </c>
      <c r="C1063" s="5">
        <f>(B1063-B1062)/B1062</f>
        <v/>
      </c>
      <c r="D1063" t="n">
        <v>1284.09</v>
      </c>
      <c r="E1063" s="5">
        <f>(D1063-D1062)/D1062</f>
        <v/>
      </c>
    </row>
    <row r="1064">
      <c r="A1064" t="inlineStr">
        <is>
          <t>2024-04-01</t>
        </is>
      </c>
      <c r="B1064" t="n">
        <v>50270</v>
      </c>
      <c r="C1064" s="5">
        <f>(B1064-B1063)/B1063</f>
        <v/>
      </c>
      <c r="D1064" t="n">
        <v>1281.52</v>
      </c>
      <c r="E1064" s="5">
        <f>(D1064-D1063)/D1063</f>
        <v/>
      </c>
    </row>
    <row r="1065">
      <c r="A1065" t="inlineStr">
        <is>
          <t>2024-04-02</t>
        </is>
      </c>
      <c r="B1065" t="n">
        <v>50465</v>
      </c>
      <c r="C1065" s="5">
        <f>(B1065-B1064)/B1064</f>
        <v/>
      </c>
      <c r="D1065" t="n">
        <v>1287.04</v>
      </c>
      <c r="E1065" s="5">
        <f>(D1065-D1064)/D1064</f>
        <v/>
      </c>
    </row>
    <row r="1066">
      <c r="A1066" t="inlineStr">
        <is>
          <t>2024-04-03</t>
        </is>
      </c>
      <c r="B1066" t="n">
        <v>49096</v>
      </c>
      <c r="C1066" s="5">
        <f>(B1066-B1065)/B1065</f>
        <v/>
      </c>
      <c r="D1066" t="n">
        <v>1271.47</v>
      </c>
      <c r="E1066" s="5">
        <f>(D1066-D1065)/D1065</f>
        <v/>
      </c>
    </row>
    <row r="1067">
      <c r="A1067" t="inlineStr">
        <is>
          <t>2024-04-04</t>
        </is>
      </c>
      <c r="B1067" t="n">
        <v>49585</v>
      </c>
      <c r="C1067" s="5">
        <f>(B1067-B1066)/B1066</f>
        <v/>
      </c>
      <c r="D1067" t="n">
        <v>1268.25</v>
      </c>
      <c r="E1067" s="5">
        <f>(D1067-D1066)/D1066</f>
        <v/>
      </c>
    </row>
    <row r="1068">
      <c r="A1068" t="inlineStr">
        <is>
          <t>2024-04-05</t>
        </is>
      </c>
      <c r="B1068" t="n">
        <v>49879</v>
      </c>
      <c r="C1068" s="5">
        <f>(B1068-B1067)/B1067</f>
        <v/>
      </c>
      <c r="D1068" t="n">
        <v>1255.11</v>
      </c>
      <c r="E1068" s="5">
        <f>(D1068-D1067)/D1067</f>
        <v/>
      </c>
    </row>
    <row r="1069">
      <c r="A1069" t="inlineStr">
        <is>
          <t>2024-04-08</t>
        </is>
      </c>
      <c r="B1069" t="n">
        <v>48901</v>
      </c>
      <c r="C1069" s="5">
        <f>(B1069-B1068)/B1068</f>
        <v/>
      </c>
      <c r="D1069" t="n">
        <v>1250.35</v>
      </c>
      <c r="E1069" s="5">
        <f>(D1069-D1068)/D1068</f>
        <v/>
      </c>
    </row>
    <row r="1070">
      <c r="A1070" t="inlineStr">
        <is>
          <t>2024-04-09</t>
        </is>
      </c>
      <c r="B1070" t="n">
        <v>51639</v>
      </c>
      <c r="C1070" s="5">
        <f>(B1070-B1069)/B1069</f>
        <v/>
      </c>
      <c r="D1070" t="n">
        <v>1262.82</v>
      </c>
      <c r="E1070" s="5">
        <f>(D1070-D1069)/D1069</f>
        <v/>
      </c>
    </row>
    <row r="1071">
      <c r="A1071" t="inlineStr">
        <is>
          <t>2024-04-10</t>
        </is>
      </c>
      <c r="B1071" t="n">
        <v>50857</v>
      </c>
      <c r="C1071" s="5">
        <f>(B1071-B1070)/B1070</f>
        <v/>
      </c>
      <c r="D1071" t="n">
        <v>1258.56</v>
      </c>
      <c r="E1071" s="5">
        <f>(D1071-D1070)/D1070</f>
        <v/>
      </c>
    </row>
    <row r="1072">
      <c r="A1072" t="inlineStr">
        <is>
          <t>2024-04-11</t>
        </is>
      </c>
      <c r="B1072" t="n">
        <v>51150</v>
      </c>
      <c r="C1072" s="5">
        <f>(B1072-B1071)/B1071</f>
        <v/>
      </c>
      <c r="D1072" t="n">
        <v>1258.2</v>
      </c>
      <c r="E1072" s="5">
        <f>(D1072-D1071)/D1071</f>
        <v/>
      </c>
    </row>
    <row r="1073">
      <c r="A1073" t="inlineStr">
        <is>
          <t>2024-04-12</t>
        </is>
      </c>
      <c r="B1073" t="n">
        <v>50857</v>
      </c>
      <c r="C1073" s="5">
        <f>(B1073-B1072)/B1072</f>
        <v/>
      </c>
      <c r="D1073" t="n">
        <v>1276.6</v>
      </c>
      <c r="E1073" s="5">
        <f>(D1073-D1072)/D1072</f>
        <v/>
      </c>
    </row>
    <row r="1074">
      <c r="A1074" t="inlineStr">
        <is>
          <t>2024-04-15</t>
        </is>
      </c>
      <c r="B1074" t="n">
        <v>48803</v>
      </c>
      <c r="C1074" s="5">
        <f>(B1074-B1073)/B1073</f>
        <v/>
      </c>
      <c r="D1074" t="n">
        <v>1216.61</v>
      </c>
      <c r="E1074" s="5">
        <f>(D1074-D1073)/D1073</f>
        <v/>
      </c>
    </row>
    <row r="1075">
      <c r="A1075" t="inlineStr">
        <is>
          <t>2024-04-16</t>
        </is>
      </c>
      <c r="B1075" t="n">
        <v>48803</v>
      </c>
      <c r="C1075" s="5">
        <f>(B1075-B1074)/B1074</f>
        <v/>
      </c>
      <c r="D1075" t="n">
        <v>1215.68</v>
      </c>
      <c r="E1075" s="5">
        <f>(D1075-D1074)/D1074</f>
        <v/>
      </c>
    </row>
    <row r="1076">
      <c r="A1076" t="inlineStr">
        <is>
          <t>2024-04-17</t>
        </is>
      </c>
      <c r="B1076" t="n">
        <v>48314</v>
      </c>
      <c r="C1076" s="5">
        <f>(B1076-B1075)/B1075</f>
        <v/>
      </c>
      <c r="D1076" t="n">
        <v>1193.01</v>
      </c>
      <c r="E1076" s="5">
        <f>(D1076-D1075)/D1075</f>
        <v/>
      </c>
    </row>
    <row r="1077">
      <c r="A1077" t="inlineStr">
        <is>
          <t>2024-04-19</t>
        </is>
      </c>
      <c r="B1077" t="n">
        <v>47140</v>
      </c>
      <c r="C1077" s="5">
        <f>(B1077-B1076)/B1076</f>
        <v/>
      </c>
      <c r="D1077" t="n">
        <v>1174.85</v>
      </c>
      <c r="E1077" s="5">
        <f>(D1077-D1076)/D1076</f>
        <v/>
      </c>
    </row>
    <row r="1078">
      <c r="A1078" t="inlineStr">
        <is>
          <t>2024-04-22</t>
        </is>
      </c>
      <c r="B1078" t="n">
        <v>47531</v>
      </c>
      <c r="C1078" s="5">
        <f>(B1078-B1077)/B1077</f>
        <v/>
      </c>
      <c r="D1078" t="n">
        <v>1190.22</v>
      </c>
      <c r="E1078" s="5">
        <f>(D1078-D1077)/D1077</f>
        <v/>
      </c>
    </row>
    <row r="1079">
      <c r="A1079" t="inlineStr">
        <is>
          <t>2024-04-23</t>
        </is>
      </c>
      <c r="B1079" t="n">
        <v>48705</v>
      </c>
      <c r="C1079" s="5">
        <f>(B1079-B1078)/B1078</f>
        <v/>
      </c>
      <c r="D1079" t="n">
        <v>1177.4</v>
      </c>
      <c r="E1079" s="5">
        <f>(D1079-D1078)/D1078</f>
        <v/>
      </c>
    </row>
    <row r="1080">
      <c r="A1080" t="inlineStr">
        <is>
          <t>2024-04-24</t>
        </is>
      </c>
      <c r="B1080" t="n">
        <v>51150</v>
      </c>
      <c r="C1080" s="5">
        <f>(B1080-B1079)/B1079</f>
        <v/>
      </c>
      <c r="D1080" t="n">
        <v>1205.61</v>
      </c>
      <c r="E1080" s="5">
        <f>(D1080-D1079)/D1079</f>
        <v/>
      </c>
    </row>
    <row r="1081">
      <c r="A1081" t="inlineStr">
        <is>
          <t>2024-04-25</t>
        </is>
      </c>
      <c r="B1081" t="n">
        <v>52617</v>
      </c>
      <c r="C1081" s="5">
        <f>(B1081-B1080)/B1080</f>
        <v/>
      </c>
      <c r="D1081" t="n">
        <v>1204.97</v>
      </c>
      <c r="E1081" s="5">
        <f>(D1081-D1080)/D1080</f>
        <v/>
      </c>
    </row>
    <row r="1082">
      <c r="A1082" t="inlineStr">
        <is>
          <t>2024-04-26</t>
        </is>
      </c>
      <c r="B1082" t="n">
        <v>53693</v>
      </c>
      <c r="C1082" s="5">
        <f>(B1082-B1081)/B1081</f>
        <v/>
      </c>
      <c r="D1082" t="n">
        <v>1209.52</v>
      </c>
      <c r="E1082" s="5">
        <f>(D1082-D1081)/D1081</f>
        <v/>
      </c>
    </row>
    <row r="1083">
      <c r="A1083" t="inlineStr">
        <is>
          <t>2024-05-02</t>
        </is>
      </c>
      <c r="B1083" t="n">
        <v>54377</v>
      </c>
      <c r="C1083" s="5">
        <f>(B1083-B1082)/B1082</f>
        <v/>
      </c>
      <c r="D1083" t="n">
        <v>1216.36</v>
      </c>
      <c r="E1083" s="5">
        <f>(D1083-D1082)/D1082</f>
        <v/>
      </c>
    </row>
    <row r="1084">
      <c r="A1084" t="inlineStr">
        <is>
          <t>2024-05-03</t>
        </is>
      </c>
      <c r="B1084" t="n">
        <v>54475</v>
      </c>
      <c r="C1084" s="5">
        <f>(B1084-B1083)/B1083</f>
        <v/>
      </c>
      <c r="D1084" t="n">
        <v>1221.03</v>
      </c>
      <c r="E1084" s="5">
        <f>(D1084-D1083)/D1083</f>
        <v/>
      </c>
    </row>
    <row r="1085">
      <c r="A1085" t="inlineStr">
        <is>
          <t>2024-05-06</t>
        </is>
      </c>
      <c r="B1085" t="n">
        <v>57018</v>
      </c>
      <c r="C1085" s="5">
        <f>(B1085-B1084)/B1084</f>
        <v/>
      </c>
      <c r="D1085" t="n">
        <v>1241.58</v>
      </c>
      <c r="E1085" s="5">
        <f>(D1085-D1084)/D1084</f>
        <v/>
      </c>
    </row>
    <row r="1086">
      <c r="A1086" t="inlineStr">
        <is>
          <t>2024-05-07</t>
        </is>
      </c>
      <c r="B1086" t="n">
        <v>57996</v>
      </c>
      <c r="C1086" s="5">
        <f>(B1086-B1085)/B1085</f>
        <v/>
      </c>
      <c r="D1086" t="n">
        <v>1248.63</v>
      </c>
      <c r="E1086" s="5">
        <f>(D1086-D1085)/D1085</f>
        <v/>
      </c>
    </row>
    <row r="1087">
      <c r="A1087" t="inlineStr">
        <is>
          <t>2024-05-08</t>
        </is>
      </c>
      <c r="B1087" t="n">
        <v>57801</v>
      </c>
      <c r="C1087" s="5">
        <f>(B1087-B1086)/B1086</f>
        <v/>
      </c>
      <c r="D1087" t="n">
        <v>1250.46</v>
      </c>
      <c r="E1087" s="5">
        <f>(D1087-D1086)/D1086</f>
        <v/>
      </c>
    </row>
    <row r="1088">
      <c r="A1088" t="inlineStr">
        <is>
          <t>2024-05-09</t>
        </is>
      </c>
      <c r="B1088" t="n">
        <v>57605</v>
      </c>
      <c r="C1088" s="5">
        <f>(B1088-B1087)/B1087</f>
        <v/>
      </c>
      <c r="D1088" t="n">
        <v>1248.64</v>
      </c>
      <c r="E1088" s="5">
        <f>(D1088-D1087)/D1087</f>
        <v/>
      </c>
    </row>
    <row r="1089">
      <c r="A1089" t="inlineStr">
        <is>
          <t>2024-05-10</t>
        </is>
      </c>
      <c r="B1089" t="n">
        <v>57605</v>
      </c>
      <c r="C1089" s="5">
        <f>(B1089-B1088)/B1088</f>
        <v/>
      </c>
      <c r="D1089" t="n">
        <v>1244.7</v>
      </c>
      <c r="E1089" s="5">
        <f>(D1089-D1088)/D1088</f>
        <v/>
      </c>
    </row>
    <row r="1090">
      <c r="A1090" t="inlineStr">
        <is>
          <t>2024-05-13</t>
        </is>
      </c>
      <c r="B1090" t="n">
        <v>57018</v>
      </c>
      <c r="C1090" s="5">
        <f>(B1090-B1089)/B1089</f>
        <v/>
      </c>
      <c r="D1090" t="n">
        <v>1240.18</v>
      </c>
      <c r="E1090" s="5">
        <f>(D1090-D1089)/D1089</f>
        <v/>
      </c>
    </row>
    <row r="1091">
      <c r="A1091" t="inlineStr">
        <is>
          <t>2024-05-14</t>
        </is>
      </c>
      <c r="B1091" t="n">
        <v>58779</v>
      </c>
      <c r="C1091" s="5">
        <f>(B1091-B1090)/B1090</f>
        <v/>
      </c>
      <c r="D1091" t="n">
        <v>1243.28</v>
      </c>
      <c r="E1091" s="5">
        <f>(D1091-D1090)/D1090</f>
        <v/>
      </c>
    </row>
    <row r="1092">
      <c r="A1092" t="inlineStr">
        <is>
          <t>2024-05-15</t>
        </is>
      </c>
      <c r="B1092" t="n">
        <v>59463</v>
      </c>
      <c r="C1092" s="5">
        <f>(B1092-B1091)/B1091</f>
        <v/>
      </c>
      <c r="D1092" t="n">
        <v>1254.39</v>
      </c>
      <c r="E1092" s="5">
        <f>(D1092-D1091)/D1091</f>
        <v/>
      </c>
    </row>
    <row r="1093">
      <c r="A1093" t="inlineStr">
        <is>
          <t>2024-05-16</t>
        </is>
      </c>
      <c r="B1093" t="n">
        <v>58583</v>
      </c>
      <c r="C1093" s="5">
        <f>(B1093-B1092)/B1092</f>
        <v/>
      </c>
      <c r="D1093" t="n">
        <v>1268.78</v>
      </c>
      <c r="E1093" s="5">
        <f>(D1093-D1092)/D1092</f>
        <v/>
      </c>
    </row>
    <row r="1094">
      <c r="A1094" t="inlineStr">
        <is>
          <t>2024-05-17</t>
        </is>
      </c>
      <c r="B1094" t="n">
        <v>58290</v>
      </c>
      <c r="C1094" s="5">
        <f>(B1094-B1093)/B1093</f>
        <v/>
      </c>
      <c r="D1094" t="n">
        <v>1273.11</v>
      </c>
      <c r="E1094" s="5">
        <f>(D1094-D1093)/D1093</f>
        <v/>
      </c>
    </row>
    <row r="1095">
      <c r="A1095" t="inlineStr">
        <is>
          <t>2024-05-20</t>
        </is>
      </c>
      <c r="B1095" t="n">
        <v>58681</v>
      </c>
      <c r="C1095" s="5">
        <f>(B1095-B1094)/B1094</f>
        <v/>
      </c>
      <c r="D1095" t="n">
        <v>1277.58</v>
      </c>
      <c r="E1095" s="5">
        <f>(D1095-D1094)/D1094</f>
        <v/>
      </c>
    </row>
    <row r="1096">
      <c r="A1096" t="inlineStr">
        <is>
          <t>2024-05-21</t>
        </is>
      </c>
      <c r="B1096" t="n">
        <v>59170</v>
      </c>
      <c r="C1096" s="5">
        <f>(B1096-B1095)/B1095</f>
        <v/>
      </c>
      <c r="D1096" t="n">
        <v>1277.14</v>
      </c>
      <c r="E1096" s="5">
        <f>(D1096-D1095)/D1095</f>
        <v/>
      </c>
    </row>
    <row r="1097">
      <c r="A1097" t="inlineStr">
        <is>
          <t>2024-05-22</t>
        </is>
      </c>
      <c r="B1097" t="n">
        <v>59659</v>
      </c>
      <c r="C1097" s="5">
        <f>(B1097-B1096)/B1096</f>
        <v/>
      </c>
      <c r="D1097" t="n">
        <v>1266.91</v>
      </c>
      <c r="E1097" s="5">
        <f>(D1097-D1096)/D1096</f>
        <v/>
      </c>
    </row>
    <row r="1098">
      <c r="A1098" t="inlineStr">
        <is>
          <t>2024-05-23</t>
        </is>
      </c>
      <c r="B1098" t="n">
        <v>60637</v>
      </c>
      <c r="C1098" s="5">
        <f>(B1098-B1097)/B1097</f>
        <v/>
      </c>
      <c r="D1098" t="n">
        <v>1281.03</v>
      </c>
      <c r="E1098" s="5">
        <f>(D1098-D1097)/D1097</f>
        <v/>
      </c>
    </row>
    <row r="1099">
      <c r="A1099" t="inlineStr">
        <is>
          <t>2024-05-24</t>
        </is>
      </c>
      <c r="B1099" t="n">
        <v>59170</v>
      </c>
      <c r="C1099" s="5">
        <f>(B1099-B1098)/B1098</f>
        <v/>
      </c>
      <c r="D1099" t="n">
        <v>1261.93</v>
      </c>
      <c r="E1099" s="5">
        <f>(D1099-D1098)/D1098</f>
        <v/>
      </c>
    </row>
    <row r="1100">
      <c r="A1100" t="inlineStr">
        <is>
          <t>2024-05-27</t>
        </is>
      </c>
      <c r="B1100" t="n">
        <v>58681</v>
      </c>
      <c r="C1100" s="5">
        <f>(B1100-B1099)/B1099</f>
        <v/>
      </c>
      <c r="D1100" t="n">
        <v>1267.68</v>
      </c>
      <c r="E1100" s="5">
        <f>(D1100-D1099)/D1099</f>
        <v/>
      </c>
    </row>
    <row r="1101">
      <c r="A1101" t="inlineStr">
        <is>
          <t>2024-05-28</t>
        </is>
      </c>
      <c r="B1101" t="n">
        <v>60148</v>
      </c>
      <c r="C1101" s="5">
        <f>(B1101-B1100)/B1100</f>
        <v/>
      </c>
      <c r="D1101" t="n">
        <v>1281.73</v>
      </c>
      <c r="E1101" s="5">
        <f>(D1101-D1100)/D1100</f>
        <v/>
      </c>
    </row>
    <row r="1102">
      <c r="A1102" t="inlineStr">
        <is>
          <t>2024-05-29</t>
        </is>
      </c>
      <c r="B1102" t="n">
        <v>59170</v>
      </c>
      <c r="C1102" s="5">
        <f>(B1102-B1101)/B1101</f>
        <v/>
      </c>
      <c r="D1102" t="n">
        <v>1272.64</v>
      </c>
      <c r="E1102" s="5">
        <f>(D1102-D1101)/D1101</f>
        <v/>
      </c>
    </row>
    <row r="1103">
      <c r="A1103" t="inlineStr">
        <is>
          <t>2024-05-30</t>
        </is>
      </c>
      <c r="B1103" t="n">
        <v>61419</v>
      </c>
      <c r="C1103" s="5">
        <f>(B1103-B1102)/B1102</f>
        <v/>
      </c>
      <c r="D1103" t="n">
        <v>1266.32</v>
      </c>
      <c r="E1103" s="5">
        <f>(D1103-D1102)/D1102</f>
        <v/>
      </c>
    </row>
    <row r="1104">
      <c r="A1104" t="inlineStr">
        <is>
          <t>2024-05-31</t>
        </is>
      </c>
      <c r="B1104" t="n">
        <v>62202</v>
      </c>
      <c r="C1104" s="5">
        <f>(B1104-B1103)/B1103</f>
        <v/>
      </c>
      <c r="D1104" t="n">
        <v>1261.72</v>
      </c>
      <c r="E1104" s="5">
        <f>(D1104-D1103)/D1103</f>
        <v/>
      </c>
    </row>
    <row r="1105">
      <c r="A1105" t="inlineStr">
        <is>
          <t>2024-06-03</t>
        </is>
      </c>
      <c r="B1105" t="n">
        <v>62593</v>
      </c>
      <c r="C1105" s="5">
        <f>(B1105-B1104)/B1104</f>
        <v/>
      </c>
      <c r="D1105" t="n">
        <v>1280</v>
      </c>
      <c r="E1105" s="5">
        <f>(D1105-D1104)/D1104</f>
        <v/>
      </c>
    </row>
    <row r="1106">
      <c r="A1106" t="inlineStr">
        <is>
          <t>2024-06-04</t>
        </is>
      </c>
      <c r="B1106" t="n">
        <v>62397</v>
      </c>
      <c r="C1106" s="5">
        <f>(B1106-B1105)/B1105</f>
        <v/>
      </c>
      <c r="D1106" t="n">
        <v>1283.52</v>
      </c>
      <c r="E1106" s="5">
        <f>(D1106-D1105)/D1105</f>
        <v/>
      </c>
    </row>
    <row r="1107">
      <c r="A1107" t="inlineStr">
        <is>
          <t>2024-06-05</t>
        </is>
      </c>
      <c r="B1107" t="n">
        <v>60637</v>
      </c>
      <c r="C1107" s="5">
        <f>(B1107-B1106)/B1106</f>
        <v/>
      </c>
      <c r="D1107" t="n">
        <v>1284.35</v>
      </c>
      <c r="E1107" s="5">
        <f>(D1107-D1106)/D1106</f>
        <v/>
      </c>
    </row>
    <row r="1108">
      <c r="A1108" t="inlineStr">
        <is>
          <t>2024-06-06</t>
        </is>
      </c>
      <c r="B1108" t="n">
        <v>60539</v>
      </c>
      <c r="C1108" s="5">
        <f>(B1108-B1107)/B1107</f>
        <v/>
      </c>
      <c r="D1108" t="n">
        <v>1283.56</v>
      </c>
      <c r="E1108" s="5">
        <f>(D1108-D1107)/D1107</f>
        <v/>
      </c>
    </row>
    <row r="1109">
      <c r="A1109" t="inlineStr">
        <is>
          <t>2024-06-07</t>
        </is>
      </c>
      <c r="B1109" t="n">
        <v>60735</v>
      </c>
      <c r="C1109" s="5">
        <f>(B1109-B1108)/B1108</f>
        <v/>
      </c>
      <c r="D1109" t="n">
        <v>1287.58</v>
      </c>
      <c r="E1109" s="5">
        <f>(D1109-D1108)/D1108</f>
        <v/>
      </c>
    </row>
    <row r="1110">
      <c r="A1110" t="inlineStr">
        <is>
          <t>2024-06-10</t>
        </is>
      </c>
      <c r="B1110" t="n">
        <v>61615</v>
      </c>
      <c r="C1110" s="5">
        <f>(B1110-B1109)/B1109</f>
        <v/>
      </c>
      <c r="D1110" t="n">
        <v>1290.67</v>
      </c>
      <c r="E1110" s="5">
        <f>(D1110-D1109)/D1109</f>
        <v/>
      </c>
    </row>
    <row r="1111">
      <c r="A1111" t="inlineStr">
        <is>
          <t>2024-06-11</t>
        </is>
      </c>
      <c r="B1111" t="n">
        <v>60930</v>
      </c>
      <c r="C1111" s="5">
        <f>(B1111-B1110)/B1110</f>
        <v/>
      </c>
      <c r="D1111" t="n">
        <v>1284.41</v>
      </c>
      <c r="E1111" s="5">
        <f>(D1111-D1110)/D1110</f>
        <v/>
      </c>
    </row>
    <row r="1112">
      <c r="A1112" t="inlineStr">
        <is>
          <t>2024-06-12</t>
        </is>
      </c>
      <c r="B1112" t="n">
        <v>62006</v>
      </c>
      <c r="C1112" s="5">
        <f>(B1112-B1111)/B1111</f>
        <v/>
      </c>
      <c r="D1112" t="n">
        <v>1300.19</v>
      </c>
      <c r="E1112" s="5">
        <f>(D1112-D1111)/D1111</f>
        <v/>
      </c>
    </row>
    <row r="1113">
      <c r="A1113" t="inlineStr">
        <is>
          <t>2024-06-13</t>
        </is>
      </c>
      <c r="B1113" t="n">
        <v>62593</v>
      </c>
      <c r="C1113" s="5">
        <f>(B1113-B1112)/B1112</f>
        <v/>
      </c>
      <c r="D1113" t="n">
        <v>1301.51</v>
      </c>
      <c r="E1113" s="5">
        <f>(D1113-D1112)/D1112</f>
        <v/>
      </c>
    </row>
    <row r="1114">
      <c r="A1114" t="inlineStr">
        <is>
          <t>2024-06-14</t>
        </is>
      </c>
      <c r="B1114" t="n">
        <v>61615</v>
      </c>
      <c r="C1114" s="5">
        <f>(B1114-B1113)/B1113</f>
        <v/>
      </c>
      <c r="D1114" t="n">
        <v>1279.91</v>
      </c>
      <c r="E1114" s="5">
        <f>(D1114-D1113)/D1113</f>
        <v/>
      </c>
    </row>
    <row r="1115">
      <c r="A1115" t="inlineStr">
        <is>
          <t>2024-06-17</t>
        </is>
      </c>
      <c r="B1115" t="n">
        <v>60637</v>
      </c>
      <c r="C1115" s="5">
        <f>(B1115-B1114)/B1114</f>
        <v/>
      </c>
      <c r="D1115" t="n">
        <v>1274.77</v>
      </c>
      <c r="E1115" s="5">
        <f>(D1115-D1114)/D1114</f>
        <v/>
      </c>
    </row>
    <row r="1116">
      <c r="A1116" t="inlineStr">
        <is>
          <t>2024-06-18</t>
        </is>
      </c>
      <c r="B1116" t="n">
        <v>60832</v>
      </c>
      <c r="C1116" s="5">
        <f>(B1116-B1115)/B1115</f>
        <v/>
      </c>
      <c r="D1116" t="n">
        <v>1279.5</v>
      </c>
      <c r="E1116" s="5">
        <f>(D1116-D1115)/D1115</f>
        <v/>
      </c>
    </row>
    <row r="1117">
      <c r="A1117" t="inlineStr">
        <is>
          <t>2024-06-19</t>
        </is>
      </c>
      <c r="B1117" t="n">
        <v>61908</v>
      </c>
      <c r="C1117" s="5">
        <f>(B1117-B1116)/B1116</f>
        <v/>
      </c>
      <c r="D1117" t="n">
        <v>1279.79</v>
      </c>
      <c r="E1117" s="5">
        <f>(D1117-D1116)/D1116</f>
        <v/>
      </c>
    </row>
    <row r="1118">
      <c r="A1118" t="inlineStr">
        <is>
          <t>2024-06-20</t>
        </is>
      </c>
      <c r="B1118" t="n">
        <v>62104</v>
      </c>
      <c r="C1118" s="5">
        <f>(B1118-B1117)/B1117</f>
        <v/>
      </c>
      <c r="D1118" t="n">
        <v>1282.3</v>
      </c>
      <c r="E1118" s="5">
        <f>(D1118-D1117)/D1117</f>
        <v/>
      </c>
    </row>
    <row r="1119">
      <c r="A1119" t="inlineStr">
        <is>
          <t>2024-06-21</t>
        </is>
      </c>
      <c r="B1119" t="n">
        <v>62104</v>
      </c>
      <c r="C1119" s="5">
        <f>(B1119-B1118)/B1118</f>
        <v/>
      </c>
      <c r="D1119" t="n">
        <v>1282.02</v>
      </c>
      <c r="E1119" s="5">
        <f>(D1119-D1118)/D1118</f>
        <v/>
      </c>
    </row>
    <row r="1120">
      <c r="A1120" t="inlineStr">
        <is>
          <t>2024-06-24</t>
        </is>
      </c>
      <c r="B1120" t="n">
        <v>60637</v>
      </c>
      <c r="C1120" s="5">
        <f>(B1120-B1119)/B1119</f>
        <v/>
      </c>
      <c r="D1120" t="n">
        <v>1254.12</v>
      </c>
      <c r="E1120" s="5">
        <f>(D1120-D1119)/D1119</f>
        <v/>
      </c>
    </row>
    <row r="1121">
      <c r="A1121" t="inlineStr">
        <is>
          <t>2024-06-25</t>
        </is>
      </c>
      <c r="B1121" t="n">
        <v>60637</v>
      </c>
      <c r="C1121" s="5">
        <f>(B1121-B1120)/B1120</f>
        <v/>
      </c>
      <c r="D1121" t="n">
        <v>1256.56</v>
      </c>
      <c r="E1121" s="5">
        <f>(D1121-D1120)/D1120</f>
        <v/>
      </c>
    </row>
    <row r="1122">
      <c r="A1122" t="inlineStr">
        <is>
          <t>2024-06-26</t>
        </is>
      </c>
      <c r="B1122" t="n">
        <v>61224</v>
      </c>
      <c r="C1122" s="5">
        <f>(B1122-B1121)/B1121</f>
        <v/>
      </c>
      <c r="D1122" t="n">
        <v>1261.24</v>
      </c>
      <c r="E1122" s="5">
        <f>(D1122-D1121)/D1121</f>
        <v/>
      </c>
    </row>
    <row r="1123">
      <c r="A1123" t="inlineStr">
        <is>
          <t>2024-06-27</t>
        </is>
      </c>
      <c r="B1123" t="n">
        <v>62006</v>
      </c>
      <c r="C1123" s="5">
        <f>(B1123-B1122)/B1122</f>
        <v/>
      </c>
      <c r="D1123" t="n">
        <v>1259.09</v>
      </c>
      <c r="E1123" s="5">
        <f>(D1123-D1122)/D1122</f>
        <v/>
      </c>
    </row>
    <row r="1124">
      <c r="A1124" t="inlineStr">
        <is>
          <t>2024-06-28</t>
        </is>
      </c>
      <c r="B1124" t="n">
        <v>61514</v>
      </c>
      <c r="C1124" s="5">
        <f>(B1124-B1123)/B1123</f>
        <v/>
      </c>
      <c r="D1124" t="n">
        <v>1245.32</v>
      </c>
      <c r="E1124" s="5">
        <f>(D1124-D1123)/D1123</f>
        <v/>
      </c>
    </row>
    <row r="1125">
      <c r="A1125" t="inlineStr">
        <is>
          <t>2024-07-01</t>
        </is>
      </c>
      <c r="B1125" t="n">
        <v>64866</v>
      </c>
      <c r="C1125" s="5">
        <f>(B1125-B1124)/B1124</f>
        <v/>
      </c>
      <c r="D1125" t="n">
        <v>1254.56</v>
      </c>
      <c r="E1125" s="5">
        <f>(D1125-D1124)/D1124</f>
        <v/>
      </c>
    </row>
    <row r="1126">
      <c r="A1126" t="inlineStr">
        <is>
          <t>2024-07-02</t>
        </is>
      </c>
      <c r="B1126" t="n">
        <v>65063</v>
      </c>
      <c r="C1126" s="5">
        <f>(B1126-B1125)/B1125</f>
        <v/>
      </c>
      <c r="D1126" t="n">
        <v>1269.79</v>
      </c>
      <c r="E1126" s="5">
        <f>(D1126-D1125)/D1125</f>
        <v/>
      </c>
    </row>
    <row r="1127">
      <c r="A1127" t="inlineStr">
        <is>
          <t>2024-07-03</t>
        </is>
      </c>
      <c r="B1127" t="n">
        <v>64569.99999999999</v>
      </c>
      <c r="C1127" s="5">
        <f>(B1127-B1126)/B1126</f>
        <v/>
      </c>
      <c r="D1127" t="n">
        <v>1276.85</v>
      </c>
      <c r="E1127" s="5">
        <f>(D1127-D1126)/D1126</f>
        <v/>
      </c>
    </row>
    <row r="1128">
      <c r="A1128" t="inlineStr">
        <is>
          <t>2024-07-04</t>
        </is>
      </c>
      <c r="B1128" t="n">
        <v>64176</v>
      </c>
      <c r="C1128" s="5">
        <f>(B1128-B1127)/B1127</f>
        <v/>
      </c>
      <c r="D1128" t="n">
        <v>1279.89</v>
      </c>
      <c r="E1128" s="5">
        <f>(D1128-D1127)/D1127</f>
        <v/>
      </c>
    </row>
    <row r="1129">
      <c r="A1129" t="inlineStr">
        <is>
          <t>2024-07-05</t>
        </is>
      </c>
      <c r="B1129" t="n">
        <v>64668.00000000001</v>
      </c>
      <c r="C1129" s="5">
        <f>(B1129-B1128)/B1128</f>
        <v/>
      </c>
      <c r="D1129" t="n">
        <v>1283.04</v>
      </c>
      <c r="E1129" s="5">
        <f>(D1129-D1128)/D1128</f>
        <v/>
      </c>
    </row>
    <row r="1130">
      <c r="A1130" t="inlineStr">
        <is>
          <t>2024-07-08</t>
        </is>
      </c>
      <c r="B1130" t="n">
        <v>66049</v>
      </c>
      <c r="C1130" s="5">
        <f>(B1130-B1129)/B1129</f>
        <v/>
      </c>
      <c r="D1130" t="n">
        <v>1283.56</v>
      </c>
      <c r="E1130" s="5">
        <f>(D1130-D1129)/D1129</f>
        <v/>
      </c>
    </row>
    <row r="1131">
      <c r="A1131" t="inlineStr">
        <is>
          <t>2024-07-09</t>
        </is>
      </c>
      <c r="B1131" t="n">
        <v>65851</v>
      </c>
      <c r="C1131" s="5">
        <f>(B1131-B1130)/B1130</f>
        <v/>
      </c>
      <c r="D1131" t="n">
        <v>1293.71</v>
      </c>
      <c r="E1131" s="5">
        <f>(D1131-D1130)/D1130</f>
        <v/>
      </c>
    </row>
    <row r="1132">
      <c r="A1132" t="inlineStr">
        <is>
          <t>2024-07-10</t>
        </is>
      </c>
      <c r="B1132" t="n">
        <v>64274</v>
      </c>
      <c r="C1132" s="5">
        <f>(B1132-B1131)/B1131</f>
        <v/>
      </c>
      <c r="D1132" t="n">
        <v>1285.94</v>
      </c>
      <c r="E1132" s="5">
        <f>(D1132-D1131)/D1131</f>
        <v/>
      </c>
    </row>
    <row r="1133">
      <c r="A1133" t="inlineStr">
        <is>
          <t>2024-07-11</t>
        </is>
      </c>
      <c r="B1133" t="n">
        <v>63880</v>
      </c>
      <c r="C1133" s="5">
        <f>(B1133-B1132)/B1132</f>
        <v/>
      </c>
      <c r="D1133" t="n">
        <v>1283.8</v>
      </c>
      <c r="E1133" s="5">
        <f>(D1133-D1132)/D1132</f>
        <v/>
      </c>
    </row>
    <row r="1134">
      <c r="A1134" t="inlineStr">
        <is>
          <t>2024-07-12</t>
        </is>
      </c>
      <c r="B1134" t="n">
        <v>63880</v>
      </c>
      <c r="C1134" s="5">
        <f>(B1134-B1133)/B1133</f>
        <v/>
      </c>
      <c r="D1134" t="n">
        <v>1280.75</v>
      </c>
      <c r="E1134" s="5">
        <f>(D1134-D1133)/D1133</f>
        <v/>
      </c>
    </row>
    <row r="1135">
      <c r="A1135" t="inlineStr">
        <is>
          <t>2024-07-15</t>
        </is>
      </c>
      <c r="B1135" t="n">
        <v>63387</v>
      </c>
      <c r="C1135" s="5">
        <f>(B1135-B1134)/B1134</f>
        <v/>
      </c>
      <c r="D1135" t="n">
        <v>1279.82</v>
      </c>
      <c r="E1135" s="5">
        <f>(D1135-D1134)/D1134</f>
        <v/>
      </c>
    </row>
    <row r="1136">
      <c r="A1136" t="inlineStr">
        <is>
          <t>2024-07-16</t>
        </is>
      </c>
      <c r="B1136" t="n">
        <v>63190</v>
      </c>
      <c r="C1136" s="5">
        <f>(B1136-B1135)/B1135</f>
        <v/>
      </c>
      <c r="D1136" t="n">
        <v>1281.18</v>
      </c>
      <c r="E1136" s="5">
        <f>(D1136-D1135)/D1135</f>
        <v/>
      </c>
    </row>
    <row r="1137">
      <c r="A1137" t="inlineStr">
        <is>
          <t>2024-07-17</t>
        </is>
      </c>
      <c r="B1137" t="n">
        <v>62598</v>
      </c>
      <c r="C1137" s="5">
        <f>(B1137-B1136)/B1136</f>
        <v/>
      </c>
      <c r="D1137" t="n">
        <v>1268.66</v>
      </c>
      <c r="E1137" s="5">
        <f>(D1137-D1136)/D1136</f>
        <v/>
      </c>
    </row>
    <row r="1138">
      <c r="A1138" t="inlineStr">
        <is>
          <t>2024-07-18</t>
        </is>
      </c>
      <c r="B1138" t="n">
        <v>64077</v>
      </c>
      <c r="C1138" s="5">
        <f>(B1138-B1137)/B1137</f>
        <v/>
      </c>
      <c r="D1138" t="n">
        <v>1274.44</v>
      </c>
      <c r="E1138" s="5">
        <f>(D1138-D1137)/D1137</f>
        <v/>
      </c>
    </row>
    <row r="1139">
      <c r="A1139" t="inlineStr">
        <is>
          <t>2024-07-19</t>
        </is>
      </c>
      <c r="B1139" t="n">
        <v>64668.00000000001</v>
      </c>
      <c r="C1139" s="5">
        <f>(B1139-B1138)/B1138</f>
        <v/>
      </c>
      <c r="D1139" t="n">
        <v>1264.78</v>
      </c>
      <c r="E1139" s="5">
        <f>(D1139-D1138)/D1138</f>
        <v/>
      </c>
    </row>
    <row r="1140">
      <c r="A1140" t="inlineStr">
        <is>
          <t>2024-07-22</t>
        </is>
      </c>
      <c r="B1140" t="n">
        <v>64373.00000000001</v>
      </c>
      <c r="C1140" s="5">
        <f>(B1140-B1139)/B1139</f>
        <v/>
      </c>
      <c r="D1140" t="n">
        <v>1254.64</v>
      </c>
      <c r="E1140" s="5">
        <f>(D1140-D1139)/D1139</f>
        <v/>
      </c>
    </row>
    <row r="1141">
      <c r="A1141" t="inlineStr">
        <is>
          <t>2024-07-23</t>
        </is>
      </c>
      <c r="B1141" t="n">
        <v>61613</v>
      </c>
      <c r="C1141" s="5">
        <f>(B1141-B1140)/B1140</f>
        <v/>
      </c>
      <c r="D1141" t="n">
        <v>1231.81</v>
      </c>
      <c r="E1141" s="5">
        <f>(D1141-D1140)/D1140</f>
        <v/>
      </c>
    </row>
    <row r="1142">
      <c r="A1142" t="inlineStr">
        <is>
          <t>2024-07-24</t>
        </is>
      </c>
      <c r="B1142" t="n">
        <v>60528</v>
      </c>
      <c r="C1142" s="5">
        <f>(B1142-B1141)/B1141</f>
        <v/>
      </c>
      <c r="D1142" t="n">
        <v>1238.47</v>
      </c>
      <c r="E1142" s="5">
        <f>(D1142-D1141)/D1141</f>
        <v/>
      </c>
    </row>
    <row r="1143">
      <c r="A1143" t="inlineStr">
        <is>
          <t>2024-07-25</t>
        </is>
      </c>
      <c r="B1143" t="n">
        <v>60134</v>
      </c>
      <c r="C1143" s="5">
        <f>(B1143-B1142)/B1142</f>
        <v/>
      </c>
      <c r="D1143" t="n">
        <v>1233.19</v>
      </c>
      <c r="E1143" s="5">
        <f>(D1143-D1142)/D1142</f>
        <v/>
      </c>
    </row>
    <row r="1144">
      <c r="A1144" t="inlineStr">
        <is>
          <t>2024-07-26</t>
        </is>
      </c>
      <c r="B1144" t="n">
        <v>60134</v>
      </c>
      <c r="C1144" s="5">
        <f>(B1144-B1143)/B1143</f>
        <v/>
      </c>
      <c r="D1144" t="n">
        <v>1242.11</v>
      </c>
      <c r="E1144" s="5">
        <f>(D1144-D1143)/D1143</f>
        <v/>
      </c>
    </row>
    <row r="1145">
      <c r="A1145" t="inlineStr">
        <is>
          <t>2024-07-29</t>
        </is>
      </c>
      <c r="B1145" t="n">
        <v>61120</v>
      </c>
      <c r="C1145" s="5">
        <f>(B1145-B1144)/B1144</f>
        <v/>
      </c>
      <c r="D1145" t="n">
        <v>1246.6</v>
      </c>
      <c r="E1145" s="5">
        <f>(D1145-D1144)/D1144</f>
        <v/>
      </c>
    </row>
    <row r="1146">
      <c r="A1146" t="inlineStr">
        <is>
          <t>2024-07-30</t>
        </is>
      </c>
      <c r="B1146" t="n">
        <v>62105</v>
      </c>
      <c r="C1146" s="5">
        <f>(B1146-B1145)/B1145</f>
        <v/>
      </c>
      <c r="D1146" t="n">
        <v>1245.06</v>
      </c>
      <c r="E1146" s="5">
        <f>(D1146-D1145)/D1145</f>
        <v/>
      </c>
    </row>
    <row r="1147">
      <c r="A1147" t="inlineStr">
        <is>
          <t>2024-07-31</t>
        </is>
      </c>
      <c r="B1147" t="n">
        <v>62894</v>
      </c>
      <c r="C1147" s="5">
        <f>(B1147-B1146)/B1146</f>
        <v/>
      </c>
      <c r="D1147" t="n">
        <v>1251.51</v>
      </c>
      <c r="E1147" s="5">
        <f>(D1147-D1146)/D1146</f>
        <v/>
      </c>
    </row>
    <row r="1148">
      <c r="A1148" t="inlineStr">
        <is>
          <t>2024-08-01</t>
        </is>
      </c>
      <c r="B1148" t="n">
        <v>61218</v>
      </c>
      <c r="C1148" s="5">
        <f>(B1148-B1147)/B1147</f>
        <v/>
      </c>
      <c r="D1148" t="n">
        <v>1226.96</v>
      </c>
      <c r="E1148" s="5">
        <f>(D1148-D1147)/D1147</f>
        <v/>
      </c>
    </row>
    <row r="1149">
      <c r="A1149" t="inlineStr">
        <is>
          <t>2024-08-02</t>
        </is>
      </c>
      <c r="B1149" t="n">
        <v>62007</v>
      </c>
      <c r="C1149" s="5">
        <f>(B1149-B1148)/B1148</f>
        <v/>
      </c>
      <c r="D1149" t="n">
        <v>1236.6</v>
      </c>
      <c r="E1149" s="5">
        <f>(D1149-D1148)/D1148</f>
        <v/>
      </c>
    </row>
    <row r="1150">
      <c r="A1150" t="inlineStr">
        <is>
          <t>2024-08-05</t>
        </is>
      </c>
      <c r="B1150" t="n">
        <v>60725</v>
      </c>
      <c r="C1150" s="5">
        <f>(B1150-B1149)/B1149</f>
        <v/>
      </c>
      <c r="D1150" t="n">
        <v>1188.07</v>
      </c>
      <c r="E1150" s="5">
        <f>(D1150-D1149)/D1149</f>
        <v/>
      </c>
    </row>
    <row r="1151">
      <c r="A1151" t="inlineStr">
        <is>
          <t>2024-08-06</t>
        </is>
      </c>
      <c r="B1151" t="n">
        <v>61415</v>
      </c>
      <c r="C1151" s="5">
        <f>(B1151-B1150)/B1150</f>
        <v/>
      </c>
      <c r="D1151" t="n">
        <v>1210.28</v>
      </c>
      <c r="E1151" s="5">
        <f>(D1151-D1150)/D1150</f>
        <v/>
      </c>
    </row>
    <row r="1152">
      <c r="A1152" t="inlineStr">
        <is>
          <t>2024-08-07</t>
        </is>
      </c>
      <c r="B1152" t="n">
        <v>61415</v>
      </c>
      <c r="C1152" s="5">
        <f>(B1152-B1151)/B1151</f>
        <v/>
      </c>
      <c r="D1152" t="n">
        <v>1215.88</v>
      </c>
      <c r="E1152" s="5">
        <f>(D1152-D1151)/D1151</f>
        <v/>
      </c>
    </row>
    <row r="1153">
      <c r="A1153" t="inlineStr">
        <is>
          <t>2024-08-08</t>
        </is>
      </c>
      <c r="B1153" t="n">
        <v>61514</v>
      </c>
      <c r="C1153" s="5">
        <f>(B1153-B1152)/B1152</f>
        <v/>
      </c>
      <c r="D1153" t="n">
        <v>1208.32</v>
      </c>
      <c r="E1153" s="5">
        <f>(D1153-D1152)/D1152</f>
        <v/>
      </c>
    </row>
    <row r="1154">
      <c r="A1154" t="inlineStr">
        <is>
          <t>2024-08-09</t>
        </is>
      </c>
      <c r="B1154" t="n">
        <v>64668.00000000001</v>
      </c>
      <c r="C1154" s="5">
        <f>(B1154-B1153)/B1153</f>
        <v/>
      </c>
      <c r="D1154" t="n">
        <v>1223.64</v>
      </c>
      <c r="E1154" s="5">
        <f>(D1154-D1153)/D1153</f>
        <v/>
      </c>
    </row>
    <row r="1155">
      <c r="A1155" t="inlineStr">
        <is>
          <t>2024-08-12</t>
        </is>
      </c>
      <c r="B1155" t="n">
        <v>65654</v>
      </c>
      <c r="C1155" s="5">
        <f>(B1155-B1154)/B1154</f>
        <v/>
      </c>
      <c r="D1155" t="n">
        <v>1230.28</v>
      </c>
      <c r="E1155" s="5">
        <f>(D1155-D1154)/D1154</f>
        <v/>
      </c>
    </row>
    <row r="1156">
      <c r="A1156" t="inlineStr">
        <is>
          <t>2024-08-13</t>
        </is>
      </c>
      <c r="B1156" t="n">
        <v>65753</v>
      </c>
      <c r="C1156" s="5">
        <f>(B1156-B1155)/B1155</f>
        <v/>
      </c>
      <c r="D1156" t="n">
        <v>1230.42</v>
      </c>
      <c r="E1156" s="5">
        <f>(D1156-D1155)/D1155</f>
        <v/>
      </c>
    </row>
    <row r="1157">
      <c r="A1157" t="inlineStr">
        <is>
          <t>2024-08-14</t>
        </is>
      </c>
      <c r="B1157" t="n">
        <v>65654</v>
      </c>
      <c r="C1157" s="5">
        <f>(B1157-B1156)/B1156</f>
        <v/>
      </c>
      <c r="D1157" t="n">
        <v>1230.36</v>
      </c>
      <c r="E1157" s="5">
        <f>(D1157-D1156)/D1156</f>
        <v/>
      </c>
    </row>
    <row r="1158">
      <c r="A1158" t="inlineStr">
        <is>
          <t>2024-08-15</t>
        </is>
      </c>
      <c r="B1158" t="n">
        <v>64964</v>
      </c>
      <c r="C1158" s="5">
        <f>(B1158-B1157)/B1157</f>
        <v/>
      </c>
      <c r="D1158" t="n">
        <v>1223.56</v>
      </c>
      <c r="E1158" s="5">
        <f>(D1158-D1157)/D1157</f>
        <v/>
      </c>
    </row>
    <row r="1159">
      <c r="A1159" t="inlineStr">
        <is>
          <t>2024-08-16</t>
        </is>
      </c>
      <c r="B1159" t="n">
        <v>68020</v>
      </c>
      <c r="C1159" s="5">
        <f>(B1159-B1158)/B1158</f>
        <v/>
      </c>
      <c r="D1159" t="n">
        <v>1252.23</v>
      </c>
      <c r="E1159" s="5">
        <f>(D1159-D1158)/D1158</f>
        <v/>
      </c>
    </row>
    <row r="1160">
      <c r="A1160" t="inlineStr">
        <is>
          <t>2024-08-19</t>
        </is>
      </c>
      <c r="B1160" t="n">
        <v>68020</v>
      </c>
      <c r="C1160" s="5">
        <f>(B1160-B1159)/B1159</f>
        <v/>
      </c>
      <c r="D1160" t="n">
        <v>1261.62</v>
      </c>
      <c r="E1160" s="5">
        <f>(D1160-D1159)/D1159</f>
        <v/>
      </c>
    </row>
    <row r="1161">
      <c r="A1161" t="inlineStr">
        <is>
          <t>2024-08-20</t>
        </is>
      </c>
      <c r="B1161" t="n">
        <v>68513</v>
      </c>
      <c r="C1161" s="5">
        <f>(B1161-B1160)/B1160</f>
        <v/>
      </c>
      <c r="D1161" t="n">
        <v>1272.55</v>
      </c>
      <c r="E1161" s="5">
        <f>(D1161-D1160)/D1160</f>
        <v/>
      </c>
    </row>
    <row r="1162">
      <c r="A1162" t="inlineStr">
        <is>
          <t>2024-08-21</t>
        </is>
      </c>
      <c r="B1162" t="n">
        <v>68809</v>
      </c>
      <c r="C1162" s="5">
        <f>(B1162-B1161)/B1161</f>
        <v/>
      </c>
      <c r="D1162" t="n">
        <v>1284.05</v>
      </c>
      <c r="E1162" s="5">
        <f>(D1162-D1161)/D1161</f>
        <v/>
      </c>
    </row>
    <row r="1163">
      <c r="A1163" t="inlineStr">
        <is>
          <t>2024-08-22</t>
        </is>
      </c>
      <c r="B1163" t="n">
        <v>69006</v>
      </c>
      <c r="C1163" s="5">
        <f>(B1163-B1162)/B1162</f>
        <v/>
      </c>
      <c r="D1163" t="n">
        <v>1282.78</v>
      </c>
      <c r="E1163" s="5">
        <f>(D1163-D1162)/D1162</f>
        <v/>
      </c>
    </row>
    <row r="1164">
      <c r="A1164" t="inlineStr">
        <is>
          <t>2024-08-23</t>
        </is>
      </c>
      <c r="B1164" t="n">
        <v>69006</v>
      </c>
      <c r="C1164" s="5">
        <f>(B1164-B1163)/B1163</f>
        <v/>
      </c>
      <c r="D1164" t="n">
        <v>1285.32</v>
      </c>
      <c r="E1164" s="5">
        <f>(D1164-D1163)/D1163</f>
        <v/>
      </c>
    </row>
    <row r="1165">
      <c r="A1165" t="inlineStr">
        <is>
          <t>2024-08-26</t>
        </is>
      </c>
      <c r="B1165" t="n">
        <v>68809</v>
      </c>
      <c r="C1165" s="5">
        <f>(B1165-B1164)/B1164</f>
        <v/>
      </c>
      <c r="D1165" t="n">
        <v>1280.02</v>
      </c>
      <c r="E1165" s="5">
        <f>(D1165-D1164)/D1164</f>
        <v/>
      </c>
    </row>
    <row r="1166">
      <c r="A1166" t="inlineStr">
        <is>
          <t>2024-08-27</t>
        </is>
      </c>
      <c r="B1166" t="n">
        <v>68809</v>
      </c>
      <c r="C1166" s="5">
        <f>(B1166-B1165)/B1165</f>
        <v/>
      </c>
      <c r="D1166" t="n">
        <v>1280.56</v>
      </c>
      <c r="E1166" s="5">
        <f>(D1166-D1165)/D1165</f>
        <v/>
      </c>
    </row>
    <row r="1167">
      <c r="A1167" t="inlineStr">
        <is>
          <t>2024-08-28</t>
        </is>
      </c>
      <c r="B1167" t="n">
        <v>68415</v>
      </c>
      <c r="C1167" s="5">
        <f>(B1167-B1166)/B1166</f>
        <v/>
      </c>
      <c r="D1167" t="n">
        <v>1281.44</v>
      </c>
      <c r="E1167" s="5">
        <f>(D1167-D1166)/D1166</f>
        <v/>
      </c>
    </row>
    <row r="1168">
      <c r="A1168" t="inlineStr">
        <is>
          <t>2024-08-29</t>
        </is>
      </c>
      <c r="B1168" t="n">
        <v>68119</v>
      </c>
      <c r="C1168" s="5">
        <f>(B1168-B1167)/B1167</f>
        <v/>
      </c>
      <c r="D1168" t="n">
        <v>1281.47</v>
      </c>
      <c r="E1168" s="5">
        <f>(D1168-D1167)/D1167</f>
        <v/>
      </c>
    </row>
    <row r="1169">
      <c r="A1169" t="inlineStr">
        <is>
          <t>2024-08-30</t>
        </is>
      </c>
      <c r="B1169" t="n">
        <v>68809</v>
      </c>
      <c r="C1169" s="5">
        <f>(B1169-B1168)/B1168</f>
        <v/>
      </c>
      <c r="D1169" t="n">
        <v>1283.87</v>
      </c>
      <c r="E1169" s="5">
        <f>(D1169-D1168)/D1168</f>
        <v/>
      </c>
    </row>
    <row r="1170">
      <c r="A1170" t="inlineStr">
        <is>
          <t>2024-09-04</t>
        </is>
      </c>
      <c r="B1170" t="n">
        <v>68119</v>
      </c>
      <c r="C1170" s="5">
        <f>(B1170-B1169)/B1169</f>
        <v/>
      </c>
      <c r="D1170" t="n">
        <v>1275.8</v>
      </c>
      <c r="E1170" s="5">
        <f>(D1170-D1169)/D1169</f>
        <v/>
      </c>
    </row>
    <row r="1171">
      <c r="A1171" t="inlineStr">
        <is>
          <t>2024-09-05</t>
        </is>
      </c>
      <c r="B1171" t="n">
        <v>66936</v>
      </c>
      <c r="C1171" s="5">
        <f>(B1171-B1170)/B1170</f>
        <v/>
      </c>
      <c r="D1171" t="n">
        <v>1268.21</v>
      </c>
      <c r="E1171" s="5">
        <f>(D1171-D1170)/D1170</f>
        <v/>
      </c>
    </row>
    <row r="1172">
      <c r="A1172" t="inlineStr">
        <is>
          <t>2024-09-06</t>
        </is>
      </c>
      <c r="B1172" t="n">
        <v>67034</v>
      </c>
      <c r="C1172" s="5">
        <f>(B1172-B1171)/B1171</f>
        <v/>
      </c>
      <c r="D1172" t="n">
        <v>1273.96</v>
      </c>
      <c r="E1172" s="5">
        <f>(D1172-D1171)/D1171</f>
        <v/>
      </c>
    </row>
    <row r="1173">
      <c r="A1173" t="inlineStr">
        <is>
          <t>2024-09-09</t>
        </is>
      </c>
      <c r="B1173" t="n">
        <v>66542</v>
      </c>
      <c r="C1173" s="5">
        <f>(B1173-B1172)/B1172</f>
        <v/>
      </c>
      <c r="D1173" t="n">
        <v>1267.73</v>
      </c>
      <c r="E1173" s="5">
        <f>(D1173-D1172)/D1172</f>
        <v/>
      </c>
    </row>
    <row r="1174">
      <c r="A1174" t="inlineStr">
        <is>
          <t>2024-09-10</t>
        </is>
      </c>
      <c r="B1174" t="n">
        <v>66837</v>
      </c>
      <c r="C1174" s="5">
        <f>(B1174-B1173)/B1173</f>
        <v/>
      </c>
      <c r="D1174" t="n">
        <v>1255.23</v>
      </c>
      <c r="E1174" s="5">
        <f>(D1174-D1173)/D1173</f>
        <v/>
      </c>
    </row>
    <row r="1175">
      <c r="A1175" t="inlineStr">
        <is>
          <t>2024-09-11</t>
        </is>
      </c>
      <c r="B1175" t="n">
        <v>66837</v>
      </c>
      <c r="C1175" s="5">
        <f>(B1175-B1174)/B1174</f>
        <v/>
      </c>
      <c r="D1175" t="n">
        <v>1253.27</v>
      </c>
      <c r="E1175" s="5">
        <f>(D1175-D1174)/D1174</f>
        <v/>
      </c>
    </row>
    <row r="1176">
      <c r="A1176" t="inlineStr">
        <is>
          <t>2024-09-12</t>
        </is>
      </c>
      <c r="B1176" t="n">
        <v>66542</v>
      </c>
      <c r="C1176" s="5">
        <f>(B1176-B1175)/B1175</f>
        <v/>
      </c>
      <c r="D1176" t="n">
        <v>1256.35</v>
      </c>
      <c r="E1176" s="5">
        <f>(D1176-D1175)/D1175</f>
        <v/>
      </c>
    </row>
    <row r="1177">
      <c r="A1177" t="inlineStr">
        <is>
          <t>2024-09-13</t>
        </is>
      </c>
      <c r="B1177" t="n">
        <v>66246</v>
      </c>
      <c r="C1177" s="5">
        <f>(B1177-B1176)/B1176</f>
        <v/>
      </c>
      <c r="D1177" t="n">
        <v>1251.71</v>
      </c>
      <c r="E1177" s="5">
        <f>(D1177-D1176)/D1176</f>
        <v/>
      </c>
    </row>
    <row r="1178">
      <c r="A1178" t="inlineStr">
        <is>
          <t>2024-09-16</t>
        </is>
      </c>
      <c r="B1178" t="n">
        <v>65161</v>
      </c>
      <c r="C1178" s="5">
        <f>(B1178-B1177)/B1177</f>
        <v/>
      </c>
      <c r="D1178" t="n">
        <v>1239.26</v>
      </c>
      <c r="E1178" s="5">
        <f>(D1178-D1177)/D1177</f>
        <v/>
      </c>
    </row>
    <row r="1179">
      <c r="A1179" t="inlineStr">
        <is>
          <t>2024-09-17</t>
        </is>
      </c>
      <c r="B1179" t="n">
        <v>65851</v>
      </c>
      <c r="C1179" s="5">
        <f>(B1179-B1178)/B1178</f>
        <v/>
      </c>
      <c r="D1179" t="n">
        <v>1258.95</v>
      </c>
      <c r="E1179" s="5">
        <f>(D1179-D1178)/D1178</f>
        <v/>
      </c>
    </row>
    <row r="1180">
      <c r="A1180" t="inlineStr">
        <is>
          <t>2024-09-18</t>
        </is>
      </c>
      <c r="B1180" t="n">
        <v>67232</v>
      </c>
      <c r="C1180" s="5">
        <f>(B1180-B1179)/B1179</f>
        <v/>
      </c>
      <c r="D1180" t="n">
        <v>1264.9</v>
      </c>
      <c r="E1180" s="5">
        <f>(D1180-D1179)/D1179</f>
        <v/>
      </c>
    </row>
    <row r="1181">
      <c r="A1181" t="inlineStr">
        <is>
          <t>2024-09-19</t>
        </is>
      </c>
      <c r="B1181" t="n">
        <v>67232</v>
      </c>
      <c r="C1181" s="5">
        <f>(B1181-B1180)/B1180</f>
        <v/>
      </c>
      <c r="D1181" t="n">
        <v>1271.27</v>
      </c>
      <c r="E1181" s="5">
        <f>(D1181-D1180)/D1180</f>
        <v/>
      </c>
    </row>
    <row r="1182">
      <c r="A1182" t="inlineStr">
        <is>
          <t>2024-09-20</t>
        </is>
      </c>
      <c r="B1182" t="n">
        <v>67034</v>
      </c>
      <c r="C1182" s="5">
        <f>(B1182-B1181)/B1181</f>
        <v/>
      </c>
      <c r="D1182" t="n">
        <v>1272.04</v>
      </c>
      <c r="E1182" s="5">
        <f>(D1182-D1181)/D1181</f>
        <v/>
      </c>
    </row>
    <row r="1183">
      <c r="A1183" t="inlineStr">
        <is>
          <t>2024-09-23</t>
        </is>
      </c>
      <c r="B1183" t="n">
        <v>66344</v>
      </c>
      <c r="C1183" s="5">
        <f>(B1183-B1182)/B1182</f>
        <v/>
      </c>
      <c r="D1183" t="n">
        <v>1268.48</v>
      </c>
      <c r="E1183" s="5">
        <f>(D1183-D1182)/D1182</f>
        <v/>
      </c>
    </row>
    <row r="1184">
      <c r="A1184" t="inlineStr">
        <is>
          <t>2024-09-24</t>
        </is>
      </c>
      <c r="B1184" t="n">
        <v>67133</v>
      </c>
      <c r="C1184" s="5">
        <f>(B1184-B1183)/B1183</f>
        <v/>
      </c>
      <c r="D1184" t="n">
        <v>1276.99</v>
      </c>
      <c r="E1184" s="5">
        <f>(D1184-D1183)/D1183</f>
        <v/>
      </c>
    </row>
    <row r="1185">
      <c r="A1185" t="inlineStr">
        <is>
          <t>2024-09-25</t>
        </is>
      </c>
      <c r="B1185" t="n">
        <v>67724</v>
      </c>
      <c r="C1185" s="5">
        <f>(B1185-B1184)/B1184</f>
        <v/>
      </c>
      <c r="D1185" t="n">
        <v>1287.48</v>
      </c>
      <c r="E1185" s="5">
        <f>(D1185-D1184)/D1184</f>
        <v/>
      </c>
    </row>
    <row r="1186">
      <c r="A1186" t="inlineStr">
        <is>
          <t>2024-09-26</t>
        </is>
      </c>
      <c r="B1186" t="n">
        <v>67330</v>
      </c>
      <c r="C1186" s="5">
        <f>(B1186-B1185)/B1185</f>
        <v/>
      </c>
      <c r="D1186" t="n">
        <v>1291.49</v>
      </c>
      <c r="E1186" s="5">
        <f>(D1186-D1185)/D1185</f>
        <v/>
      </c>
    </row>
    <row r="1187">
      <c r="A1187" t="inlineStr">
        <is>
          <t>2024-09-27</t>
        </is>
      </c>
      <c r="B1187" t="n">
        <v>66542</v>
      </c>
      <c r="C1187" s="5">
        <f>(B1187-B1186)/B1186</f>
        <v/>
      </c>
      <c r="D1187" t="n">
        <v>1290.92</v>
      </c>
      <c r="E1187" s="5">
        <f>(D1187-D1186)/D1186</f>
        <v/>
      </c>
    </row>
    <row r="1188">
      <c r="A1188" t="inlineStr">
        <is>
          <t>2024-09-30</t>
        </is>
      </c>
      <c r="B1188" t="n">
        <v>67133</v>
      </c>
      <c r="C1188" s="5">
        <f>(B1188-B1187)/B1187</f>
        <v/>
      </c>
      <c r="D1188" t="n">
        <v>1287.94</v>
      </c>
      <c r="E1188" s="5">
        <f>(D1188-D1187)/D1187</f>
        <v/>
      </c>
    </row>
    <row r="1189">
      <c r="A1189" t="inlineStr">
        <is>
          <t>2024-10-01</t>
        </is>
      </c>
      <c r="B1189" t="n">
        <v>66837</v>
      </c>
      <c r="C1189" s="5">
        <f>(B1189-B1188)/B1188</f>
        <v/>
      </c>
      <c r="D1189" t="n">
        <v>1292.2</v>
      </c>
      <c r="E1189" s="5">
        <f>(D1189-D1188)/D1188</f>
        <v/>
      </c>
    </row>
    <row r="1190">
      <c r="A1190" t="inlineStr">
        <is>
          <t>2024-10-02</t>
        </is>
      </c>
      <c r="B1190" t="n">
        <v>66443</v>
      </c>
      <c r="C1190" s="5">
        <f>(B1190-B1189)/B1189</f>
        <v/>
      </c>
      <c r="D1190" t="n">
        <v>1287.84</v>
      </c>
      <c r="E1190" s="5">
        <f>(D1190-D1189)/D1189</f>
        <v/>
      </c>
    </row>
    <row r="1191">
      <c r="A1191" t="inlineStr">
        <is>
          <t>2024-10-03</t>
        </is>
      </c>
      <c r="B1191" t="n">
        <v>65358.99999999999</v>
      </c>
      <c r="C1191" s="5">
        <f>(B1191-B1190)/B1190</f>
        <v/>
      </c>
      <c r="D1191" t="n">
        <v>1278.1</v>
      </c>
      <c r="E1191" s="5">
        <f>(D1191-D1190)/D1190</f>
        <v/>
      </c>
    </row>
    <row r="1192">
      <c r="A1192" t="inlineStr">
        <is>
          <t>2024-10-04</t>
        </is>
      </c>
      <c r="B1192" t="n">
        <v>65456.99999999999</v>
      </c>
      <c r="C1192" s="5">
        <f>(B1192-B1191)/B1191</f>
        <v/>
      </c>
      <c r="D1192" t="n">
        <v>1270.6</v>
      </c>
      <c r="E1192" s="5">
        <f>(D1192-D1191)/D1191</f>
        <v/>
      </c>
    </row>
    <row r="1193">
      <c r="A1193" t="inlineStr">
        <is>
          <t>2024-10-07</t>
        </is>
      </c>
      <c r="B1193" t="n">
        <v>65358.99999999999</v>
      </c>
      <c r="C1193" s="5">
        <f>(B1193-B1192)/B1192</f>
        <v/>
      </c>
      <c r="D1193" t="n">
        <v>1269.93</v>
      </c>
      <c r="E1193" s="5">
        <f>(D1193-D1192)/D1192</f>
        <v/>
      </c>
    </row>
    <row r="1194">
      <c r="A1194" t="inlineStr">
        <is>
          <t>2024-10-08</t>
        </is>
      </c>
      <c r="B1194" t="n">
        <v>64274</v>
      </c>
      <c r="C1194" s="5">
        <f>(B1194-B1193)/B1193</f>
        <v/>
      </c>
      <c r="D1194" t="n">
        <v>1271.98</v>
      </c>
      <c r="E1194" s="5">
        <f>(D1194-D1193)/D1193</f>
        <v/>
      </c>
    </row>
    <row r="1195">
      <c r="A1195" t="inlineStr">
        <is>
          <t>2024-10-09</t>
        </is>
      </c>
      <c r="B1195" t="n">
        <v>63288</v>
      </c>
      <c r="C1195" s="5">
        <f>(B1195-B1194)/B1194</f>
        <v/>
      </c>
      <c r="D1195" t="n">
        <v>1281.85</v>
      </c>
      <c r="E1195" s="5">
        <f>(D1195-D1194)/D1194</f>
        <v/>
      </c>
    </row>
    <row r="1196">
      <c r="A1196" t="inlineStr">
        <is>
          <t>2024-10-10</t>
        </is>
      </c>
      <c r="B1196" t="n">
        <v>64077</v>
      </c>
      <c r="C1196" s="5">
        <f>(B1196-B1195)/B1195</f>
        <v/>
      </c>
      <c r="D1196" t="n">
        <v>1286.36</v>
      </c>
      <c r="E1196" s="5">
        <f>(D1196-D1195)/D1195</f>
        <v/>
      </c>
    </row>
    <row r="1197">
      <c r="A1197" t="inlineStr">
        <is>
          <t>2024-10-11</t>
        </is>
      </c>
      <c r="B1197" t="n">
        <v>63584</v>
      </c>
      <c r="C1197" s="5">
        <f>(B1197-B1196)/B1196</f>
        <v/>
      </c>
      <c r="D1197" t="n">
        <v>1288.39</v>
      </c>
      <c r="E1197" s="5">
        <f>(D1197-D1196)/D1196</f>
        <v/>
      </c>
    </row>
    <row r="1198">
      <c r="A1198" t="inlineStr">
        <is>
          <t>2024-10-14</t>
        </is>
      </c>
      <c r="B1198" t="n">
        <v>62697</v>
      </c>
      <c r="C1198" s="5">
        <f>(B1198-B1197)/B1197</f>
        <v/>
      </c>
      <c r="D1198" t="n">
        <v>1286.34</v>
      </c>
      <c r="E1198" s="5">
        <f>(D1198-D1197)/D1197</f>
        <v/>
      </c>
    </row>
    <row r="1199">
      <c r="A1199" t="inlineStr">
        <is>
          <t>2024-10-15</t>
        </is>
      </c>
      <c r="B1199" t="n">
        <v>63486</v>
      </c>
      <c r="C1199" s="5">
        <f>(B1199-B1198)/B1198</f>
        <v/>
      </c>
      <c r="D1199" t="n">
        <v>1281.08</v>
      </c>
      <c r="E1199" s="5">
        <f>(D1199-D1198)/D1198</f>
        <v/>
      </c>
    </row>
    <row r="1200">
      <c r="A1200" t="inlineStr">
        <is>
          <t>2024-10-16</t>
        </is>
      </c>
      <c r="B1200" t="n">
        <v>64569.99999999999</v>
      </c>
      <c r="C1200" s="5">
        <f>(B1200-B1199)/B1199</f>
        <v/>
      </c>
      <c r="D1200" t="n">
        <v>1279.48</v>
      </c>
      <c r="E1200" s="5">
        <f>(D1200-D1199)/D1199</f>
        <v/>
      </c>
    </row>
    <row r="1201">
      <c r="A1201" t="inlineStr">
        <is>
          <t>2024-10-17</t>
        </is>
      </c>
      <c r="B1201" t="n">
        <v>64866</v>
      </c>
      <c r="C1201" s="5">
        <f>(B1201-B1200)/B1200</f>
        <v/>
      </c>
      <c r="D1201" t="n">
        <v>1286.52</v>
      </c>
      <c r="E1201" s="5">
        <f>(D1201-D1200)/D1200</f>
        <v/>
      </c>
    </row>
    <row r="1202">
      <c r="A1202" t="inlineStr">
        <is>
          <t>2024-10-18</t>
        </is>
      </c>
      <c r="B1202" t="n">
        <v>64766.99999999999</v>
      </c>
      <c r="C1202" s="5">
        <f>(B1202-B1201)/B1201</f>
        <v/>
      </c>
      <c r="D1202" t="n">
        <v>1285.46</v>
      </c>
      <c r="E1202" s="5">
        <f>(D1202-D1201)/D1201</f>
        <v/>
      </c>
    </row>
    <row r="1203">
      <c r="A1203" t="inlineStr">
        <is>
          <t>2024-10-21</t>
        </is>
      </c>
      <c r="B1203" t="n">
        <v>64866</v>
      </c>
      <c r="C1203" s="5">
        <f>(B1203-B1202)/B1202</f>
        <v/>
      </c>
      <c r="D1203" t="n">
        <v>1279.77</v>
      </c>
      <c r="E1203" s="5">
        <f>(D1203-D1202)/D1202</f>
        <v/>
      </c>
    </row>
    <row r="1204">
      <c r="A1204" t="inlineStr">
        <is>
          <t>2024-10-22</t>
        </is>
      </c>
      <c r="B1204" t="n">
        <v>65358.99999999999</v>
      </c>
      <c r="C1204" s="5">
        <f>(B1204-B1203)/B1203</f>
        <v/>
      </c>
      <c r="D1204" t="n">
        <v>1269.89</v>
      </c>
      <c r="E1204" s="5">
        <f>(D1204-D1203)/D1203</f>
        <v/>
      </c>
    </row>
    <row r="1205">
      <c r="A1205" t="inlineStr">
        <is>
          <t>2024-10-23</t>
        </is>
      </c>
      <c r="B1205" t="n">
        <v>64766.99999999999</v>
      </c>
      <c r="C1205" s="5">
        <f>(B1205-B1204)/B1204</f>
        <v/>
      </c>
      <c r="D1205" t="n">
        <v>1270.9</v>
      </c>
      <c r="E1205" s="5">
        <f>(D1205-D1204)/D1204</f>
        <v/>
      </c>
    </row>
    <row r="1206">
      <c r="A1206" t="inlineStr">
        <is>
          <t>2024-10-24</t>
        </is>
      </c>
      <c r="B1206" t="n">
        <v>64471</v>
      </c>
      <c r="C1206" s="5">
        <f>(B1206-B1205)/B1205</f>
        <v/>
      </c>
      <c r="D1206" t="n">
        <v>1257.41</v>
      </c>
      <c r="E1206" s="5">
        <f>(D1206-D1205)/D1205</f>
        <v/>
      </c>
    </row>
    <row r="1207">
      <c r="A1207" t="inlineStr">
        <is>
          <t>2024-10-25</t>
        </is>
      </c>
      <c r="B1207" t="n">
        <v>64569.99999999999</v>
      </c>
      <c r="C1207" s="5">
        <f>(B1207-B1206)/B1206</f>
        <v/>
      </c>
      <c r="D1207" t="n">
        <v>1252.72</v>
      </c>
      <c r="E1207" s="5">
        <f>(D1207-D1206)/D1206</f>
        <v/>
      </c>
    </row>
    <row r="1208">
      <c r="A1208" t="inlineStr">
        <is>
          <t>2024-10-28</t>
        </is>
      </c>
      <c r="B1208" t="n">
        <v>64569.99999999999</v>
      </c>
      <c r="C1208" s="5">
        <f>(B1208-B1207)/B1207</f>
        <v/>
      </c>
      <c r="D1208" t="n">
        <v>1254.77</v>
      </c>
      <c r="E1208" s="5">
        <f>(D1208-D1207)/D1207</f>
        <v/>
      </c>
    </row>
    <row r="1209">
      <c r="A1209" t="inlineStr">
        <is>
          <t>2024-10-29</t>
        </is>
      </c>
      <c r="B1209" t="n">
        <v>65556</v>
      </c>
      <c r="C1209" s="5">
        <f>(B1209-B1208)/B1208</f>
        <v/>
      </c>
      <c r="D1209" t="n">
        <v>1261.78</v>
      </c>
      <c r="E1209" s="5">
        <f>(D1209-D1208)/D1208</f>
        <v/>
      </c>
    </row>
    <row r="1210">
      <c r="A1210" t="inlineStr">
        <is>
          <t>2024-10-30</t>
        </is>
      </c>
      <c r="B1210" t="n">
        <v>65063</v>
      </c>
      <c r="C1210" s="5">
        <f>(B1210-B1209)/B1209</f>
        <v/>
      </c>
      <c r="D1210" t="n">
        <v>1258.63</v>
      </c>
      <c r="E1210" s="5">
        <f>(D1210-D1209)/D1209</f>
        <v/>
      </c>
    </row>
    <row r="1211">
      <c r="A1211" t="inlineStr">
        <is>
          <t>2024-10-31</t>
        </is>
      </c>
      <c r="B1211" t="n">
        <v>65556</v>
      </c>
      <c r="C1211" s="5">
        <f>(B1211-B1210)/B1210</f>
        <v/>
      </c>
      <c r="D1211" t="n">
        <v>1264.48</v>
      </c>
      <c r="E1211" s="5">
        <f>(D1211-D1210)/D1210</f>
        <v/>
      </c>
    </row>
    <row r="1212">
      <c r="A1212" t="inlineStr">
        <is>
          <t>2024-11-01</t>
        </is>
      </c>
      <c r="B1212" t="n">
        <v>65063</v>
      </c>
      <c r="C1212" s="5">
        <f>(B1212-B1211)/B1211</f>
        <v/>
      </c>
      <c r="D1212" t="n">
        <v>1254.89</v>
      </c>
      <c r="E1212" s="5">
        <f>(D1212-D1211)/D1211</f>
        <v/>
      </c>
    </row>
    <row r="1213">
      <c r="A1213" t="inlineStr">
        <is>
          <t>2024-11-04</t>
        </is>
      </c>
      <c r="B1213" t="n">
        <v>64176</v>
      </c>
      <c r="C1213" s="5">
        <f>(B1213-B1212)/B1212</f>
        <v/>
      </c>
      <c r="D1213" t="n">
        <v>1244.71</v>
      </c>
      <c r="E1213" s="5">
        <f>(D1213-D1212)/D1212</f>
        <v/>
      </c>
    </row>
    <row r="1214">
      <c r="A1214" t="inlineStr">
        <is>
          <t>2024-11-05</t>
        </is>
      </c>
      <c r="B1214" t="n">
        <v>64668.00000000001</v>
      </c>
      <c r="C1214" s="5">
        <f>(B1214-B1213)/B1213</f>
        <v/>
      </c>
      <c r="D1214" t="n">
        <v>1245.76</v>
      </c>
      <c r="E1214" s="5">
        <f>(D1214-D1213)/D1213</f>
        <v/>
      </c>
    </row>
    <row r="1215">
      <c r="A1215" t="inlineStr">
        <is>
          <t>2024-11-06</t>
        </is>
      </c>
      <c r="B1215" t="n">
        <v>64668.00000000001</v>
      </c>
      <c r="C1215" s="5">
        <f>(B1215-B1214)/B1214</f>
        <v/>
      </c>
      <c r="D1215" t="n">
        <v>1261.28</v>
      </c>
      <c r="E1215" s="5">
        <f>(D1215-D1214)/D1214</f>
        <v/>
      </c>
    </row>
    <row r="1216">
      <c r="A1216" t="inlineStr">
        <is>
          <t>2024-11-07</t>
        </is>
      </c>
      <c r="B1216" t="n">
        <v>64471</v>
      </c>
      <c r="C1216" s="5">
        <f>(B1216-B1215)/B1215</f>
        <v/>
      </c>
      <c r="D1216" t="n">
        <v>1259.75</v>
      </c>
      <c r="E1216" s="5">
        <f>(D1216-D1215)/D1215</f>
        <v/>
      </c>
    </row>
    <row r="1217">
      <c r="A1217" t="inlineStr">
        <is>
          <t>2024-11-08</t>
        </is>
      </c>
      <c r="B1217" t="n">
        <v>64077</v>
      </c>
      <c r="C1217" s="5">
        <f>(B1217-B1216)/B1216</f>
        <v/>
      </c>
      <c r="D1217" t="n">
        <v>1252.56</v>
      </c>
      <c r="E1217" s="5">
        <f>(D1217-D1216)/D1216</f>
        <v/>
      </c>
    </row>
    <row r="1218">
      <c r="A1218" t="inlineStr">
        <is>
          <t>2024-11-11</t>
        </is>
      </c>
      <c r="B1218" t="n">
        <v>62105</v>
      </c>
      <c r="C1218" s="5">
        <f>(B1218-B1217)/B1217</f>
        <v/>
      </c>
      <c r="D1218" t="n">
        <v>1250.32</v>
      </c>
      <c r="E1218" s="5">
        <f>(D1218-D1217)/D1217</f>
        <v/>
      </c>
    </row>
    <row r="1219">
      <c r="A1219" t="inlineStr">
        <is>
          <t>2024-11-12</t>
        </is>
      </c>
      <c r="B1219" t="n">
        <v>59937</v>
      </c>
      <c r="C1219" s="5">
        <f>(B1219-B1218)/B1218</f>
        <v/>
      </c>
      <c r="D1219" t="n">
        <v>1244.82</v>
      </c>
      <c r="E1219" s="5">
        <f>(D1219-D1218)/D1218</f>
        <v/>
      </c>
    </row>
    <row r="1220">
      <c r="A1220" t="inlineStr">
        <is>
          <t>2024-11-13</t>
        </is>
      </c>
      <c r="B1220" t="n">
        <v>61021</v>
      </c>
      <c r="C1220" s="5">
        <f>(B1220-B1219)/B1219</f>
        <v/>
      </c>
      <c r="D1220" t="n">
        <v>1246.04</v>
      </c>
      <c r="E1220" s="5">
        <f>(D1220-D1219)/D1219</f>
        <v/>
      </c>
    </row>
    <row r="1221">
      <c r="A1221" t="inlineStr">
        <is>
          <t>2024-11-14</t>
        </is>
      </c>
      <c r="B1221" t="n">
        <v>60430</v>
      </c>
      <c r="C1221" s="5">
        <f>(B1221-B1220)/B1220</f>
        <v/>
      </c>
      <c r="D1221" t="n">
        <v>1231.89</v>
      </c>
      <c r="E1221" s="5">
        <f>(D1221-D1220)/D1220</f>
        <v/>
      </c>
    </row>
    <row r="1222">
      <c r="A1222" t="inlineStr">
        <is>
          <t>2024-11-15</t>
        </is>
      </c>
      <c r="B1222" t="n">
        <v>59049</v>
      </c>
      <c r="C1222" s="5">
        <f>(B1222-B1221)/B1221</f>
        <v/>
      </c>
      <c r="D1222" t="n">
        <v>1218.57</v>
      </c>
      <c r="E1222" s="5">
        <f>(D1222-D1221)/D1221</f>
        <v/>
      </c>
    </row>
    <row r="1223">
      <c r="A1223" t="inlineStr">
        <is>
          <t>2024-11-18</t>
        </is>
      </c>
      <c r="B1223" t="n">
        <v>58064</v>
      </c>
      <c r="C1223" s="5">
        <f>(B1223-B1222)/B1222</f>
        <v/>
      </c>
      <c r="D1223" t="n">
        <v>1217.12</v>
      </c>
      <c r="E1223" s="5">
        <f>(D1223-D1222)/D1222</f>
        <v/>
      </c>
    </row>
    <row r="1224">
      <c r="A1224" t="inlineStr">
        <is>
          <t>2024-11-19</t>
        </is>
      </c>
      <c r="B1224" t="n">
        <v>56684</v>
      </c>
      <c r="C1224" s="5">
        <f>(B1224-B1223)/B1223</f>
        <v/>
      </c>
      <c r="D1224" t="n">
        <v>1205.15</v>
      </c>
      <c r="E1224" s="5">
        <f>(D1224-D1223)/D1223</f>
        <v/>
      </c>
    </row>
    <row r="1225">
      <c r="A1225" t="inlineStr">
        <is>
          <t>2024-11-20</t>
        </is>
      </c>
      <c r="B1225" t="n">
        <v>55993</v>
      </c>
      <c r="C1225" s="5">
        <f>(B1225-B1224)/B1224</f>
        <v/>
      </c>
      <c r="D1225" t="n">
        <v>1216.54</v>
      </c>
      <c r="E1225" s="5">
        <f>(D1225-D1224)/D1224</f>
        <v/>
      </c>
    </row>
    <row r="1226">
      <c r="A1226" t="inlineStr">
        <is>
          <t>2024-11-21</t>
        </is>
      </c>
      <c r="B1226" t="n">
        <v>57866</v>
      </c>
      <c r="C1226" s="5">
        <f>(B1226-B1225)/B1225</f>
        <v/>
      </c>
      <c r="D1226" t="n">
        <v>1228.33</v>
      </c>
      <c r="E1226" s="5">
        <f>(D1226-D1225)/D1225</f>
        <v/>
      </c>
    </row>
    <row r="1227">
      <c r="A1227" t="inlineStr">
        <is>
          <t>2024-11-22</t>
        </is>
      </c>
      <c r="B1227" t="n">
        <v>58162</v>
      </c>
      <c r="C1227" s="5">
        <f>(B1227-B1226)/B1226</f>
        <v/>
      </c>
      <c r="D1227" t="n">
        <v>1228.1</v>
      </c>
      <c r="E1227" s="5">
        <f>(D1227-D1226)/D1226</f>
        <v/>
      </c>
    </row>
    <row r="1228">
      <c r="A1228" t="inlineStr">
        <is>
          <t>2024-11-25</t>
        </is>
      </c>
      <c r="B1228" t="n">
        <v>58162</v>
      </c>
      <c r="C1228" s="5">
        <f>(B1228-B1227)/B1227</f>
        <v/>
      </c>
      <c r="D1228" t="n">
        <v>1234.7</v>
      </c>
      <c r="E1228" s="5">
        <f>(D1228-D1227)/D1227</f>
        <v/>
      </c>
    </row>
    <row r="1229">
      <c r="A1229" t="inlineStr">
        <is>
          <t>2024-11-26</t>
        </is>
      </c>
      <c r="B1229" t="n">
        <v>59148</v>
      </c>
      <c r="C1229" s="5">
        <f>(B1229-B1228)/B1228</f>
        <v/>
      </c>
      <c r="D1229" t="n">
        <v>1242.13</v>
      </c>
      <c r="E1229" s="5">
        <f>(D1229-D1228)/D1228</f>
        <v/>
      </c>
    </row>
    <row r="1230">
      <c r="A1230" t="inlineStr">
        <is>
          <t>2024-11-27</t>
        </is>
      </c>
      <c r="B1230" t="n">
        <v>59345</v>
      </c>
      <c r="C1230" s="5">
        <f>(B1230-B1229)/B1229</f>
        <v/>
      </c>
      <c r="D1230" t="n">
        <v>1241.97</v>
      </c>
      <c r="E1230" s="5">
        <f>(D1230-D1229)/D1229</f>
        <v/>
      </c>
    </row>
    <row r="1231">
      <c r="A1231" t="inlineStr">
        <is>
          <t>2024-11-28</t>
        </is>
      </c>
      <c r="B1231" t="n">
        <v>59148</v>
      </c>
      <c r="C1231" s="5">
        <f>(B1231-B1230)/B1230</f>
        <v/>
      </c>
      <c r="D1231" t="n">
        <v>1242.11</v>
      </c>
      <c r="E1231" s="5">
        <f>(D1231-D1230)/D1230</f>
        <v/>
      </c>
    </row>
    <row r="1232">
      <c r="A1232" t="inlineStr">
        <is>
          <t>2024-11-29</t>
        </is>
      </c>
      <c r="B1232" t="n">
        <v>59641</v>
      </c>
      <c r="C1232" s="5">
        <f>(B1232-B1231)/B1231</f>
        <v/>
      </c>
      <c r="D1232" t="n">
        <v>1250.46</v>
      </c>
      <c r="E1232" s="5">
        <f>(D1232-D1231)/D1231</f>
        <v/>
      </c>
    </row>
    <row r="1233">
      <c r="A1233" t="inlineStr">
        <is>
          <t>2024-12-02</t>
        </is>
      </c>
      <c r="B1233" t="n">
        <v>59542</v>
      </c>
      <c r="C1233" s="5">
        <f>(B1233-B1232)/B1232</f>
        <v/>
      </c>
      <c r="D1233" t="n">
        <v>1251.21</v>
      </c>
      <c r="E1233" s="5">
        <f>(D1233-D1232)/D1232</f>
        <v/>
      </c>
    </row>
    <row r="1234">
      <c r="A1234" t="inlineStr">
        <is>
          <t>2024-12-03</t>
        </is>
      </c>
      <c r="B1234" t="n">
        <v>58951</v>
      </c>
      <c r="C1234" s="5">
        <f>(B1234-B1233)/B1233</f>
        <v/>
      </c>
      <c r="D1234" t="n">
        <v>1249.83</v>
      </c>
      <c r="E1234" s="5">
        <f>(D1234-D1233)/D1233</f>
        <v/>
      </c>
    </row>
    <row r="1235">
      <c r="A1235" t="inlineStr">
        <is>
          <t>2024-12-04</t>
        </is>
      </c>
      <c r="B1235" t="n">
        <v>57275</v>
      </c>
      <c r="C1235" s="5">
        <f>(B1235-B1234)/B1234</f>
        <v/>
      </c>
      <c r="D1235" t="n">
        <v>1240.41</v>
      </c>
      <c r="E1235" s="5">
        <f>(D1235-D1234)/D1234</f>
        <v/>
      </c>
    </row>
    <row r="1236">
      <c r="A1236" t="inlineStr">
        <is>
          <t>2024-12-05</t>
        </is>
      </c>
      <c r="B1236" t="n">
        <v>60134</v>
      </c>
      <c r="C1236" s="5">
        <f>(B1236-B1235)/B1235</f>
        <v/>
      </c>
      <c r="D1236" t="n">
        <v>1267.53</v>
      </c>
      <c r="E1236" s="5">
        <f>(D1236-D1235)/D1235</f>
        <v/>
      </c>
    </row>
    <row r="1237">
      <c r="A1237" t="inlineStr">
        <is>
          <t>2024-12-06</t>
        </is>
      </c>
      <c r="B1237" t="n">
        <v>60232</v>
      </c>
      <c r="C1237" s="5">
        <f>(B1237-B1236)/B1236</f>
        <v/>
      </c>
      <c r="D1237" t="n">
        <v>1270.14</v>
      </c>
      <c r="E1237" s="5">
        <f>(D1237-D1236)/D1236</f>
        <v/>
      </c>
    </row>
    <row r="1238">
      <c r="A1238" t="inlineStr">
        <is>
          <t>2024-12-09</t>
        </is>
      </c>
      <c r="B1238" t="n">
        <v>60232</v>
      </c>
      <c r="C1238" s="5">
        <f>(B1238-B1237)/B1237</f>
        <v/>
      </c>
      <c r="D1238" t="n">
        <v>1273.84</v>
      </c>
      <c r="E1238" s="5">
        <f>(D1238-D1237)/D1237</f>
        <v/>
      </c>
    </row>
    <row r="1239">
      <c r="A1239" t="inlineStr">
        <is>
          <t>2024-12-10</t>
        </is>
      </c>
      <c r="B1239" t="n">
        <v>59937</v>
      </c>
      <c r="C1239" s="5">
        <f>(B1239-B1238)/B1238</f>
        <v/>
      </c>
      <c r="D1239" t="n">
        <v>1272.07</v>
      </c>
      <c r="E1239" s="5">
        <f>(D1239-D1238)/D1238</f>
        <v/>
      </c>
    </row>
    <row r="1240">
      <c r="A1240" t="inlineStr">
        <is>
          <t>2024-12-11</t>
        </is>
      </c>
      <c r="B1240" t="n">
        <v>59148</v>
      </c>
      <c r="C1240" s="5">
        <f>(B1240-B1239)/B1239</f>
        <v/>
      </c>
      <c r="D1240" t="n">
        <v>1268.86</v>
      </c>
      <c r="E1240" s="5">
        <f>(D1240-D1239)/D1239</f>
        <v/>
      </c>
    </row>
    <row r="1241">
      <c r="A1241" t="inlineStr">
        <is>
          <t>2024-12-12</t>
        </is>
      </c>
      <c r="B1241" t="n">
        <v>59148</v>
      </c>
      <c r="C1241" s="5">
        <f>(B1241-B1240)/B1240</f>
        <v/>
      </c>
      <c r="D1241" t="n">
        <v>1267.35</v>
      </c>
      <c r="E1241" s="5">
        <f>(D1241-D1240)/D1240</f>
        <v/>
      </c>
    </row>
    <row r="1242">
      <c r="A1242" t="inlineStr">
        <is>
          <t>2024-12-13</t>
        </is>
      </c>
      <c r="B1242" t="n">
        <v>60134</v>
      </c>
      <c r="C1242" s="5">
        <f>(B1242-B1241)/B1241</f>
        <v/>
      </c>
      <c r="D1242" t="n">
        <v>1262.57</v>
      </c>
      <c r="E1242" s="5">
        <f>(D1242-D1241)/D1241</f>
        <v/>
      </c>
    </row>
    <row r="1243">
      <c r="A1243" t="inlineStr">
        <is>
          <t>2024-12-16</t>
        </is>
      </c>
      <c r="B1243" t="n">
        <v>60134</v>
      </c>
      <c r="C1243" s="5">
        <f>(B1243-B1242)/B1242</f>
        <v/>
      </c>
      <c r="D1243" t="n">
        <v>1263.79</v>
      </c>
      <c r="E1243" s="5">
        <f>(D1243-D1242)/D1242</f>
        <v/>
      </c>
    </row>
    <row r="1244">
      <c r="A1244" t="inlineStr">
        <is>
          <t>2024-12-17</t>
        </is>
      </c>
      <c r="B1244" t="n">
        <v>59444</v>
      </c>
      <c r="C1244" s="5">
        <f>(B1244-B1243)/B1243</f>
        <v/>
      </c>
      <c r="D1244" t="n">
        <v>1261.72</v>
      </c>
      <c r="E1244" s="5">
        <f>(D1244-D1243)/D1243</f>
        <v/>
      </c>
    </row>
    <row r="1245">
      <c r="A1245" t="inlineStr">
        <is>
          <t>2024-12-18</t>
        </is>
      </c>
      <c r="B1245" t="n">
        <v>59345</v>
      </c>
      <c r="C1245" s="5">
        <f>(B1245-B1244)/B1244</f>
        <v/>
      </c>
      <c r="D1245" t="n">
        <v>1266</v>
      </c>
      <c r="E1245" s="5">
        <f>(D1245-D1244)/D1244</f>
        <v/>
      </c>
    </row>
    <row r="1246">
      <c r="A1246" t="inlineStr">
        <is>
          <t>2024-12-19</t>
        </is>
      </c>
      <c r="B1246" t="n">
        <v>58951</v>
      </c>
      <c r="C1246" s="5">
        <f>(B1246-B1245)/B1245</f>
        <v/>
      </c>
      <c r="D1246" t="n">
        <v>1254.67</v>
      </c>
      <c r="E1246" s="5">
        <f>(D1246-D1245)/D1245</f>
        <v/>
      </c>
    </row>
    <row r="1247">
      <c r="A1247" t="inlineStr">
        <is>
          <t>2024-12-20</t>
        </is>
      </c>
      <c r="B1247" t="n">
        <v>59739</v>
      </c>
      <c r="C1247" s="5">
        <f>(B1247-B1246)/B1246</f>
        <v/>
      </c>
      <c r="D1247" t="n">
        <v>1257.5</v>
      </c>
      <c r="E1247" s="5">
        <f>(D1247-D1246)/D1246</f>
        <v/>
      </c>
    </row>
    <row r="1248">
      <c r="A1248" t="inlineStr">
        <is>
          <t>2024-12-23</t>
        </is>
      </c>
      <c r="B1248" t="n">
        <v>60134</v>
      </c>
      <c r="C1248" s="5">
        <f>(B1248-B1247)/B1247</f>
        <v/>
      </c>
      <c r="D1248" t="n">
        <v>1262.76</v>
      </c>
      <c r="E1248" s="5">
        <f>(D1248-D1247)/D1247</f>
        <v/>
      </c>
    </row>
    <row r="1249">
      <c r="A1249" t="inlineStr">
        <is>
          <t>2024-12-24</t>
        </is>
      </c>
      <c r="B1249" t="n">
        <v>60430</v>
      </c>
      <c r="C1249" s="5">
        <f>(B1249-B1248)/B1248</f>
        <v/>
      </c>
      <c r="D1249" t="n">
        <v>1260.36</v>
      </c>
      <c r="E1249" s="5">
        <f>(D1249-D1248)/D1248</f>
        <v/>
      </c>
    </row>
    <row r="1250">
      <c r="A1250" t="inlineStr">
        <is>
          <t>2024-12-25</t>
        </is>
      </c>
      <c r="B1250" t="n">
        <v>61317</v>
      </c>
      <c r="C1250" s="5">
        <f>(B1250-B1249)/B1249</f>
        <v/>
      </c>
      <c r="D1250" t="n">
        <v>1274.04</v>
      </c>
      <c r="E1250" s="5">
        <f>(D1250-D1249)/D1249</f>
        <v/>
      </c>
    </row>
    <row r="1251">
      <c r="A1251" t="inlineStr">
        <is>
          <t>2024-12-26</t>
        </is>
      </c>
      <c r="B1251" t="n">
        <v>60627</v>
      </c>
      <c r="C1251" s="5">
        <f>(B1251-B1250)/B1250</f>
        <v/>
      </c>
      <c r="D1251" t="n">
        <v>1272.87</v>
      </c>
      <c r="E1251" s="5">
        <f>(D1251-D1250)/D1250</f>
        <v/>
      </c>
    </row>
    <row r="1252">
      <c r="A1252" t="inlineStr">
        <is>
          <t>2024-12-27</t>
        </is>
      </c>
      <c r="B1252" t="n">
        <v>60528</v>
      </c>
      <c r="C1252" s="5">
        <f>(B1252-B1251)/B1251</f>
        <v/>
      </c>
      <c r="D1252" t="n">
        <v>1275.14</v>
      </c>
      <c r="E1252" s="5">
        <f>(D1252-D1251)/D1251</f>
        <v/>
      </c>
    </row>
    <row r="1253">
      <c r="A1253" t="inlineStr">
        <is>
          <t>2024-12-30</t>
        </is>
      </c>
      <c r="B1253" t="n">
        <v>60134</v>
      </c>
      <c r="C1253" s="5">
        <f>(B1253-B1252)/B1252</f>
        <v/>
      </c>
      <c r="D1253" t="n">
        <v>1272.02</v>
      </c>
      <c r="E1253" s="5">
        <f>(D1253-D1252)/D1252</f>
        <v/>
      </c>
    </row>
    <row r="1254">
      <c r="A1254" t="inlineStr">
        <is>
          <t>2024-12-31</t>
        </is>
      </c>
      <c r="B1254" t="n">
        <v>60134</v>
      </c>
      <c r="C1254" s="5">
        <f>(B1254-B1253)/B1253</f>
        <v/>
      </c>
      <c r="D1254" t="n">
        <v>1266.78</v>
      </c>
      <c r="E1254" s="5">
        <f>(D1254-D1253)/D1253</f>
        <v/>
      </c>
    </row>
    <row r="1255">
      <c r="A1255" t="inlineStr">
        <is>
          <t>2025-01-02</t>
        </is>
      </c>
      <c r="B1255" t="n">
        <v>59739</v>
      </c>
      <c r="C1255" s="5">
        <f>(B1255-B1254)/B1254</f>
        <v/>
      </c>
      <c r="D1255" t="n">
        <v>1269.71</v>
      </c>
      <c r="E1255" s="5">
        <f>(D1255-D1254)/D1254</f>
        <v/>
      </c>
    </row>
    <row r="1256">
      <c r="A1256" t="inlineStr">
        <is>
          <t>2025-01-03</t>
        </is>
      </c>
      <c r="B1256" t="n">
        <v>57768</v>
      </c>
      <c r="C1256" s="5">
        <f>(B1256-B1255)/B1255</f>
        <v/>
      </c>
      <c r="D1256" t="n">
        <v>1254.59</v>
      </c>
      <c r="E1256" s="5">
        <f>(D1256-D1255)/D1255</f>
        <v/>
      </c>
    </row>
    <row r="1257">
      <c r="A1257" t="inlineStr">
        <is>
          <t>2025-01-06</t>
        </is>
      </c>
      <c r="B1257" t="n">
        <v>56191</v>
      </c>
      <c r="C1257" s="5">
        <f>(B1257-B1256)/B1256</f>
        <v/>
      </c>
      <c r="D1257" t="n">
        <v>1246.35</v>
      </c>
      <c r="E1257" s="5">
        <f>(D1257-D1256)/D1256</f>
        <v/>
      </c>
    </row>
    <row r="1258">
      <c r="A1258" t="inlineStr">
        <is>
          <t>2025-01-07</t>
        </is>
      </c>
      <c r="B1258" t="n">
        <v>56289</v>
      </c>
      <c r="C1258" s="5">
        <f>(B1258-B1257)/B1257</f>
        <v/>
      </c>
      <c r="D1258" t="n">
        <v>1246.95</v>
      </c>
      <c r="E1258" s="5">
        <f>(D1258-D1257)/D1257</f>
        <v/>
      </c>
    </row>
    <row r="1259">
      <c r="A1259" t="inlineStr">
        <is>
          <t>2025-01-08</t>
        </is>
      </c>
      <c r="B1259" t="n">
        <v>57275</v>
      </c>
      <c r="C1259" s="5">
        <f>(B1259-B1258)/B1258</f>
        <v/>
      </c>
      <c r="D1259" t="n">
        <v>1251.02</v>
      </c>
      <c r="E1259" s="5">
        <f>(D1259-D1258)/D1258</f>
        <v/>
      </c>
    </row>
    <row r="1260">
      <c r="A1260" t="inlineStr">
        <is>
          <t>2025-01-09</t>
        </is>
      </c>
      <c r="B1260" t="n">
        <v>56881</v>
      </c>
      <c r="C1260" s="5">
        <f>(B1260-B1259)/B1259</f>
        <v/>
      </c>
      <c r="D1260" t="n">
        <v>1245.77</v>
      </c>
      <c r="E1260" s="5">
        <f>(D1260-D1259)/D1259</f>
        <v/>
      </c>
    </row>
    <row r="1261">
      <c r="A1261" t="inlineStr">
        <is>
          <t>2025-01-10</t>
        </is>
      </c>
      <c r="B1261" t="n">
        <v>56684</v>
      </c>
      <c r="C1261" s="5">
        <f>(B1261-B1260)/B1260</f>
        <v/>
      </c>
      <c r="D1261" t="n">
        <v>1230.48</v>
      </c>
      <c r="E1261" s="5">
        <f>(D1261-D1260)/D1260</f>
        <v/>
      </c>
    </row>
    <row r="1262">
      <c r="A1262" t="inlineStr">
        <is>
          <t>2025-01-13</t>
        </is>
      </c>
      <c r="B1262" t="n">
        <v>56486</v>
      </c>
      <c r="C1262" s="5">
        <f>(B1262-B1261)/B1261</f>
        <v/>
      </c>
      <c r="D1262" t="n">
        <v>1235.65</v>
      </c>
      <c r="E1262" s="5">
        <f>(D1262-D1261)/D1261</f>
        <v/>
      </c>
    </row>
    <row r="1263">
      <c r="A1263" t="inlineStr">
        <is>
          <t>2025-01-14</t>
        </is>
      </c>
      <c r="B1263" t="n">
        <v>56388</v>
      </c>
      <c r="C1263" s="5">
        <f>(B1263-B1262)/B1262</f>
        <v/>
      </c>
      <c r="D1263" t="n">
        <v>1229.07</v>
      </c>
      <c r="E1263" s="5">
        <f>(D1263-D1262)/D1262</f>
        <v/>
      </c>
    </row>
    <row r="1264">
      <c r="A1264" t="inlineStr">
        <is>
          <t>2025-01-15</t>
        </is>
      </c>
      <c r="B1264" t="n">
        <v>56486</v>
      </c>
      <c r="C1264" s="5">
        <f>(B1264-B1263)/B1263</f>
        <v/>
      </c>
      <c r="D1264" t="n">
        <v>1236.18</v>
      </c>
      <c r="E1264" s="5">
        <f>(D1264-D1263)/D1263</f>
        <v/>
      </c>
    </row>
    <row r="1265">
      <c r="A1265" t="inlineStr">
        <is>
          <t>2025-01-16</t>
        </is>
      </c>
      <c r="B1265" t="n">
        <v>56979</v>
      </c>
      <c r="C1265" s="5">
        <f>(B1265-B1264)/B1264</f>
        <v/>
      </c>
      <c r="D1265" t="n">
        <v>1242.36</v>
      </c>
      <c r="E1265" s="5">
        <f>(D1265-D1264)/D1264</f>
        <v/>
      </c>
    </row>
    <row r="1266">
      <c r="A1266" t="inlineStr">
        <is>
          <t>2025-01-17</t>
        </is>
      </c>
      <c r="B1266" t="n">
        <v>56881</v>
      </c>
      <c r="C1266" s="5">
        <f>(B1266-B1265)/B1265</f>
        <v/>
      </c>
      <c r="D1266" t="n">
        <v>1249.11</v>
      </c>
      <c r="E1266" s="5">
        <f>(D1266-D1265)/D1265</f>
        <v/>
      </c>
    </row>
    <row r="1267">
      <c r="A1267" t="inlineStr">
        <is>
          <t>2025-01-20</t>
        </is>
      </c>
      <c r="B1267" t="n">
        <v>56684</v>
      </c>
      <c r="C1267" s="5">
        <f>(B1267-B1266)/B1266</f>
        <v/>
      </c>
      <c r="D1267" t="n">
        <v>1249.55</v>
      </c>
      <c r="E1267" s="5">
        <f>(D1267-D1266)/D1266</f>
        <v/>
      </c>
    </row>
    <row r="1268">
      <c r="A1268" t="inlineStr">
        <is>
          <t>2025-01-21</t>
        </is>
      </c>
      <c r="B1268" t="n">
        <v>56881</v>
      </c>
      <c r="C1268" s="5">
        <f>(B1268-B1267)/B1267</f>
        <v/>
      </c>
      <c r="D1268" t="n">
        <v>1246.09</v>
      </c>
      <c r="E1268" s="5">
        <f>(D1268-D1267)/D1267</f>
        <v/>
      </c>
    </row>
    <row r="1269">
      <c r="A1269" t="inlineStr">
        <is>
          <t>2025-01-22</t>
        </is>
      </c>
      <c r="B1269" t="n">
        <v>56585</v>
      </c>
      <c r="C1269" s="5">
        <f>(B1269-B1268)/B1268</f>
        <v/>
      </c>
      <c r="D1269" t="n">
        <v>1242.53</v>
      </c>
      <c r="E1269" s="5">
        <f>(D1269-D1268)/D1268</f>
        <v/>
      </c>
    </row>
    <row r="1270">
      <c r="A1270" t="inlineStr">
        <is>
          <t>2025-01-23</t>
        </is>
      </c>
      <c r="B1270" t="n">
        <v>58359</v>
      </c>
      <c r="C1270" s="5">
        <f>(B1270-B1269)/B1269</f>
        <v/>
      </c>
      <c r="D1270" t="n">
        <v>1259.63</v>
      </c>
      <c r="E1270" s="5">
        <f>(D1270-D1269)/D1269</f>
        <v/>
      </c>
    </row>
    <row r="1271">
      <c r="A1271" t="inlineStr">
        <is>
          <t>2025-01-24</t>
        </is>
      </c>
      <c r="B1271" t="n">
        <v>59247</v>
      </c>
      <c r="C1271" s="5">
        <f>(B1271-B1270)/B1270</f>
        <v/>
      </c>
      <c r="D1271" t="n">
        <v>1265.05</v>
      </c>
      <c r="E1271" s="5">
        <f>(D1271-D1270)/D1270</f>
        <v/>
      </c>
    </row>
    <row r="1272">
      <c r="A1272" t="inlineStr">
        <is>
          <t>2025-02-03</t>
        </is>
      </c>
      <c r="B1272" t="n">
        <v>58754</v>
      </c>
      <c r="C1272" s="5">
        <f>(B1272-B1271)/B1271</f>
        <v/>
      </c>
      <c r="D1272" t="n">
        <v>1253.03</v>
      </c>
      <c r="E1272" s="5">
        <f>(D1272-D1271)/D1271</f>
        <v/>
      </c>
    </row>
    <row r="1273">
      <c r="A1273" t="inlineStr">
        <is>
          <t>2025-02-04</t>
        </is>
      </c>
      <c r="B1273" t="n">
        <v>58754</v>
      </c>
      <c r="C1273" s="5">
        <f>(B1273-B1272)/B1272</f>
        <v/>
      </c>
      <c r="D1273" t="n">
        <v>1264.68</v>
      </c>
      <c r="E1273" s="5">
        <f>(D1273-D1272)/D1272</f>
        <v/>
      </c>
    </row>
    <row r="1274">
      <c r="A1274" t="inlineStr">
        <is>
          <t>2025-02-05</t>
        </is>
      </c>
      <c r="B1274" t="n">
        <v>58557</v>
      </c>
      <c r="C1274" s="5">
        <f>(B1274-B1273)/B1273</f>
        <v/>
      </c>
      <c r="D1274" t="n">
        <v>1269.61</v>
      </c>
      <c r="E1274" s="5">
        <f>(D1274-D1273)/D1273</f>
        <v/>
      </c>
    </row>
    <row r="1275">
      <c r="A1275" t="inlineStr">
        <is>
          <t>2025-02-06</t>
        </is>
      </c>
      <c r="B1275" t="n">
        <v>58261</v>
      </c>
      <c r="C1275" s="5">
        <f>(B1275-B1274)/B1274</f>
        <v/>
      </c>
      <c r="D1275" t="n">
        <v>1271.48</v>
      </c>
      <c r="E1275" s="5">
        <f>(D1275-D1274)/D1274</f>
        <v/>
      </c>
    </row>
    <row r="1276">
      <c r="A1276" t="inlineStr">
        <is>
          <t>2025-02-07</t>
        </is>
      </c>
      <c r="B1276" t="n">
        <v>58064</v>
      </c>
      <c r="C1276" s="5">
        <f>(B1276-B1275)/B1275</f>
        <v/>
      </c>
      <c r="D1276" t="n">
        <v>1275.2</v>
      </c>
      <c r="E1276" s="5">
        <f>(D1276-D1275)/D1275</f>
        <v/>
      </c>
    </row>
    <row r="1277">
      <c r="A1277" t="inlineStr">
        <is>
          <t>2025-02-10</t>
        </is>
      </c>
      <c r="B1277" t="n">
        <v>56585</v>
      </c>
      <c r="C1277" s="5">
        <f>(B1277-B1276)/B1276</f>
        <v/>
      </c>
      <c r="D1277" t="n">
        <v>1263.26</v>
      </c>
      <c r="E1277" s="5">
        <f>(D1277-D1276)/D1276</f>
        <v/>
      </c>
    </row>
    <row r="1278">
      <c r="A1278" t="inlineStr">
        <is>
          <t>2025-02-11</t>
        </is>
      </c>
      <c r="B1278" t="n">
        <v>55599</v>
      </c>
      <c r="C1278" s="5">
        <f>(B1278-B1277)/B1277</f>
        <v/>
      </c>
      <c r="D1278" t="n">
        <v>1268.45</v>
      </c>
      <c r="E1278" s="5">
        <f>(D1278-D1277)/D1277</f>
        <v/>
      </c>
    </row>
    <row r="1279">
      <c r="A1279" t="inlineStr">
        <is>
          <t>2025-02-12</t>
        </is>
      </c>
      <c r="B1279" t="n">
        <v>55599</v>
      </c>
      <c r="C1279" s="5">
        <f>(B1279-B1278)/B1278</f>
        <v/>
      </c>
      <c r="D1279" t="n">
        <v>1266.91</v>
      </c>
      <c r="E1279" s="5">
        <f>(D1279-D1278)/D1278</f>
        <v/>
      </c>
    </row>
    <row r="1280">
      <c r="A1280" t="inlineStr">
        <is>
          <t>2025-02-13</t>
        </is>
      </c>
      <c r="B1280" t="n">
        <v>54022</v>
      </c>
      <c r="C1280" s="5">
        <f>(B1280-B1279)/B1279</f>
        <v/>
      </c>
      <c r="D1280" t="n">
        <v>1270.35</v>
      </c>
      <c r="E1280" s="5">
        <f>(D1280-D1279)/D1279</f>
        <v/>
      </c>
    </row>
    <row r="1281">
      <c r="A1281" t="inlineStr">
        <is>
          <t>2025-02-14</t>
        </is>
      </c>
      <c r="B1281" t="n">
        <v>54416</v>
      </c>
      <c r="C1281" s="5">
        <f>(B1281-B1280)/B1280</f>
        <v/>
      </c>
      <c r="D1281" t="n">
        <v>1276.08</v>
      </c>
      <c r="E1281" s="5">
        <f>(D1281-D1280)/D1280</f>
        <v/>
      </c>
    </row>
    <row r="1282">
      <c r="A1282" t="inlineStr">
        <is>
          <t>2025-02-17</t>
        </is>
      </c>
      <c r="B1282" t="n">
        <v>53332</v>
      </c>
      <c r="C1282" s="5">
        <f>(B1282-B1281)/B1281</f>
        <v/>
      </c>
      <c r="D1282" t="n">
        <v>1272.72</v>
      </c>
      <c r="E1282" s="5">
        <f>(D1282-D1281)/D1281</f>
        <v/>
      </c>
    </row>
    <row r="1283">
      <c r="A1283" t="inlineStr">
        <is>
          <t>2025-02-18</t>
        </is>
      </c>
      <c r="B1283" t="n">
        <v>53726</v>
      </c>
      <c r="C1283" s="5">
        <f>(B1283-B1282)/B1282</f>
        <v/>
      </c>
      <c r="D1283" t="n">
        <v>1278.14</v>
      </c>
      <c r="E1283" s="5">
        <f>(D1283-D1282)/D1282</f>
        <v/>
      </c>
    </row>
    <row r="1284">
      <c r="A1284" t="inlineStr">
        <is>
          <t>2025-02-19</t>
        </is>
      </c>
      <c r="B1284" t="n">
        <v>55008</v>
      </c>
      <c r="C1284" s="5">
        <f>(B1284-B1283)/B1283</f>
        <v/>
      </c>
      <c r="D1284" t="n">
        <v>1288.56</v>
      </c>
      <c r="E1284" s="5">
        <f>(D1284-D1283)/D1283</f>
        <v/>
      </c>
    </row>
    <row r="1285">
      <c r="A1285" t="inlineStr">
        <is>
          <t>2025-02-20</t>
        </is>
      </c>
      <c r="B1285" t="n">
        <v>55895</v>
      </c>
      <c r="C1285" s="5">
        <f>(B1285-B1284)/B1284</f>
        <v/>
      </c>
      <c r="D1285" t="n">
        <v>1292.98</v>
      </c>
      <c r="E1285" s="5">
        <f>(D1285-D1284)/D1284</f>
        <v/>
      </c>
    </row>
    <row r="1286">
      <c r="A1286" t="inlineStr">
        <is>
          <t>2025-02-21</t>
        </is>
      </c>
      <c r="B1286" t="n">
        <v>57275</v>
      </c>
      <c r="C1286" s="5">
        <f>(B1286-B1285)/B1285</f>
        <v/>
      </c>
      <c r="D1286" t="n">
        <v>1296.75</v>
      </c>
      <c r="E1286" s="5">
        <f>(D1286-D1285)/D1285</f>
        <v/>
      </c>
    </row>
    <row r="1287">
      <c r="A1287" t="inlineStr">
        <is>
          <t>2025-02-24</t>
        </is>
      </c>
      <c r="B1287" t="n">
        <v>57571</v>
      </c>
      <c r="C1287" s="5">
        <f>(B1287-B1286)/B1286</f>
        <v/>
      </c>
      <c r="D1287" t="n">
        <v>1304.56</v>
      </c>
      <c r="E1287" s="5">
        <f>(D1287-D1286)/D1286</f>
        <v/>
      </c>
    </row>
    <row r="1288">
      <c r="A1288" t="inlineStr">
        <is>
          <t>2025-02-25</t>
        </is>
      </c>
      <c r="B1288" t="n">
        <v>57472</v>
      </c>
      <c r="C1288" s="5">
        <f>(B1288-B1287)/B1287</f>
        <v/>
      </c>
      <c r="D1288" t="n">
        <v>1303.16</v>
      </c>
      <c r="E1288" s="5">
        <f>(D1288-D1287)/D1287</f>
        <v/>
      </c>
    </row>
    <row r="1289">
      <c r="A1289" t="inlineStr">
        <is>
          <t>2025-02-26</t>
        </is>
      </c>
      <c r="B1289" t="n">
        <v>57866</v>
      </c>
      <c r="C1289" s="5">
        <f>(B1289-B1288)/B1288</f>
        <v/>
      </c>
      <c r="D1289" t="n">
        <v>1302.96</v>
      </c>
      <c r="E1289" s="5">
        <f>(D1289-D1288)/D1288</f>
        <v/>
      </c>
    </row>
    <row r="1290">
      <c r="A1290" t="inlineStr">
        <is>
          <t>2025-02-27</t>
        </is>
      </c>
      <c r="B1290" t="n">
        <v>57768</v>
      </c>
      <c r="C1290" s="5">
        <f>(B1290-B1289)/B1289</f>
        <v/>
      </c>
      <c r="D1290" t="n">
        <v>1307.8</v>
      </c>
      <c r="E1290" s="5">
        <f>(D1290-D1289)/D1289</f>
        <v/>
      </c>
    </row>
    <row r="1291">
      <c r="A1291" t="inlineStr">
        <is>
          <t>2025-02-28</t>
        </is>
      </c>
      <c r="B1291" t="n">
        <v>57472</v>
      </c>
      <c r="C1291" s="5">
        <f>(B1291-B1290)/B1290</f>
        <v/>
      </c>
      <c r="D1291" t="n">
        <v>1305.36</v>
      </c>
      <c r="E1291" s="5">
        <f>(D1291-D1290)/D1290</f>
        <v/>
      </c>
    </row>
    <row r="1292">
      <c r="A1292" t="inlineStr">
        <is>
          <t>2025-03-03</t>
        </is>
      </c>
      <c r="B1292" t="n">
        <v>57965</v>
      </c>
      <c r="C1292" s="5">
        <f>(B1292-B1291)/B1291</f>
        <v/>
      </c>
      <c r="D1292" t="n">
        <v>1309.37</v>
      </c>
      <c r="E1292" s="5">
        <f>(D1292-D1291)/D1291</f>
        <v/>
      </c>
    </row>
    <row r="1293">
      <c r="A1293" t="inlineStr">
        <is>
          <t>2025-03-04</t>
        </is>
      </c>
      <c r="B1293" t="n">
        <v>58655</v>
      </c>
      <c r="C1293" s="5">
        <f>(B1293-B1292)/B1292</f>
        <v/>
      </c>
      <c r="D1293" t="n">
        <v>1311.91</v>
      </c>
      <c r="E1293" s="5">
        <f>(D1293-D1292)/D1292</f>
        <v/>
      </c>
    </row>
    <row r="1294">
      <c r="A1294" t="inlineStr">
        <is>
          <t>2025-03-05</t>
        </is>
      </c>
      <c r="B1294" t="n">
        <v>58754</v>
      </c>
      <c r="C1294" s="5">
        <f>(B1294-B1293)/B1293</f>
        <v/>
      </c>
      <c r="D1294" t="n">
        <v>1304.71</v>
      </c>
      <c r="E1294" s="5">
        <f>(D1294-D1293)/D1293</f>
        <v/>
      </c>
    </row>
    <row r="1295">
      <c r="A1295" t="inlineStr">
        <is>
          <t>2025-03-06</t>
        </is>
      </c>
      <c r="B1295" t="n">
        <v>61021</v>
      </c>
      <c r="C1295" s="5">
        <f>(B1295-B1294)/B1294</f>
        <v/>
      </c>
      <c r="D1295" t="n">
        <v>1318.22</v>
      </c>
      <c r="E1295" s="5">
        <f>(D1295-D1294)/D1294</f>
        <v/>
      </c>
    </row>
    <row r="1296">
      <c r="A1296" t="inlineStr">
        <is>
          <t>2025-03-07</t>
        </is>
      </c>
      <c r="B1296" t="n">
        <v>61021</v>
      </c>
      <c r="C1296" s="5">
        <f>(B1296-B1295)/B1295</f>
        <v/>
      </c>
      <c r="D1296" t="n">
        <v>1326.05</v>
      </c>
      <c r="E1296" s="5">
        <f>(D1296-D1295)/D1295</f>
        <v/>
      </c>
    </row>
    <row r="1297">
      <c r="A1297" t="inlineStr">
        <is>
          <t>2025-03-10</t>
        </is>
      </c>
      <c r="B1297" t="n">
        <v>61317</v>
      </c>
      <c r="C1297" s="5">
        <f>(B1297-B1296)/B1296</f>
        <v/>
      </c>
      <c r="D1297" t="n">
        <v>1330.28</v>
      </c>
      <c r="E1297" s="5">
        <f>(D1297-D1296)/D1296</f>
        <v/>
      </c>
    </row>
    <row r="1298">
      <c r="A1298" t="inlineStr">
        <is>
          <t>2025-03-11</t>
        </is>
      </c>
      <c r="B1298" t="n">
        <v>62105</v>
      </c>
      <c r="C1298" s="5">
        <f>(B1298-B1297)/B1297</f>
        <v/>
      </c>
      <c r="D1298" t="n">
        <v>1332.54</v>
      </c>
      <c r="E1298" s="5">
        <f>(D1298-D1297)/D1297</f>
        <v/>
      </c>
    </row>
    <row r="1299">
      <c r="A1299" t="inlineStr">
        <is>
          <t>2025-03-12</t>
        </is>
      </c>
      <c r="B1299" t="n">
        <v>61810</v>
      </c>
      <c r="C1299" s="5">
        <f>(B1299-B1298)/B1298</f>
        <v/>
      </c>
      <c r="D1299" t="n">
        <v>1334.41</v>
      </c>
      <c r="E1299" s="5">
        <f>(D1299-D1298)/D1298</f>
        <v/>
      </c>
    </row>
    <row r="1300">
      <c r="A1300" t="inlineStr">
        <is>
          <t>2025-03-13</t>
        </is>
      </c>
      <c r="B1300" t="n">
        <v>60627</v>
      </c>
      <c r="C1300" s="5">
        <f>(B1300-B1299)/B1299</f>
        <v/>
      </c>
      <c r="D1300" t="n">
        <v>1326.27</v>
      </c>
      <c r="E1300" s="5">
        <f>(D1300-D1299)/D1299</f>
        <v/>
      </c>
    </row>
    <row r="1301">
      <c r="A1301" t="inlineStr">
        <is>
          <t>2025-03-14</t>
        </is>
      </c>
      <c r="B1301" t="n">
        <v>60627</v>
      </c>
      <c r="C1301" s="5">
        <f>(B1301-B1300)/B1300</f>
        <v/>
      </c>
      <c r="D1301" t="n">
        <v>1326.15</v>
      </c>
      <c r="E1301" s="5">
        <f>(D1301-D1300)/D1300</f>
        <v/>
      </c>
    </row>
    <row r="1302">
      <c r="A1302" t="inlineStr">
        <is>
          <t>2025-03-17</t>
        </is>
      </c>
      <c r="B1302" t="n">
        <v>61120</v>
      </c>
      <c r="C1302" s="5">
        <f>(B1302-B1301)/B1301</f>
        <v/>
      </c>
      <c r="D1302" t="n">
        <v>1336.26</v>
      </c>
      <c r="E1302" s="5">
        <f>(D1302-D1301)/D1301</f>
        <v/>
      </c>
    </row>
    <row r="1303">
      <c r="A1303" t="inlineStr">
        <is>
          <t>2025-03-18</t>
        </is>
      </c>
      <c r="B1303" t="n">
        <v>60922</v>
      </c>
      <c r="C1303" s="5">
        <f>(B1303-B1302)/B1302</f>
        <v/>
      </c>
      <c r="D1303" t="n">
        <v>1330.97</v>
      </c>
      <c r="E1303" s="5">
        <f>(D1303-D1302)/D1302</f>
        <v/>
      </c>
    </row>
    <row r="1304">
      <c r="A1304" t="inlineStr">
        <is>
          <t>2025-03-19</t>
        </is>
      </c>
      <c r="B1304" t="n">
        <v>58655</v>
      </c>
      <c r="C1304" s="5">
        <f>(B1304-B1303)/B1303</f>
        <v/>
      </c>
      <c r="D1304" t="n">
        <v>1324.63</v>
      </c>
      <c r="E1304" s="5">
        <f>(D1304-D1303)/D1303</f>
        <v/>
      </c>
    </row>
    <row r="1305">
      <c r="A1305" t="inlineStr">
        <is>
          <t>2025-03-20</t>
        </is>
      </c>
      <c r="B1305" t="n">
        <v>59148</v>
      </c>
      <c r="C1305" s="5">
        <f>(B1305-B1304)/B1304</f>
        <v/>
      </c>
      <c r="D1305" t="n">
        <v>1323.93</v>
      </c>
      <c r="E1305" s="5">
        <f>(D1305-D1304)/D1304</f>
        <v/>
      </c>
    </row>
    <row r="1306">
      <c r="A1306" t="inlineStr">
        <is>
          <t>2025-03-21</t>
        </is>
      </c>
      <c r="B1306" t="n">
        <v>59444</v>
      </c>
      <c r="C1306" s="5">
        <f>(B1306-B1305)/B1305</f>
        <v/>
      </c>
      <c r="D1306" t="n">
        <v>1321.88</v>
      </c>
      <c r="E1306" s="5">
        <f>(D1306-D1305)/D1305</f>
        <v/>
      </c>
    </row>
    <row r="1307">
      <c r="A1307" t="inlineStr">
        <is>
          <t>2025-03-24</t>
        </is>
      </c>
      <c r="B1307" t="n">
        <v>59444</v>
      </c>
      <c r="C1307" s="5">
        <f>(B1307-B1306)/B1306</f>
        <v/>
      </c>
      <c r="D1307" t="n">
        <v>1330.32</v>
      </c>
      <c r="E1307" s="5">
        <f>(D1307-D1306)/D1306</f>
        <v/>
      </c>
    </row>
    <row r="1308">
      <c r="A1308" t="inlineStr">
        <is>
          <t>2025-03-25</t>
        </is>
      </c>
      <c r="B1308" t="n">
        <v>59641</v>
      </c>
      <c r="C1308" s="5">
        <f>(B1308-B1307)/B1307</f>
        <v/>
      </c>
      <c r="D1308" t="n">
        <v>1331.92</v>
      </c>
      <c r="E1308" s="5">
        <f>(D1308-D1307)/D1307</f>
        <v/>
      </c>
    </row>
    <row r="1309">
      <c r="A1309" t="inlineStr">
        <is>
          <t>2025-03-26</t>
        </is>
      </c>
      <c r="B1309" t="n">
        <v>59937</v>
      </c>
      <c r="C1309" s="5">
        <f>(B1309-B1308)/B1308</f>
        <v/>
      </c>
      <c r="D1309" t="n">
        <v>1326.09</v>
      </c>
      <c r="E1309" s="5">
        <f>(D1309-D1308)/D1308</f>
        <v/>
      </c>
    </row>
    <row r="1310">
      <c r="A1310" t="inlineStr">
        <is>
          <t>2025-03-27</t>
        </is>
      </c>
      <c r="B1310" t="n">
        <v>59542</v>
      </c>
      <c r="C1310" s="5">
        <f>(B1310-B1309)/B1309</f>
        <v/>
      </c>
      <c r="D1310" t="n">
        <v>1323.81</v>
      </c>
      <c r="E1310" s="5">
        <f>(D1310-D1309)/D1309</f>
        <v/>
      </c>
    </row>
    <row r="1311">
      <c r="A1311" t="inlineStr">
        <is>
          <t>2025-03-28</t>
        </is>
      </c>
      <c r="B1311" t="n">
        <v>58951</v>
      </c>
      <c r="C1311" s="5">
        <f>(B1311-B1310)/B1310</f>
        <v/>
      </c>
      <c r="D1311" t="n">
        <v>1317.46</v>
      </c>
      <c r="E1311" s="5">
        <f>(D1311-D1310)/D1310</f>
        <v/>
      </c>
    </row>
    <row r="1312">
      <c r="A1312" t="inlineStr">
        <is>
          <t>2025-03-31</t>
        </is>
      </c>
      <c r="B1312" t="n">
        <v>58162</v>
      </c>
      <c r="C1312" s="5">
        <f>(B1312-B1311)/B1311</f>
        <v/>
      </c>
      <c r="D1312" t="n">
        <v>1306.86</v>
      </c>
      <c r="E1312" s="5">
        <f>(D1312-D1311)/D1311</f>
        <v/>
      </c>
    </row>
    <row r="1313">
      <c r="A1313" t="inlineStr">
        <is>
          <t>2025-04-01</t>
        </is>
      </c>
      <c r="B1313" t="n">
        <v>57768</v>
      </c>
      <c r="C1313" s="5">
        <f>(B1313-B1312)/B1312</f>
        <v/>
      </c>
      <c r="D1313" t="n">
        <v>1317.33</v>
      </c>
      <c r="E1313" s="5">
        <f>(D1313-D1312)/D1312</f>
        <v/>
      </c>
    </row>
    <row r="1314">
      <c r="A1314" t="inlineStr">
        <is>
          <t>2025-04-02</t>
        </is>
      </c>
      <c r="B1314" t="n">
        <v>57965</v>
      </c>
      <c r="C1314" s="5">
        <f>(B1314-B1313)/B1313</f>
        <v/>
      </c>
      <c r="D1314" t="n">
        <v>1317.83</v>
      </c>
      <c r="E1314" s="5">
        <f>(D1314-D1313)/D1313</f>
        <v/>
      </c>
    </row>
    <row r="1315">
      <c r="A1315" t="inlineStr">
        <is>
          <t>2025-04-03</t>
        </is>
      </c>
      <c r="B1315" t="n">
        <v>53923</v>
      </c>
      <c r="C1315" s="5">
        <f>(B1315-B1314)/B1314</f>
        <v/>
      </c>
      <c r="D1315" t="n">
        <v>1229.84</v>
      </c>
      <c r="E1315" s="5">
        <f>(D1315-D1314)/D1314</f>
        <v/>
      </c>
    </row>
    <row r="1316">
      <c r="A1316" t="inlineStr">
        <is>
          <t>2025-04-04</t>
        </is>
      </c>
      <c r="B1316" t="n">
        <v>52050</v>
      </c>
      <c r="C1316" s="5">
        <f>(B1316-B1315)/B1315</f>
        <v/>
      </c>
      <c r="D1316" t="n">
        <v>1210.67</v>
      </c>
      <c r="E1316" s="5">
        <f>(D1316-D1315)/D1315</f>
        <v/>
      </c>
    </row>
    <row r="1317">
      <c r="A1317" t="inlineStr">
        <is>
          <t>2025-04-08</t>
        </is>
      </c>
      <c r="B1317" t="n">
        <v>48452</v>
      </c>
      <c r="C1317" s="5">
        <f>(B1317-B1316)/B1316</f>
        <v/>
      </c>
      <c r="D1317" t="n">
        <v>1132.79</v>
      </c>
      <c r="E1317" s="5">
        <f>(D1317-D1316)/D1316</f>
        <v/>
      </c>
    </row>
    <row r="1318">
      <c r="A1318" t="inlineStr">
        <is>
          <t>2025-04-09</t>
        </is>
      </c>
      <c r="B1318" t="n">
        <v>45593</v>
      </c>
      <c r="C1318" s="5">
        <f>(B1318-B1317)/B1317</f>
        <v/>
      </c>
      <c r="D1318" t="n">
        <v>1094.3</v>
      </c>
      <c r="E1318" s="5">
        <f>(D1318-D1317)/D1317</f>
        <v/>
      </c>
    </row>
    <row r="1319">
      <c r="A1319" t="inlineStr">
        <is>
          <t>2025-04-10</t>
        </is>
      </c>
      <c r="B1319" t="n">
        <v>48748</v>
      </c>
      <c r="C1319" s="5">
        <f>(B1319-B1318)/B1318</f>
        <v/>
      </c>
      <c r="D1319" t="n">
        <v>1168.34</v>
      </c>
      <c r="E1319" s="5">
        <f>(D1319-D1318)/D1318</f>
        <v/>
      </c>
    </row>
    <row r="1320">
      <c r="A1320" t="inlineStr">
        <is>
          <t>2025-04-11</t>
        </is>
      </c>
      <c r="B1320" t="n">
        <v>52149</v>
      </c>
      <c r="C1320" s="5">
        <f>(B1320-B1319)/B1319</f>
        <v/>
      </c>
      <c r="D1320" t="n">
        <v>1222.46</v>
      </c>
      <c r="E1320" s="5">
        <f>(D1320-D1319)/D1319</f>
        <v/>
      </c>
    </row>
    <row r="1321">
      <c r="A1321" t="inlineStr">
        <is>
          <t>2025-04-14</t>
        </is>
      </c>
      <c r="B1321" t="n">
        <v>55796</v>
      </c>
      <c r="C1321" s="5">
        <f>(B1321-B1320)/B1320</f>
        <v/>
      </c>
      <c r="D1321" t="n">
        <v>1241.44</v>
      </c>
      <c r="E1321" s="5">
        <f>(D1321-D1320)/D1320</f>
        <v/>
      </c>
    </row>
    <row r="1322">
      <c r="A1322" t="inlineStr">
        <is>
          <t>2025-04-15</t>
        </is>
      </c>
      <c r="B1322" t="n">
        <v>56289</v>
      </c>
      <c r="C1322" s="5">
        <f>(B1322-B1321)/B1321</f>
        <v/>
      </c>
      <c r="D1322" t="n">
        <v>1227.79</v>
      </c>
      <c r="E1322" s="5">
        <f>(D1322-D1321)/D1321</f>
        <v/>
      </c>
    </row>
    <row r="1323">
      <c r="A1323" t="inlineStr">
        <is>
          <t>2025-04-16</t>
        </is>
      </c>
      <c r="B1323" t="n">
        <v>55993</v>
      </c>
      <c r="C1323" s="5">
        <f>(B1323-B1322)/B1322</f>
        <v/>
      </c>
      <c r="D1323" t="n">
        <v>1210.3</v>
      </c>
      <c r="E1323" s="5">
        <f>(D1323-D1322)/D1322</f>
        <v/>
      </c>
    </row>
    <row r="1324">
      <c r="A1324" t="inlineStr">
        <is>
          <t>2025-04-17</t>
        </is>
      </c>
      <c r="B1324" t="n">
        <v>55993</v>
      </c>
      <c r="C1324" s="5">
        <f>(B1324-B1323)/B1323</f>
        <v/>
      </c>
      <c r="D1324" t="n">
        <v>1217.25</v>
      </c>
      <c r="E1324" s="5">
        <f>(D1324-D1323)/D1323</f>
        <v/>
      </c>
    </row>
    <row r="1325">
      <c r="A1325" t="inlineStr">
        <is>
          <t>2025-04-18</t>
        </is>
      </c>
      <c r="B1325" t="n">
        <v>55402</v>
      </c>
      <c r="C1325" s="5">
        <f>(B1325-B1324)/B1324</f>
        <v/>
      </c>
      <c r="D1325" t="n">
        <v>1219.12</v>
      </c>
      <c r="E1325" s="5">
        <f>(D1325-D1324)/D1324</f>
        <v/>
      </c>
    </row>
    <row r="1326">
      <c r="A1326" t="inlineStr">
        <is>
          <t>2025-04-21</t>
        </is>
      </c>
      <c r="B1326" t="n">
        <v>54810</v>
      </c>
      <c r="C1326" s="5">
        <f>(B1326-B1325)/B1325</f>
        <v/>
      </c>
      <c r="D1326" t="n">
        <v>1207.07</v>
      </c>
      <c r="E1326" s="5">
        <f>(D1326-D1325)/D1325</f>
        <v/>
      </c>
    </row>
    <row r="1327">
      <c r="A1327" t="inlineStr">
        <is>
          <t>2025-04-22</t>
        </is>
      </c>
      <c r="B1327" t="n">
        <v>56486</v>
      </c>
      <c r="C1327" s="5">
        <f>(B1327-B1326)/B1326</f>
        <v/>
      </c>
      <c r="D1327" t="n">
        <v>1197.13</v>
      </c>
      <c r="E1327" s="5">
        <f>(D1327-D1326)/D1326</f>
        <v/>
      </c>
    </row>
    <row r="1328">
      <c r="A1328" t="inlineStr">
        <is>
          <t>2025-04-23</t>
        </is>
      </c>
      <c r="B1328" t="n">
        <v>57965</v>
      </c>
      <c r="C1328" s="5">
        <f>(B1328-B1327)/B1327</f>
        <v/>
      </c>
      <c r="D1328" t="n">
        <v>1211</v>
      </c>
      <c r="E1328" s="5">
        <f>(D1328-D1327)/D1327</f>
        <v/>
      </c>
    </row>
    <row r="1329">
      <c r="A1329" t="inlineStr">
        <is>
          <t>2025-04-24</t>
        </is>
      </c>
      <c r="B1329" t="n">
        <v>58852</v>
      </c>
      <c r="C1329" s="5">
        <f>(B1329-B1328)/B1328</f>
        <v/>
      </c>
      <c r="D1329" t="n">
        <v>1223.35</v>
      </c>
      <c r="E1329" s="5">
        <f>(D1329-D1328)/D1328</f>
        <v/>
      </c>
    </row>
    <row r="1330">
      <c r="A1330" t="inlineStr">
        <is>
          <t>2025-04-25</t>
        </is>
      </c>
      <c r="B1330" t="n">
        <v>59641</v>
      </c>
      <c r="C1330" s="5">
        <f>(B1330-B1329)/B1329</f>
        <v/>
      </c>
      <c r="D1330" t="n">
        <v>1229.23</v>
      </c>
      <c r="E1330" s="5">
        <f>(D1330-D1329)/D1329</f>
        <v/>
      </c>
    </row>
    <row r="1331">
      <c r="A1331" t="inlineStr">
        <is>
          <t>2025-04-28</t>
        </is>
      </c>
      <c r="B1331" t="n">
        <v>60035</v>
      </c>
      <c r="C1331" s="5">
        <f>(B1331-B1330)/B1330</f>
        <v/>
      </c>
      <c r="D1331" t="n">
        <v>1226.8</v>
      </c>
      <c r="E1331" s="5">
        <f>(D1331-D1330)/D1330</f>
        <v/>
      </c>
    </row>
    <row r="1332">
      <c r="A1332" t="inlineStr">
        <is>
          <t>2025-04-29</t>
        </is>
      </c>
      <c r="B1332" t="n">
        <v>59937</v>
      </c>
      <c r="C1332" s="5">
        <f>(B1332-B1331)/B1331</f>
        <v/>
      </c>
      <c r="D1332" t="n">
        <v>1226.3</v>
      </c>
      <c r="E1332" s="5">
        <f>(D1332-D1331)/D1331</f>
        <v/>
      </c>
    </row>
    <row r="1333">
      <c r="A1333" t="inlineStr">
        <is>
          <t>2025-05-05</t>
        </is>
      </c>
      <c r="B1333" t="n">
        <v>60134</v>
      </c>
      <c r="C1333" s="5">
        <f>(B1333-B1332)/B1332</f>
        <v/>
      </c>
      <c r="D1333" t="n">
        <v>1240.05</v>
      </c>
      <c r="E1333" s="5">
        <f>(D1333-D1332)/D1332</f>
        <v/>
      </c>
    </row>
    <row r="1334">
      <c r="A1334" t="inlineStr">
        <is>
          <t>2025-05-06</t>
        </is>
      </c>
      <c r="B1334" t="n">
        <v>59641</v>
      </c>
      <c r="C1334" s="5">
        <f>(B1334-B1333)/B1333</f>
        <v/>
      </c>
      <c r="D1334" t="n">
        <v>1241.95</v>
      </c>
      <c r="E1334" s="5">
        <f>(D1334-D1333)/D1333</f>
        <v/>
      </c>
    </row>
    <row r="1335">
      <c r="A1335" t="inlineStr">
        <is>
          <t>2025-05-07</t>
        </is>
      </c>
      <c r="B1335" t="n">
        <v>59247</v>
      </c>
      <c r="C1335" s="5">
        <f>(B1335-B1334)/B1334</f>
        <v/>
      </c>
      <c r="D1335" t="n">
        <v>1250.37</v>
      </c>
      <c r="E1335" s="5">
        <f>(D1335-D1334)/D1334</f>
        <v/>
      </c>
    </row>
    <row r="1336">
      <c r="A1336" t="inlineStr">
        <is>
          <t>2025-05-08</t>
        </is>
      </c>
      <c r="B1336" t="n">
        <v>59444</v>
      </c>
      <c r="C1336" s="5">
        <f>(B1336-B1335)/B1335</f>
        <v/>
      </c>
      <c r="D1336" t="n">
        <v>1269.8</v>
      </c>
      <c r="E1336" s="5">
        <f>(D1336-D1335)/D1335</f>
        <v/>
      </c>
    </row>
    <row r="1337">
      <c r="A1337" t="inlineStr">
        <is>
          <t>2025-05-09</t>
        </is>
      </c>
      <c r="B1337" t="n">
        <v>59542</v>
      </c>
      <c r="C1337" s="5">
        <f>(B1337-B1336)/B1336</f>
        <v/>
      </c>
      <c r="D1337" t="n">
        <v>1267.3</v>
      </c>
      <c r="E1337" s="5">
        <f>(D1337-D1336)/D1336</f>
        <v/>
      </c>
    </row>
    <row r="1338">
      <c r="A1338" t="inlineStr">
        <is>
          <t>2025-05-12</t>
        </is>
      </c>
      <c r="B1338" t="n">
        <v>59937</v>
      </c>
      <c r="C1338" s="5">
        <f>(B1338-B1337)/B1337</f>
        <v/>
      </c>
      <c r="D1338" t="n">
        <v>1283.26</v>
      </c>
      <c r="E1338" s="5">
        <f>(D1338-D1337)/D1337</f>
        <v/>
      </c>
    </row>
    <row r="1339">
      <c r="A1339" t="inlineStr">
        <is>
          <t>2025-05-13</t>
        </is>
      </c>
      <c r="B1339" t="n">
        <v>62598</v>
      </c>
      <c r="C1339" s="5">
        <f>(B1339-B1338)/B1338</f>
        <v/>
      </c>
      <c r="D1339" t="n">
        <v>1293.43</v>
      </c>
      <c r="E1339" s="5">
        <f>(D1339-D1338)/D1338</f>
        <v/>
      </c>
    </row>
    <row r="1340">
      <c r="A1340" t="inlineStr">
        <is>
          <t>2025-05-14</t>
        </is>
      </c>
      <c r="B1340" t="n">
        <v>63091</v>
      </c>
      <c r="C1340" s="5">
        <f>(B1340-B1339)/B1339</f>
        <v/>
      </c>
      <c r="D1340" t="n">
        <v>1309.73</v>
      </c>
      <c r="E1340" s="5">
        <f>(D1340-D1339)/D1339</f>
        <v/>
      </c>
    </row>
    <row r="1341">
      <c r="A1341" t="inlineStr">
        <is>
          <t>2025-05-15</t>
        </is>
      </c>
      <c r="B1341" t="n">
        <v>63387</v>
      </c>
      <c r="C1341" s="5">
        <f>(B1341-B1340)/B1340</f>
        <v/>
      </c>
      <c r="D1341" t="n">
        <v>1313.2</v>
      </c>
      <c r="E1341" s="5">
        <f>(D1341-D1340)/D1340</f>
        <v/>
      </c>
    </row>
    <row r="1342">
      <c r="A1342" t="inlineStr">
        <is>
          <t>2025-05-16</t>
        </is>
      </c>
      <c r="B1342" t="n">
        <v>62894</v>
      </c>
      <c r="C1342" s="5">
        <f>(B1342-B1341)/B1341</f>
        <v/>
      </c>
      <c r="D1342" t="n">
        <v>1301.39</v>
      </c>
      <c r="E1342" s="5">
        <f>(D1342-D1341)/D1341</f>
        <v/>
      </c>
    </row>
    <row r="1343">
      <c r="A1343" t="inlineStr">
        <is>
          <t>2025-05-19</t>
        </is>
      </c>
      <c r="B1343" t="n">
        <v>62795</v>
      </c>
      <c r="C1343" s="5">
        <f>(B1343-B1342)/B1342</f>
        <v/>
      </c>
      <c r="D1343" t="n">
        <v>1296.29</v>
      </c>
      <c r="E1343" s="5">
        <f>(D1343-D1342)/D1342</f>
        <v/>
      </c>
    </row>
    <row r="1344">
      <c r="A1344" t="inlineStr">
        <is>
          <t>2025-05-20</t>
        </is>
      </c>
      <c r="B1344" t="n">
        <v>63781</v>
      </c>
      <c r="C1344" s="5">
        <f>(B1344-B1343)/B1343</f>
        <v/>
      </c>
      <c r="D1344" t="n">
        <v>1315.15</v>
      </c>
      <c r="E1344" s="5">
        <f>(D1344-D1343)/D1343</f>
        <v/>
      </c>
    </row>
    <row r="1345">
      <c r="A1345" t="inlineStr">
        <is>
          <t>2025-05-21</t>
        </is>
      </c>
      <c r="B1345" t="n">
        <v>63387</v>
      </c>
      <c r="C1345" s="5">
        <f>(B1345-B1344)/B1344</f>
        <v/>
      </c>
      <c r="D1345" t="n">
        <v>1323.05</v>
      </c>
      <c r="E1345" s="5">
        <f>(D1345-D1344)/D1344</f>
        <v/>
      </c>
    </row>
    <row r="1346">
      <c r="A1346" t="inlineStr">
        <is>
          <t>2025-05-22</t>
        </is>
      </c>
      <c r="B1346" t="n">
        <v>63387</v>
      </c>
      <c r="C1346" s="5">
        <f>(B1346-B1345)/B1345</f>
        <v/>
      </c>
      <c r="D1346" t="n">
        <v>1313.84</v>
      </c>
      <c r="E1346" s="5">
        <f>(D1346-D1345)/D1345</f>
        <v/>
      </c>
    </row>
    <row r="1347">
      <c r="A1347" t="inlineStr">
        <is>
          <t>2025-05-23</t>
        </is>
      </c>
      <c r="B1347" t="n">
        <v>63288</v>
      </c>
      <c r="C1347" s="5">
        <f>(B1347-B1346)/B1346</f>
        <v/>
      </c>
      <c r="D1347" t="n">
        <v>1314.46</v>
      </c>
      <c r="E1347" s="5">
        <f>(D1347-D1346)/D1346</f>
        <v/>
      </c>
    </row>
    <row r="1348">
      <c r="A1348" t="inlineStr">
        <is>
          <t>2025-05-26</t>
        </is>
      </c>
      <c r="B1348" t="n">
        <v>63584</v>
      </c>
      <c r="C1348" s="5">
        <f>(B1348-B1347)/B1347</f>
        <v/>
      </c>
      <c r="D1348" t="n">
        <v>1332.51</v>
      </c>
      <c r="E1348" s="5">
        <f>(D1348-D1347)/D1347</f>
        <v/>
      </c>
    </row>
    <row r="1349">
      <c r="A1349" t="inlineStr">
        <is>
          <t>2025-05-27</t>
        </is>
      </c>
      <c r="B1349" t="n">
        <v>63387</v>
      </c>
      <c r="C1349" s="5">
        <f>(B1349-B1348)/B1348</f>
        <v/>
      </c>
      <c r="D1349" t="n">
        <v>1339.81</v>
      </c>
      <c r="E1349" s="5">
        <f>(D1349-D1348)/D1348</f>
        <v/>
      </c>
    </row>
    <row r="1350">
      <c r="A1350" t="inlineStr">
        <is>
          <t>2025-05-28</t>
        </is>
      </c>
      <c r="B1350" t="n">
        <v>63486</v>
      </c>
      <c r="C1350" s="5">
        <f>(B1350-B1349)/B1349</f>
        <v/>
      </c>
      <c r="D1350" t="n">
        <v>1341.87</v>
      </c>
      <c r="E1350" s="5">
        <f>(D1350-D1349)/D1349</f>
        <v/>
      </c>
    </row>
    <row r="1351">
      <c r="A1351" t="inlineStr">
        <is>
          <t>2025-05-29</t>
        </is>
      </c>
      <c r="B1351" t="n">
        <v>63387</v>
      </c>
      <c r="C1351" s="5">
        <f>(B1351-B1350)/B1350</f>
        <v/>
      </c>
      <c r="D1351" t="n">
        <v>1341.86</v>
      </c>
      <c r="E1351" s="5">
        <f>(D1351-D1350)/D1350</f>
        <v/>
      </c>
    </row>
    <row r="1352">
      <c r="A1352" t="inlineStr">
        <is>
          <t>2025-05-30</t>
        </is>
      </c>
      <c r="B1352" t="n">
        <v>61218</v>
      </c>
      <c r="C1352" s="5">
        <f>(B1352-B1351)/B1351</f>
        <v/>
      </c>
      <c r="D1352" t="n">
        <v>1332.6</v>
      </c>
      <c r="E1352" s="5">
        <f>(D1352-D1351)/D1351</f>
        <v/>
      </c>
    </row>
    <row r="1353">
      <c r="A1353" t="inlineStr">
        <is>
          <t>2025-06-02</t>
        </is>
      </c>
      <c r="B1353" t="n">
        <v>60134</v>
      </c>
      <c r="C1353" s="5">
        <f>(B1353-B1352)/B1352</f>
        <v/>
      </c>
      <c r="D1353" t="n">
        <v>1336.3</v>
      </c>
      <c r="E1353" s="5">
        <f>(D1353-D1352)/D1352</f>
        <v/>
      </c>
    </row>
    <row r="1354">
      <c r="A1354" t="inlineStr">
        <is>
          <t>2025-06-03</t>
        </is>
      </c>
      <c r="B1354" t="n">
        <v>61514</v>
      </c>
      <c r="C1354" s="5">
        <f>(B1354-B1353)/B1353</f>
        <v/>
      </c>
      <c r="D1354" t="n">
        <v>1347.25</v>
      </c>
      <c r="E1354" s="5">
        <f>(D1354-D1353)/D1353</f>
        <v/>
      </c>
    </row>
    <row r="1355">
      <c r="A1355" t="inlineStr">
        <is>
          <t>2025-06-04</t>
        </is>
      </c>
      <c r="B1355" t="n">
        <v>60430</v>
      </c>
      <c r="C1355" s="5">
        <f>(B1355-B1354)/B1354</f>
        <v/>
      </c>
      <c r="D1355" t="n">
        <v>1345.74</v>
      </c>
      <c r="E1355" s="5">
        <f>(D1355-D1354)/D1354</f>
        <v/>
      </c>
    </row>
    <row r="1356">
      <c r="A1356" t="inlineStr">
        <is>
          <t>2025-06-05</t>
        </is>
      </c>
      <c r="B1356" t="n">
        <v>60824</v>
      </c>
      <c r="C1356" s="5">
        <f>(B1356-B1355)/B1355</f>
        <v/>
      </c>
      <c r="D1356" t="n">
        <v>1342.09</v>
      </c>
      <c r="E1356" s="5">
        <f>(D1356-D1355)/D1355</f>
        <v/>
      </c>
    </row>
    <row r="1357">
      <c r="A1357" t="inlineStr">
        <is>
          <t>2025-06-06</t>
        </is>
      </c>
      <c r="B1357" t="n">
        <v>59641</v>
      </c>
      <c r="C1357" s="5">
        <f>(B1357-B1356)/B1356</f>
        <v/>
      </c>
      <c r="D1357" t="n">
        <v>1329.89</v>
      </c>
      <c r="E1357" s="5">
        <f>(D1357-D1356)/D1356</f>
        <v/>
      </c>
    </row>
    <row r="1358">
      <c r="A1358" t="inlineStr">
        <is>
          <t>2025-06-09</t>
        </is>
      </c>
      <c r="B1358" t="n">
        <v>59641</v>
      </c>
      <c r="C1358" s="5">
        <f>(B1358-B1357)/B1357</f>
        <v/>
      </c>
      <c r="D1358" t="n">
        <v>1310.57</v>
      </c>
      <c r="E1358" s="5">
        <f>(D1358-D1357)/D1357</f>
        <v/>
      </c>
    </row>
    <row r="1359">
      <c r="A1359" t="inlineStr">
        <is>
          <t>2025-06-10</t>
        </is>
      </c>
      <c r="B1359" t="n">
        <v>60627</v>
      </c>
      <c r="C1359" s="5">
        <f>(B1359-B1358)/B1358</f>
        <v/>
      </c>
      <c r="D1359" t="n">
        <v>1316.23</v>
      </c>
      <c r="E1359" s="5">
        <f>(D1359-D1358)/D1358</f>
        <v/>
      </c>
    </row>
    <row r="1360">
      <c r="A1360" t="inlineStr">
        <is>
          <t>2025-06-11</t>
        </is>
      </c>
      <c r="B1360" t="n">
        <v>61021</v>
      </c>
      <c r="C1360" s="5">
        <f>(B1360-B1359)/B1359</f>
        <v/>
      </c>
      <c r="D1360" t="n">
        <v>1315.2</v>
      </c>
      <c r="E1360" s="5">
        <f>(D1360-D1359)/D1359</f>
        <v/>
      </c>
    </row>
    <row r="1361">
      <c r="A1361" t="inlineStr">
        <is>
          <t>2025-06-12</t>
        </is>
      </c>
      <c r="B1361" t="n">
        <v>62598</v>
      </c>
      <c r="C1361" s="5">
        <f>(B1361-B1360)/B1360</f>
        <v/>
      </c>
      <c r="D1361" t="n">
        <v>1322.99</v>
      </c>
      <c r="E1361" s="5">
        <f>(D1361-D1360)/D1360</f>
        <v/>
      </c>
    </row>
    <row r="1362">
      <c r="A1362" t="inlineStr">
        <is>
          <t>2025-06-13</t>
        </is>
      </c>
      <c r="B1362" t="n">
        <v>62303</v>
      </c>
      <c r="C1362" s="5">
        <f>(B1362-B1361)/B1361</f>
        <v/>
      </c>
      <c r="D1362" t="n">
        <v>1315.49</v>
      </c>
      <c r="E1362" s="5">
        <f>(D1362-D1361)/D1361</f>
        <v/>
      </c>
    </row>
    <row r="1363">
      <c r="A1363" t="inlineStr">
        <is>
          <t>2025-06-16</t>
        </is>
      </c>
      <c r="B1363" t="n">
        <v>63387</v>
      </c>
      <c r="C1363" s="5">
        <f>(B1363-B1362)/B1362</f>
        <v/>
      </c>
      <c r="D1363" t="n">
        <v>1338.11</v>
      </c>
      <c r="E1363" s="5">
        <f>(D1363-D1362)/D1362</f>
        <v/>
      </c>
    </row>
    <row r="1364">
      <c r="A1364" t="inlineStr">
        <is>
          <t>2025-06-17</t>
        </is>
      </c>
      <c r="B1364" t="n">
        <v>63486</v>
      </c>
      <c r="C1364" s="5">
        <f>(B1364-B1363)/B1363</f>
        <v/>
      </c>
      <c r="D1364" t="n">
        <v>1347.69</v>
      </c>
      <c r="E1364" s="5">
        <f>(D1364-D1363)/D1363</f>
        <v/>
      </c>
    </row>
    <row r="1365">
      <c r="A1365" t="inlineStr">
        <is>
          <t>2025-06-18</t>
        </is>
      </c>
      <c r="B1365" t="n">
        <v>62795</v>
      </c>
      <c r="C1365" s="5">
        <f>(B1365-B1364)/B1364</f>
        <v/>
      </c>
      <c r="D1365" t="n">
        <v>1346.83</v>
      </c>
      <c r="E1365" s="5">
        <f>(D1365-D1364)/D1364</f>
        <v/>
      </c>
    </row>
    <row r="1366">
      <c r="A1366" t="inlineStr">
        <is>
          <t>2025-06-19</t>
        </is>
      </c>
      <c r="B1366" t="n">
        <v>63091</v>
      </c>
      <c r="C1366" s="5">
        <f>(B1366-B1365)/B1365</f>
        <v/>
      </c>
      <c r="D1366" t="n">
        <v>1352.04</v>
      </c>
      <c r="E1366" s="5">
        <f>(D1366-D1365)/D1365</f>
        <v/>
      </c>
    </row>
    <row r="1367">
      <c r="A1367" t="inlineStr">
        <is>
          <t>2025-06-20</t>
        </is>
      </c>
      <c r="B1367" t="n">
        <v>63190</v>
      </c>
      <c r="C1367" s="5">
        <f>(B1367-B1366)/B1366</f>
        <v/>
      </c>
      <c r="D1367" t="n">
        <v>1349.35</v>
      </c>
      <c r="E1367" s="5">
        <f>(D1367-D1366)/D1366</f>
        <v/>
      </c>
    </row>
    <row r="1368">
      <c r="A1368" t="inlineStr">
        <is>
          <t>2025-06-23</t>
        </is>
      </c>
      <c r="B1368" t="n">
        <v>64077</v>
      </c>
      <c r="C1368" s="5">
        <f>(B1368-B1367)/B1367</f>
        <v/>
      </c>
      <c r="D1368" t="n">
        <v>1358.18</v>
      </c>
      <c r="E1368" s="5">
        <f>(D1368-D1367)/D1367</f>
        <v/>
      </c>
    </row>
    <row r="1369">
      <c r="A1369" t="inlineStr">
        <is>
          <t>2025-06-24</t>
        </is>
      </c>
      <c r="B1369" t="n">
        <v>63978</v>
      </c>
      <c r="C1369" s="5">
        <f>(B1369-B1368)/B1368</f>
        <v/>
      </c>
      <c r="D1369" t="n">
        <v>1366.77</v>
      </c>
      <c r="E1369" s="5">
        <f>(D1369-D1368)/D1368</f>
        <v/>
      </c>
    </row>
    <row r="1370">
      <c r="A1370" t="inlineStr">
        <is>
          <t>2025-06-25</t>
        </is>
      </c>
      <c r="B1370" t="n">
        <v>64077</v>
      </c>
      <c r="C1370" s="5">
        <f>(B1370-B1369)/B1369</f>
        <v/>
      </c>
      <c r="D1370" t="n">
        <v>1366.75</v>
      </c>
      <c r="E1370" s="5">
        <f>(D1370-D1369)/D1369</f>
        <v/>
      </c>
    </row>
    <row r="1371">
      <c r="A1371" t="inlineStr">
        <is>
          <t>2025-06-26</t>
        </is>
      </c>
      <c r="B1371" t="n">
        <v>63584</v>
      </c>
      <c r="C1371" s="5">
        <f>(B1371-B1370)/B1370</f>
        <v/>
      </c>
      <c r="D1371" t="n">
        <v>1365.67</v>
      </c>
      <c r="E1371" s="5">
        <f>(D1371-D1370)/D1370</f>
        <v/>
      </c>
    </row>
    <row r="1372">
      <c r="A1372" t="inlineStr">
        <is>
          <t>2025-06-27</t>
        </is>
      </c>
      <c r="B1372" t="n">
        <v>64866</v>
      </c>
      <c r="C1372" s="5">
        <f>(B1372-B1371)/B1371</f>
        <v/>
      </c>
      <c r="D1372" t="n">
        <v>1371.44</v>
      </c>
      <c r="E1372" s="5">
        <f>(D1372-D1371)/D1371</f>
        <v/>
      </c>
    </row>
    <row r="1373">
      <c r="A1373" t="inlineStr">
        <is>
          <t>2025-06-30</t>
        </is>
      </c>
      <c r="B1373" t="n">
        <v>64569.99999999999</v>
      </c>
      <c r="C1373" s="5">
        <f>(B1373-B1372)/B1372</f>
        <v/>
      </c>
      <c r="D1373" t="n">
        <v>1376.07</v>
      </c>
      <c r="E1373" s="5">
        <f>(D1373-D1372)/D1372</f>
        <v/>
      </c>
    </row>
    <row r="1374">
      <c r="A1374" t="inlineStr">
        <is>
          <t>2025-07-01</t>
        </is>
      </c>
      <c r="B1374" t="n">
        <v>63584</v>
      </c>
      <c r="C1374" s="5">
        <f>(B1374-B1373)/B1373</f>
        <v/>
      </c>
      <c r="D1374" t="n">
        <v>1377.84</v>
      </c>
      <c r="E1374" s="5">
        <f>(D1374-D1373)/D1373</f>
        <v/>
      </c>
    </row>
    <row r="1375">
      <c r="A1375" t="inlineStr">
        <is>
          <t>2025-07-02</t>
        </is>
      </c>
      <c r="B1375" t="n">
        <v>63880</v>
      </c>
      <c r="C1375" s="5">
        <f>(B1375-B1374)/B1374</f>
        <v/>
      </c>
      <c r="D1375" t="n">
        <v>1384.59</v>
      </c>
      <c r="E1375" s="5">
        <f>(D1375-D1374)/D1374</f>
        <v/>
      </c>
    </row>
    <row r="1376">
      <c r="A1376" t="inlineStr">
        <is>
          <t>2025-07-03</t>
        </is>
      </c>
      <c r="B1376" t="n">
        <v>64471</v>
      </c>
      <c r="C1376" s="5">
        <f>(B1376-B1375)/B1375</f>
        <v/>
      </c>
      <c r="D1376" t="n">
        <v>1381.96</v>
      </c>
      <c r="E1376" s="5">
        <f>(D1376-D1375)/D1375</f>
        <v/>
      </c>
    </row>
    <row r="1377">
      <c r="A1377" t="inlineStr">
        <is>
          <t>2025-07-04</t>
        </is>
      </c>
      <c r="B1377" t="n">
        <v>65358.99999999999</v>
      </c>
      <c r="C1377" s="5">
        <f>(B1377-B1376)/B1376</f>
        <v/>
      </c>
      <c r="D1377" t="n">
        <v>1386.97</v>
      </c>
      <c r="E1377" s="5">
        <f>(D1377-D1376)/D1376</f>
        <v/>
      </c>
    </row>
    <row r="1378">
      <c r="A1378" t="inlineStr">
        <is>
          <t>2025-07-07</t>
        </is>
      </c>
      <c r="B1378" t="n">
        <v>65556</v>
      </c>
      <c r="C1378" s="5">
        <f>(B1378-B1377)/B1377</f>
        <v/>
      </c>
      <c r="D1378" t="n">
        <v>1402.06</v>
      </c>
      <c r="E1378" s="5">
        <f>(D1378-D1377)/D1377</f>
        <v/>
      </c>
    </row>
    <row r="1379">
      <c r="A1379" t="inlineStr">
        <is>
          <t>2025-07-08</t>
        </is>
      </c>
      <c r="B1379" t="n">
        <v>66246</v>
      </c>
      <c r="C1379" s="5">
        <f>(B1379-B1378)/B1378</f>
        <v/>
      </c>
      <c r="D1379" t="n">
        <v>1415.46</v>
      </c>
      <c r="E1379" s="5">
        <f>(D1379-D1378)/D1378</f>
        <v/>
      </c>
    </row>
    <row r="1380">
      <c r="A1380" t="inlineStr">
        <is>
          <t>2025-07-09</t>
        </is>
      </c>
      <c r="B1380" t="n">
        <v>66739</v>
      </c>
      <c r="C1380" s="5">
        <f>(B1380-B1379)/B1379</f>
        <v/>
      </c>
      <c r="D1380" t="n">
        <v>1431.32</v>
      </c>
      <c r="E1380" s="5">
        <f>(D1380-D1379)/D1379</f>
        <v/>
      </c>
    </row>
    <row r="1381">
      <c r="A1381" t="inlineStr">
        <is>
          <t>2025-07-10</t>
        </is>
      </c>
      <c r="B1381" t="n">
        <v>67034</v>
      </c>
      <c r="C1381" s="5">
        <f>(B1381-B1380)/B1380</f>
        <v/>
      </c>
      <c r="D1381" t="n">
        <v>1445.64</v>
      </c>
      <c r="E1381" s="5">
        <f>(D1381-D1380)/D1380</f>
        <v/>
      </c>
    </row>
    <row r="1382">
      <c r="A1382" t="inlineStr">
        <is>
          <t>2025-07-11</t>
        </is>
      </c>
      <c r="B1382" t="n">
        <v>66936</v>
      </c>
      <c r="C1382" s="5">
        <f>(B1382-B1381)/B1381</f>
        <v/>
      </c>
      <c r="D1382" t="n">
        <v>1457.76</v>
      </c>
      <c r="E1382" s="5">
        <f>(D1382-D1381)/D1381</f>
        <v/>
      </c>
    </row>
    <row r="1383">
      <c r="A1383" t="inlineStr">
        <is>
          <t>2025-07-14</t>
        </is>
      </c>
      <c r="B1383" t="n">
        <v>68020</v>
      </c>
      <c r="C1383" s="5">
        <f>(B1383-B1382)/B1382</f>
        <v/>
      </c>
      <c r="D1383" t="n">
        <v>1470.42</v>
      </c>
      <c r="E1383" s="5">
        <f>(D1383-D1382)/D1382</f>
        <v/>
      </c>
    </row>
    <row r="1384">
      <c r="A1384" t="inlineStr">
        <is>
          <t>2025-07-15</t>
        </is>
      </c>
      <c r="B1384" t="n">
        <v>68316</v>
      </c>
      <c r="C1384" s="5">
        <f>(B1384-B1383)/B1383</f>
        <v/>
      </c>
      <c r="D1384" t="n">
        <v>1460.65</v>
      </c>
      <c r="E1384" s="5">
        <f>(D1384-D1383)/D1383</f>
        <v/>
      </c>
    </row>
    <row r="1385">
      <c r="A1385" t="inlineStr">
        <is>
          <t>2025-07-16</t>
        </is>
      </c>
      <c r="B1385" t="n">
        <v>69006</v>
      </c>
      <c r="C1385" s="5">
        <f>(B1385-B1384)/B1384</f>
        <v/>
      </c>
      <c r="D1385" t="n">
        <v>1475.47</v>
      </c>
      <c r="E1385" s="5">
        <f>(D1385-D1384)/D1384</f>
        <v/>
      </c>
    </row>
    <row r="1386">
      <c r="A1386" t="inlineStr">
        <is>
          <t>2025-07-17</t>
        </is>
      </c>
      <c r="B1386" t="n">
        <v>69499</v>
      </c>
      <c r="C1386" s="5">
        <f>(B1386-B1385)/B1385</f>
        <v/>
      </c>
      <c r="D1386" t="n">
        <v>1490.01</v>
      </c>
      <c r="E1386" s="5">
        <f>(D1386-D1385)/D1385</f>
        <v/>
      </c>
    </row>
    <row r="1387">
      <c r="A1387" t="inlineStr">
        <is>
          <t>2025-07-18</t>
        </is>
      </c>
      <c r="B1387" t="n">
        <v>69696</v>
      </c>
      <c r="C1387" s="5">
        <f>(B1387-B1386)/B1386</f>
        <v/>
      </c>
      <c r="D1387" t="n">
        <v>1497.28</v>
      </c>
      <c r="E1387" s="5">
        <f>(D1387-D1386)/D1386</f>
        <v/>
      </c>
    </row>
    <row r="1388">
      <c r="A1388" t="inlineStr">
        <is>
          <t>2025-07-21</t>
        </is>
      </c>
      <c r="B1388" t="n">
        <v>69006</v>
      </c>
      <c r="C1388" s="5">
        <f>(B1388-B1387)/B1387</f>
        <v/>
      </c>
      <c r="D1388" t="n">
        <v>1485.05</v>
      </c>
      <c r="E1388" s="5">
        <f>(D1388-D1387)/D1387</f>
        <v/>
      </c>
    </row>
    <row r="1389">
      <c r="A1389" t="inlineStr">
        <is>
          <t>2025-07-22</t>
        </is>
      </c>
      <c r="B1389" t="n">
        <v>69400</v>
      </c>
      <c r="C1389" s="5">
        <f>(B1389-B1388)/B1388</f>
        <v/>
      </c>
      <c r="D1389" t="n">
        <v>1509.54</v>
      </c>
      <c r="E1389" s="5">
        <f>(D1389-D1388)/D1388</f>
        <v/>
      </c>
    </row>
    <row r="1390">
      <c r="A1390" t="inlineStr">
        <is>
          <t>2025-07-23</t>
        </is>
      </c>
      <c r="B1390" t="n">
        <v>69499</v>
      </c>
      <c r="C1390" s="5">
        <f>(B1390-B1389)/B1389</f>
        <v/>
      </c>
      <c r="D1390" t="n">
        <v>1512.31</v>
      </c>
      <c r="E1390" s="5">
        <f>(D1390-D1389)/D1389</f>
        <v/>
      </c>
    </row>
    <row r="1391">
      <c r="A1391" t="inlineStr">
        <is>
          <t>2025-07-24</t>
        </is>
      </c>
      <c r="B1391" t="n">
        <v>69500</v>
      </c>
      <c r="C1391" s="5">
        <f>(B1391-B1390)/B1390</f>
        <v/>
      </c>
      <c r="D1391" t="n">
        <v>1521.02</v>
      </c>
      <c r="E1391" s="5">
        <f>(D1391-D1390)/D1390</f>
        <v/>
      </c>
    </row>
    <row r="1392">
      <c r="A1392" t="inlineStr">
        <is>
          <t>2025-07-25</t>
        </is>
      </c>
      <c r="B1392" t="n">
        <v>70100</v>
      </c>
      <c r="C1392" s="5">
        <f>(B1392-B1391)/B1391</f>
        <v/>
      </c>
      <c r="D1392" t="n">
        <v>1531.13</v>
      </c>
      <c r="E1392" s="5">
        <f>(D1392-D1391)/D1391</f>
        <v/>
      </c>
    </row>
    <row r="1393">
      <c r="A1393" t="inlineStr">
        <is>
          <t>2025-07-28</t>
        </is>
      </c>
      <c r="B1393" t="n">
        <v>70200</v>
      </c>
      <c r="C1393" s="5">
        <f>(B1393-B1392)/B1392</f>
        <v/>
      </c>
      <c r="D1393" t="n">
        <v>1557.42</v>
      </c>
      <c r="E1393" s="5">
        <f>(D1393-D1392)/D1392</f>
        <v/>
      </c>
    </row>
    <row r="1394">
      <c r="A1394" t="inlineStr">
        <is>
          <t>2025-07-29</t>
        </is>
      </c>
      <c r="B1394" t="n">
        <v>66600</v>
      </c>
      <c r="C1394" s="5">
        <f>(B1394-B1393)/B1393</f>
        <v/>
      </c>
      <c r="D1394" t="n">
        <v>1493.41</v>
      </c>
      <c r="E1394" s="5">
        <f>(D1394-D1393)/D1393</f>
        <v/>
      </c>
    </row>
    <row r="1395">
      <c r="A1395" t="inlineStr">
        <is>
          <t>2025-07-30</t>
        </is>
      </c>
      <c r="B1395" t="n">
        <v>67100</v>
      </c>
      <c r="C1395" s="5">
        <f>(B1395-B1394)/B1394</f>
        <v/>
      </c>
      <c r="D1395" t="n">
        <v>1507.63</v>
      </c>
      <c r="E1395" s="5">
        <f>(D1395-D1394)/D1394</f>
        <v/>
      </c>
    </row>
    <row r="1396">
      <c r="A1396" t="inlineStr">
        <is>
          <t>2025-07-31</t>
        </is>
      </c>
      <c r="B1396" t="n">
        <v>65300</v>
      </c>
      <c r="C1396" s="5">
        <f>(B1396-B1395)/B1395</f>
        <v/>
      </c>
      <c r="D1396" t="n">
        <v>1502.52</v>
      </c>
      <c r="E1396" s="5">
        <f>(D1396-D1395)/D1395</f>
        <v/>
      </c>
    </row>
    <row r="1397">
      <c r="A1397" t="inlineStr">
        <is>
          <t>2025-08-01</t>
        </is>
      </c>
      <c r="B1397" t="n">
        <v>65200</v>
      </c>
      <c r="C1397" s="5">
        <f>(B1397-B1396)/B1396</f>
        <v/>
      </c>
      <c r="D1397" t="n">
        <v>1495.21</v>
      </c>
      <c r="E1397" s="5">
        <f>(D1397-D1396)/D1396</f>
        <v/>
      </c>
    </row>
    <row r="1398">
      <c r="A1398" t="inlineStr">
        <is>
          <t>2025-08-04</t>
        </is>
      </c>
      <c r="B1398" t="n">
        <v>67000</v>
      </c>
      <c r="C1398" s="5">
        <f>(B1398-B1397)/B1397</f>
        <v/>
      </c>
      <c r="D1398" t="n">
        <v>1528.19</v>
      </c>
      <c r="E1398" s="5">
        <f>(D1398-D1397)/D1397</f>
        <v/>
      </c>
    </row>
    <row r="1399">
      <c r="A1399" t="inlineStr">
        <is>
          <t>2025-08-05</t>
        </is>
      </c>
      <c r="B1399" t="n">
        <v>69300</v>
      </c>
      <c r="C1399" s="5">
        <f>(B1399-B1398)/B1398</f>
        <v/>
      </c>
      <c r="D1399" t="n">
        <v>1547.15</v>
      </c>
      <c r="E1399" s="5">
        <f>(D1399-D1398)/D1398</f>
        <v/>
      </c>
    </row>
    <row r="1400">
      <c r="A1400" t="inlineStr">
        <is>
          <t>2025-08-06</t>
        </is>
      </c>
      <c r="B1400" t="n">
        <v>72400</v>
      </c>
      <c r="C1400" s="5">
        <f>(B1400-B1399)/B1399</f>
        <v/>
      </c>
      <c r="D1400" t="n">
        <v>1573.71</v>
      </c>
      <c r="E1400" s="5">
        <f>(D1400-D1399)/D1399</f>
        <v/>
      </c>
    </row>
    <row r="1401">
      <c r="A1401" t="inlineStr">
        <is>
          <t>2025-08-07</t>
        </is>
      </c>
      <c r="B1401" t="n">
        <v>72400</v>
      </c>
      <c r="C1401" s="5">
        <f>(B1401-B1400)/B1400</f>
        <v/>
      </c>
      <c r="D1401" t="n">
        <v>1581.81</v>
      </c>
      <c r="E1401" s="5">
        <f>(D1401-D1400)/D1400</f>
        <v/>
      </c>
    </row>
    <row r="1402">
      <c r="A1402" t="inlineStr">
        <is>
          <t>2025-08-08</t>
        </is>
      </c>
      <c r="B1402" t="n">
        <v>72000</v>
      </c>
      <c r="C1402" s="5">
        <f>(B1402-B1401)/B1401</f>
        <v/>
      </c>
      <c r="D1402" t="n">
        <v>1584.95</v>
      </c>
      <c r="E1402" s="5">
        <f>(D1402-D1401)/D1401</f>
        <v/>
      </c>
    </row>
    <row r="1403">
      <c r="A1403" t="inlineStr">
        <is>
          <t>2025-08-11</t>
        </is>
      </c>
      <c r="B1403" t="n">
        <v>72100</v>
      </c>
      <c r="C1403" s="5">
        <f>(B1403-B1402)/B1402</f>
        <v/>
      </c>
      <c r="D1403" t="n">
        <v>1596.86</v>
      </c>
      <c r="E1403" s="5">
        <f>(D1403-D1402)/D1402</f>
        <v/>
      </c>
    </row>
    <row r="1404">
      <c r="A1404" t="inlineStr">
        <is>
          <t>2025-08-12</t>
        </is>
      </c>
      <c r="B1404" t="n">
        <v>72200</v>
      </c>
      <c r="C1404" s="5">
        <f>(B1404-B1403)/B1403</f>
        <v/>
      </c>
      <c r="D1404" t="n">
        <v>1608.22</v>
      </c>
      <c r="E1404" s="5">
        <f>(D1404-D1403)/D1403</f>
        <v/>
      </c>
    </row>
    <row r="1405">
      <c r="A1405" t="inlineStr">
        <is>
          <t>2025-08-13</t>
        </is>
      </c>
      <c r="B1405" t="n">
        <v>70900</v>
      </c>
      <c r="C1405" s="5">
        <f>(B1405-B1404)/B1404</f>
        <v/>
      </c>
      <c r="D1405" t="n">
        <v>1611.6</v>
      </c>
      <c r="E1405" s="5">
        <f>(D1405-D1404)/D1404</f>
        <v/>
      </c>
    </row>
    <row r="1406">
      <c r="A1406" t="inlineStr">
        <is>
          <t>2025-08-14</t>
        </is>
      </c>
      <c r="B1406" t="n">
        <v>71900</v>
      </c>
      <c r="C1406" s="5">
        <f>(B1406-B1405)/B1405</f>
        <v/>
      </c>
      <c r="D1406" t="n">
        <v>1640.69</v>
      </c>
      <c r="E1406" s="5">
        <f>(D1406-D1405)/D1405</f>
        <v/>
      </c>
    </row>
    <row r="1407">
      <c r="A1407" t="inlineStr">
        <is>
          <t>2025-08-15</t>
        </is>
      </c>
      <c r="B1407" t="n">
        <v>70500</v>
      </c>
      <c r="C1407" s="5">
        <f>(B1407-B1406)/B1406</f>
        <v/>
      </c>
      <c r="D1407" t="n">
        <v>1630</v>
      </c>
      <c r="E1407" s="5">
        <f>(D1407-D1406)/D1406</f>
        <v/>
      </c>
    </row>
    <row r="1408">
      <c r="A1408" t="inlineStr">
        <is>
          <t>2025-08-18</t>
        </is>
      </c>
      <c r="B1408" t="n">
        <v>70000</v>
      </c>
      <c r="C1408" s="5">
        <f>(B1408-B1407)/B1407</f>
        <v/>
      </c>
      <c r="D1408" t="n">
        <v>1636.37</v>
      </c>
      <c r="E1408" s="5">
        <f>(D1408-D1407)/D1407</f>
        <v/>
      </c>
    </row>
    <row r="1409">
      <c r="A1409" t="inlineStr">
        <is>
          <t>2025-08-19</t>
        </is>
      </c>
      <c r="B1409" t="n">
        <v>68000</v>
      </c>
      <c r="C1409" s="5">
        <f>(B1409-B1408)/B1408</f>
        <v/>
      </c>
      <c r="D1409" t="n">
        <v>1654.2</v>
      </c>
      <c r="E1409" s="5">
        <f>(D1409-D1408)/D1408</f>
        <v/>
      </c>
    </row>
    <row r="1410">
      <c r="A1410" t="inlineStr">
        <is>
          <t>2025-08-20</t>
        </is>
      </c>
      <c r="B1410" t="n">
        <v>69400</v>
      </c>
      <c r="C1410" s="5">
        <f>(B1410-B1409)/B1409</f>
        <v/>
      </c>
      <c r="D1410" t="n">
        <v>1664.36</v>
      </c>
      <c r="E1410" s="5">
        <f>(D1410-D1409)/D1409</f>
        <v/>
      </c>
    </row>
    <row r="1411">
      <c r="A1411" t="inlineStr">
        <is>
          <t>2025-08-21</t>
        </is>
      </c>
      <c r="B1411" t="n">
        <v>71000</v>
      </c>
      <c r="C1411" s="5">
        <f>(B1411-B1410)/B1410</f>
        <v/>
      </c>
      <c r="D1411" t="n">
        <v>1688</v>
      </c>
      <c r="E1411" s="5">
        <f>(D1411-D1410)/D1410</f>
        <v/>
      </c>
    </row>
    <row r="1412">
      <c r="A1412" t="inlineStr">
        <is>
          <t>2025-08-22</t>
        </is>
      </c>
      <c r="B1412" t="n">
        <v>70300</v>
      </c>
      <c r="C1412" s="5">
        <f>(B1412-B1411)/B1411</f>
        <v/>
      </c>
      <c r="D1412" t="n">
        <v>1645.47</v>
      </c>
      <c r="E1412" s="5">
        <f>(D1412-D1411)/D1411</f>
        <v/>
      </c>
    </row>
    <row r="1413">
      <c r="A1413" t="inlineStr">
        <is>
          <t>2025-08-25</t>
        </is>
      </c>
      <c r="B1413" t="n">
        <v>68800</v>
      </c>
      <c r="C1413" s="5">
        <f>(B1413-B1412)/B1412</f>
        <v/>
      </c>
      <c r="D1413" t="n">
        <v>1614.03</v>
      </c>
      <c r="E1413" s="5">
        <f>(D1413-D1412)/D1412</f>
        <v/>
      </c>
    </row>
    <row r="1414">
      <c r="A1414" t="inlineStr">
        <is>
          <t>2025-08-26</t>
        </is>
      </c>
      <c r="B1414" t="n">
        <v>73600</v>
      </c>
      <c r="C1414" s="5">
        <f>(B1414-B1413)/B1413</f>
        <v/>
      </c>
      <c r="D1414" t="n">
        <v>1667.63</v>
      </c>
      <c r="E1414" s="5">
        <f>(D1414-D1413)/D1413</f>
        <v/>
      </c>
    </row>
    <row r="1415">
      <c r="A1415" t="inlineStr">
        <is>
          <t>2025-08-27</t>
        </is>
      </c>
      <c r="B1415" t="n">
        <v>75000</v>
      </c>
      <c r="C1415" s="5">
        <f>(B1415-B1414)/B1414</f>
        <v/>
      </c>
      <c r="D1415" t="n">
        <v>1672.78</v>
      </c>
      <c r="E1415" s="5">
        <f>(D1415-D1414)/D1414</f>
        <v/>
      </c>
    </row>
    <row r="1416">
      <c r="A1416" t="inlineStr">
        <is>
          <t>2025-08-28</t>
        </is>
      </c>
      <c r="B1416" t="n">
        <v>77300</v>
      </c>
      <c r="C1416" s="5">
        <f>(B1416-B1415)/B1415</f>
        <v/>
      </c>
      <c r="D1416" t="n">
        <v>1680.86</v>
      </c>
      <c r="E1416" s="5">
        <f>(D1416-D1415)/D1415</f>
        <v/>
      </c>
    </row>
    <row r="1417">
      <c r="A1417" t="inlineStr">
        <is>
          <t>2025-08-29</t>
        </is>
      </c>
      <c r="B1417" t="n">
        <v>78000</v>
      </c>
      <c r="C1417" s="5">
        <f>(B1417-B1416)/B1416</f>
        <v/>
      </c>
      <c r="D1417" t="n">
        <v>1682.21</v>
      </c>
      <c r="E1417" s="5">
        <f>(D1417-D1416)/D1416</f>
        <v/>
      </c>
    </row>
    <row r="1418">
      <c r="A1418" t="inlineStr">
        <is>
          <t>2025-09-03</t>
        </is>
      </c>
      <c r="B1418" t="n">
        <v>75800</v>
      </c>
      <c r="C1418" s="5">
        <f>(B1418-B1417)/B1417</f>
        <v/>
      </c>
      <c r="D1418" t="n">
        <v>1681.3</v>
      </c>
      <c r="E1418" s="5">
        <f>(D1418-D1417)/D1417</f>
        <v/>
      </c>
    </row>
    <row r="1419">
      <c r="A1419" t="inlineStr">
        <is>
          <t>2025-09-04</t>
        </is>
      </c>
      <c r="B1419" t="n">
        <v>77500</v>
      </c>
      <c r="C1419" s="5">
        <f>(B1419-B1418)/B1418</f>
        <v/>
      </c>
      <c r="D1419" t="n">
        <v>1696.29</v>
      </c>
      <c r="E1419" s="5">
        <f>(D1419-D1418)/D1418</f>
        <v/>
      </c>
    </row>
    <row r="1420">
      <c r="A1420" t="inlineStr">
        <is>
          <t>2025-09-05</t>
        </is>
      </c>
      <c r="B1420" t="n">
        <v>75000</v>
      </c>
      <c r="C1420" s="5">
        <f>(B1420-B1419)/B1419</f>
        <v/>
      </c>
      <c r="D1420" t="n">
        <v>1666.97</v>
      </c>
      <c r="E1420" s="5">
        <f>(D1420-D1419)/D1419</f>
        <v/>
      </c>
    </row>
    <row r="1421">
      <c r="A1421" t="inlineStr">
        <is>
          <t>2025-09-08</t>
        </is>
      </c>
      <c r="B1421" t="n">
        <v>74000</v>
      </c>
      <c r="C1421" s="5">
        <f>(B1421-B1420)/B1420</f>
        <v/>
      </c>
      <c r="D1421" t="n">
        <v>1624.53</v>
      </c>
      <c r="E1421" s="5">
        <f>(D1421-D1420)/D1420</f>
        <v/>
      </c>
    </row>
    <row r="1422">
      <c r="A1422" t="inlineStr">
        <is>
          <t>2025-09-09</t>
        </is>
      </c>
      <c r="B1422" t="n">
        <v>76000</v>
      </c>
      <c r="C1422" s="5">
        <f>(B1422-B1421)/B1421</f>
        <v/>
      </c>
      <c r="D1422" t="n">
        <v>1637.32</v>
      </c>
      <c r="E1422" s="5">
        <f>(D1422-D1421)/D1421</f>
        <v/>
      </c>
    </row>
    <row r="1423">
      <c r="A1423" t="inlineStr">
        <is>
          <t>2025-09-10</t>
        </is>
      </c>
      <c r="B1423" t="n">
        <v>75500</v>
      </c>
      <c r="C1423" s="5">
        <f>(B1423-B1422)/B1422</f>
        <v/>
      </c>
      <c r="D1423" t="n">
        <v>1643.26</v>
      </c>
      <c r="E1423" s="5">
        <f>(D1423-D1422)/D1422</f>
        <v/>
      </c>
    </row>
    <row r="1424">
      <c r="A1424" t="inlineStr">
        <is>
          <t>2025-09-11</t>
        </is>
      </c>
      <c r="B1424" t="n">
        <v>78800</v>
      </c>
      <c r="C1424" s="5">
        <f>(B1424-B1423)/B1423</f>
        <v/>
      </c>
      <c r="D1424" t="n">
        <v>1657.75</v>
      </c>
      <c r="E1424" s="5">
        <f>(D1424-D1423)/D1423</f>
        <v/>
      </c>
    </row>
    <row r="1425">
      <c r="A1425" t="inlineStr">
        <is>
          <t>2025-09-12</t>
        </is>
      </c>
      <c r="B1425" t="n">
        <v>79000</v>
      </c>
      <c r="C1425" s="5">
        <f>(B1425-B1424)/B1424</f>
        <v/>
      </c>
      <c r="D1425" t="n">
        <v>1667.26</v>
      </c>
      <c r="E1425" s="5">
        <f>(D1425-D1424)/D1424</f>
        <v/>
      </c>
    </row>
    <row r="1426">
      <c r="A1426" t="inlineStr">
        <is>
          <t>2025-09-15</t>
        </is>
      </c>
      <c r="B1426" t="n">
        <v>79500</v>
      </c>
      <c r="C1426" s="5">
        <f>(B1426-B1425)/B1425</f>
        <v/>
      </c>
      <c r="D1426" t="n">
        <v>1684.9</v>
      </c>
      <c r="E1426" s="5">
        <f>(D1426-D1425)/D1425</f>
        <v/>
      </c>
    </row>
    <row r="1427">
      <c r="A1427" t="inlineStr">
        <is>
          <t>2025-09-16</t>
        </is>
      </c>
      <c r="B1427" t="n">
        <v>80300</v>
      </c>
      <c r="C1427" s="5">
        <f>(B1427-B1426)/B1426</f>
        <v/>
      </c>
      <c r="D1427" t="n">
        <v>1680.9</v>
      </c>
      <c r="E1427" s="5">
        <f>(D1427-D1426)/D1426</f>
        <v/>
      </c>
    </row>
    <row r="1428">
      <c r="A1428" t="inlineStr">
        <is>
          <t>2025-09-17</t>
        </is>
      </c>
      <c r="B1428" t="n">
        <v>78000</v>
      </c>
      <c r="C1428" s="5">
        <f>(B1428-B1427)/B1427</f>
        <v/>
      </c>
      <c r="D1428" t="n">
        <v>1670.97</v>
      </c>
      <c r="E1428" s="5">
        <f>(D1428-D1427)/D1427</f>
        <v/>
      </c>
    </row>
    <row r="1429">
      <c r="A1429" t="inlineStr">
        <is>
          <t>2025-09-18</t>
        </is>
      </c>
      <c r="B1429" t="n">
        <v>78500</v>
      </c>
      <c r="C1429" s="5">
        <f>(B1429-B1428)/B1428</f>
        <v/>
      </c>
      <c r="D1429" t="n">
        <v>1665.18</v>
      </c>
      <c r="E1429" s="5">
        <f>(D1429-D1428)/D1428</f>
        <v/>
      </c>
    </row>
    <row r="1430">
      <c r="A1430" t="inlineStr">
        <is>
          <t>2025-09-19</t>
        </is>
      </c>
      <c r="B1430" t="n">
        <v>78600</v>
      </c>
      <c r="C1430" s="5">
        <f>(B1430-B1429)/B1429</f>
        <v/>
      </c>
      <c r="D1430" t="n">
        <v>1658.62</v>
      </c>
      <c r="E1430" s="5">
        <f>(D1430-D1429)/D1429</f>
        <v/>
      </c>
    </row>
    <row r="1431">
      <c r="A1431" t="inlineStr">
        <is>
          <t>2025-09-22</t>
        </is>
      </c>
      <c r="B1431" t="n">
        <v>76500</v>
      </c>
      <c r="C1431" s="5">
        <f>(B1431-B1430)/B1430</f>
        <v/>
      </c>
      <c r="D1431" t="n">
        <v>1634.45</v>
      </c>
      <c r="E1431" s="5">
        <f>(D1431-D1430)/D1430</f>
        <v/>
      </c>
    </row>
    <row r="1432">
      <c r="A1432" t="inlineStr">
        <is>
          <t>2025-09-23</t>
        </is>
      </c>
      <c r="B1432" t="n">
        <v>77800</v>
      </c>
      <c r="C1432" s="5">
        <f>(B1432-B1431)/B1431</f>
        <v/>
      </c>
      <c r="D1432" t="n">
        <v>1635.26</v>
      </c>
      <c r="E1432" s="5">
        <f>(D1432-D1431)/D1431</f>
        <v/>
      </c>
    </row>
    <row r="1433">
      <c r="A1433" t="inlineStr">
        <is>
          <t>2025-09-24</t>
        </is>
      </c>
      <c r="B1433" t="n">
        <v>79200</v>
      </c>
      <c r="C1433" s="5">
        <f>(B1433-B1432)/B1432</f>
        <v/>
      </c>
      <c r="D1433" t="n">
        <v>1657.46</v>
      </c>
      <c r="E1433" s="5">
        <f>(D1433-D1432)/D1432</f>
        <v/>
      </c>
    </row>
    <row r="1434">
      <c r="A1434" t="inlineStr">
        <is>
          <t>2025-09-25</t>
        </is>
      </c>
      <c r="B1434" t="n">
        <v>79000</v>
      </c>
      <c r="C1434" s="5">
        <f>(B1434-B1433)/B1433</f>
        <v/>
      </c>
      <c r="D1434" t="n">
        <v>1666.09</v>
      </c>
      <c r="E1434" s="5">
        <f>(D1434-D1433)/D1433</f>
        <v/>
      </c>
    </row>
    <row r="1435">
      <c r="A1435" t="inlineStr">
        <is>
          <t>2025-09-26</t>
        </is>
      </c>
      <c r="B1435" t="n">
        <v>77900</v>
      </c>
      <c r="C1435" s="5">
        <f>(B1435-B1434)/B1434</f>
        <v/>
      </c>
      <c r="D1435" t="n">
        <v>1660.7</v>
      </c>
      <c r="E1435" s="5">
        <f>(D1435-D1434)/D1434</f>
        <v/>
      </c>
    </row>
    <row r="1436">
      <c r="A1436" t="inlineStr">
        <is>
          <t>2025-09-29</t>
        </is>
      </c>
      <c r="B1436" t="n">
        <v>77000</v>
      </c>
      <c r="C1436" s="5">
        <f>(B1436-B1435)/B1435</f>
        <v/>
      </c>
      <c r="D1436" t="n">
        <v>1666.48</v>
      </c>
      <c r="E1436" s="5">
        <f>(D1436-D1435)/D1435</f>
        <v/>
      </c>
    </row>
    <row r="1437">
      <c r="A1437" t="inlineStr">
        <is>
          <t>2025-09-30</t>
        </is>
      </c>
      <c r="B1437" t="n">
        <v>77700</v>
      </c>
      <c r="C1437" s="5">
        <f>(B1437-B1436)/B1436</f>
        <v/>
      </c>
      <c r="D1437" t="n">
        <v>1661.7</v>
      </c>
      <c r="E1437" s="5">
        <f>(D1437-D1436)/D1436</f>
        <v/>
      </c>
    </row>
    <row r="1438">
      <c r="A1438" t="inlineStr">
        <is>
          <t>2025-10-01</t>
        </is>
      </c>
      <c r="B1438" t="n">
        <v>77700</v>
      </c>
      <c r="C1438" s="5">
        <f>(B1438-B1437)/B1437</f>
        <v/>
      </c>
      <c r="D1438" t="n">
        <v>1665.05</v>
      </c>
      <c r="E1438" s="5">
        <f>(D1438-D1437)/D1437</f>
        <v/>
      </c>
    </row>
    <row r="1439">
      <c r="A1439" t="inlineStr">
        <is>
          <t>2025-10-02</t>
        </is>
      </c>
      <c r="B1439" t="n">
        <v>77100</v>
      </c>
      <c r="C1439" s="5">
        <f>(B1439-B1438)/B1438</f>
        <v/>
      </c>
      <c r="D1439" t="n">
        <v>1652.71</v>
      </c>
      <c r="E1439" s="5">
        <f>(D1439-D1438)/D1438</f>
        <v/>
      </c>
    </row>
    <row r="1440">
      <c r="A1440" t="inlineStr">
        <is>
          <t>2025-10-03</t>
        </is>
      </c>
      <c r="B1440" t="n">
        <v>77000</v>
      </c>
      <c r="C1440" s="5">
        <f>(B1440-B1439)/B1439</f>
        <v/>
      </c>
      <c r="D1440" t="n">
        <v>1645.82</v>
      </c>
      <c r="E1440" s="5">
        <f>(D1440-D1439)/D1439</f>
        <v/>
      </c>
    </row>
    <row r="1441">
      <c r="A1441" t="inlineStr">
        <is>
          <t>2025-10-06</t>
        </is>
      </c>
      <c r="B1441" t="n">
        <v>77600</v>
      </c>
      <c r="C1441" s="5">
        <f>(B1441-B1440)/B1440</f>
        <v/>
      </c>
      <c r="D1441" t="n">
        <v>1695.5</v>
      </c>
      <c r="E1441" s="5">
        <f>(D1441-D1440)/D1440</f>
        <v/>
      </c>
    </row>
    <row r="1442">
      <c r="A1442" t="inlineStr">
        <is>
          <t>2025-10-07</t>
        </is>
      </c>
      <c r="B1442" t="n">
        <v>78000</v>
      </c>
      <c r="C1442" s="5">
        <f>(B1442-B1441)/B1441</f>
        <v/>
      </c>
      <c r="D1442" t="n">
        <v>1685.3</v>
      </c>
      <c r="E1442" s="5">
        <f>(D1442-D1441)/D1441</f>
        <v/>
      </c>
    </row>
    <row r="1443">
      <c r="A1443" t="inlineStr">
        <is>
          <t>2025-10-08</t>
        </is>
      </c>
      <c r="B1443" t="n">
        <v>80800</v>
      </c>
      <c r="C1443" s="5">
        <f>(B1443-B1442)/B1442</f>
        <v/>
      </c>
      <c r="D1443" t="n">
        <v>1697.83</v>
      </c>
      <c r="E1443" s="5">
        <f>(D1443-D1442)/D1442</f>
        <v/>
      </c>
    </row>
    <row r="1444">
      <c r="A1444" t="inlineStr">
        <is>
          <t>2025-10-09</t>
        </is>
      </c>
      <c r="B1444" t="n">
        <v>81500</v>
      </c>
      <c r="C1444" s="5">
        <f>(B1444-B1443)/B1443</f>
        <v/>
      </c>
      <c r="D1444" t="n">
        <v>1716.47</v>
      </c>
      <c r="E1444" s="5">
        <f>(D1444-D1443)/D1443</f>
        <v/>
      </c>
    </row>
    <row r="1445">
      <c r="A1445" t="inlineStr">
        <is>
          <t>2025-10-10</t>
        </is>
      </c>
      <c r="B1445" t="n">
        <v>82000</v>
      </c>
      <c r="C1445" s="5">
        <f>(B1445-B1444)/B1444</f>
        <v/>
      </c>
      <c r="D1445" t="n">
        <v>1747.55</v>
      </c>
      <c r="E1445" s="5">
        <f>(D1445-D1444)/D1444</f>
        <v/>
      </c>
    </row>
    <row r="1446">
      <c r="A1446" t="inlineStr">
        <is>
          <t>2025-10-13</t>
        </is>
      </c>
      <c r="B1446" t="n">
        <v>83000</v>
      </c>
      <c r="C1446" s="5">
        <f>(B1446-B1445)/B1445</f>
        <v/>
      </c>
      <c r="D1446" t="n">
        <v>1765.12</v>
      </c>
      <c r="E1446" s="5">
        <f>(D1446-D1445)/D1445</f>
        <v/>
      </c>
    </row>
    <row r="1447">
      <c r="A1447" t="inlineStr">
        <is>
          <t>2025-10-14</t>
        </is>
      </c>
      <c r="B1447" t="n">
        <v>84200</v>
      </c>
      <c r="C1447" s="5">
        <f>(B1447-B1446)/B1446</f>
        <v/>
      </c>
      <c r="D1447" t="n">
        <v>1761.06</v>
      </c>
      <c r="E1447" s="5">
        <f>(D1447-D1446)/D1446</f>
        <v/>
      </c>
    </row>
    <row r="1448">
      <c r="A1448" t="inlineStr">
        <is>
          <t>2025-10-15</t>
        </is>
      </c>
      <c r="B1448" t="n">
        <v>83300</v>
      </c>
      <c r="C1448" s="5">
        <f>(B1448-B1447)/B1447</f>
        <v/>
      </c>
      <c r="D1448" t="n">
        <v>1757.95</v>
      </c>
      <c r="E1448" s="5">
        <f>(D1448-D1447)/D1447</f>
        <v/>
      </c>
    </row>
    <row r="1449">
      <c r="A1449" t="inlineStr">
        <is>
          <t>2025-10-16</t>
        </is>
      </c>
      <c r="B1449" t="n">
        <v>84500</v>
      </c>
      <c r="C1449" s="5">
        <f>(B1449-B1448)/B1448</f>
        <v/>
      </c>
      <c r="D1449" t="n">
        <v>1766.85</v>
      </c>
      <c r="E1449" s="5">
        <f>(D1449-D1448)/D1448</f>
        <v/>
      </c>
    </row>
    <row r="1450">
      <c r="A1450" t="inlineStr">
        <is>
          <t>2025-10-17</t>
        </is>
      </c>
      <c r="B1450" t="n">
        <v>84500</v>
      </c>
      <c r="C1450" s="5">
        <f>(B1450-B1449)/B1449</f>
        <v/>
      </c>
      <c r="D1450" t="n">
        <v>1731.19</v>
      </c>
      <c r="E1450" s="5">
        <f>(D1450-D1449)/D1449</f>
        <v/>
      </c>
    </row>
    <row r="1451">
      <c r="A1451" t="inlineStr">
        <is>
          <t>2025-10-20</t>
        </is>
      </c>
      <c r="B1451" t="n">
        <v>80900</v>
      </c>
      <c r="C1451" s="5">
        <f>(B1451-B1450)/B1450</f>
        <v/>
      </c>
      <c r="D1451" t="n">
        <v>1636.43</v>
      </c>
      <c r="E1451" s="5">
        <f>(D1451-D1450)/D1450</f>
        <v/>
      </c>
    </row>
    <row r="1452">
      <c r="A1452" t="inlineStr">
        <is>
          <t>2025-10-21</t>
        </is>
      </c>
      <c r="B1452" t="n">
        <v>83000</v>
      </c>
      <c r="C1452" s="5">
        <f>(B1452-B1451)/B1451</f>
        <v/>
      </c>
      <c r="D1452" t="n">
        <v>1663.43</v>
      </c>
      <c r="E1452" s="5">
        <f>(D1452-D1451)/D1451</f>
        <v/>
      </c>
    </row>
    <row r="1453">
      <c r="A1453" t="inlineStr">
        <is>
          <t>2025-10-22</t>
        </is>
      </c>
      <c r="B1453" t="n">
        <v>84500</v>
      </c>
      <c r="C1453" s="5">
        <f>(B1453-B1452)/B1452</f>
        <v/>
      </c>
      <c r="D1453" t="n">
        <v>1678.5</v>
      </c>
      <c r="E1453" s="5">
        <f>(D1453-D1452)/D1452</f>
        <v/>
      </c>
    </row>
    <row r="1454">
      <c r="A1454" t="inlineStr">
        <is>
          <t>2025-10-23</t>
        </is>
      </c>
      <c r="B1454" t="n">
        <v>85700</v>
      </c>
      <c r="C1454" s="5">
        <f>(B1454-B1453)/B1453</f>
        <v/>
      </c>
      <c r="D1454" t="n">
        <v>1687.06</v>
      </c>
      <c r="E1454" s="5">
        <f>(D1454-D1453)/D1453</f>
        <v/>
      </c>
    </row>
    <row r="1455">
      <c r="A1455" t="inlineStr">
        <is>
          <t>2025-10-24</t>
        </is>
      </c>
      <c r="B1455" t="n">
        <v>85700</v>
      </c>
      <c r="C1455" s="5">
        <f>(B1455-B1454)/B1454</f>
        <v/>
      </c>
      <c r="D1455" t="n">
        <v>1683.18</v>
      </c>
      <c r="E1455" s="5">
        <f>(D1455-D1454)/D1454</f>
        <v/>
      </c>
    </row>
    <row r="1456">
      <c r="A1456" t="inlineStr">
        <is>
          <t>2025-10-27</t>
        </is>
      </c>
      <c r="B1456" t="n">
        <v>81000</v>
      </c>
      <c r="C1456" s="5">
        <f>(B1456-B1455)/B1455</f>
        <v/>
      </c>
      <c r="D1456" t="n">
        <v>1652.54</v>
      </c>
      <c r="E1456" s="5">
        <f>(D1456-D1455)/D1455</f>
        <v/>
      </c>
    </row>
    <row r="1457">
      <c r="A1457" t="inlineStr">
        <is>
          <t>2025-10-28</t>
        </is>
      </c>
      <c r="B1457" t="n">
        <v>84200</v>
      </c>
      <c r="C1457" s="5">
        <f>(B1457-B1456)/B1456</f>
        <v/>
      </c>
      <c r="D1457" t="n">
        <v>1680.5</v>
      </c>
      <c r="E1457" s="5">
        <f>(D1457-D1456)/D1456</f>
        <v/>
      </c>
    </row>
    <row r="1458">
      <c r="A1458" t="inlineStr">
        <is>
          <t>2025-10-29</t>
        </is>
      </c>
      <c r="B1458" t="n">
        <v>84100</v>
      </c>
      <c r="C1458" s="5">
        <f>(B1458-B1457)/B1457</f>
        <v/>
      </c>
      <c r="D1458" t="n">
        <v>1685.83</v>
      </c>
      <c r="E1458" s="5">
        <f>(D1458-D1457)/D1457</f>
        <v/>
      </c>
    </row>
    <row r="1459">
      <c r="A1459" t="inlineStr">
        <is>
          <t>2025-10-30</t>
        </is>
      </c>
      <c r="B1459" t="n">
        <v>83900</v>
      </c>
      <c r="C1459" s="5">
        <f>(B1459-B1458)/B1458</f>
        <v/>
      </c>
      <c r="D1459" t="n">
        <v>1669.57</v>
      </c>
      <c r="E1459" s="5">
        <f>(D1459-D1458)/D1458</f>
        <v/>
      </c>
    </row>
    <row r="1460">
      <c r="A1460" t="inlineStr">
        <is>
          <t>2025-10-31</t>
        </is>
      </c>
      <c r="B1460" t="n">
        <v>82600</v>
      </c>
      <c r="C1460" s="5">
        <f>(B1460-B1459)/B1459</f>
        <v/>
      </c>
      <c r="D1460" t="n">
        <v>1639.65</v>
      </c>
      <c r="E1460" s="5">
        <f>(D1460-D1459)/D1459</f>
        <v/>
      </c>
    </row>
    <row r="1461">
      <c r="A1461" t="inlineStr">
        <is>
          <t>2025-11-03</t>
        </is>
      </c>
      <c r="B1461" t="n">
        <v>81000</v>
      </c>
      <c r="C1461" s="5">
        <f>(B1461-B1460)/B1460</f>
        <v/>
      </c>
      <c r="D1461" t="n">
        <v>1617</v>
      </c>
      <c r="E1461" s="5">
        <f>(D1461-D1460)/D1460</f>
        <v/>
      </c>
    </row>
    <row r="1462">
      <c r="A1462" t="inlineStr">
        <is>
          <t>2025-11-04</t>
        </is>
      </c>
      <c r="B1462" t="n">
        <v>81800</v>
      </c>
      <c r="C1462" s="5">
        <f>(B1462-B1461)/B1461</f>
        <v/>
      </c>
      <c r="D1462" t="n">
        <v>1651.98</v>
      </c>
      <c r="E1462" s="5">
        <f>(D1462-D1461)/D1461</f>
        <v/>
      </c>
    </row>
    <row r="1463">
      <c r="A1463" t="inlineStr">
        <is>
          <t>2025-11-05</t>
        </is>
      </c>
      <c r="B1463" t="n">
        <v>80200</v>
      </c>
      <c r="C1463" s="5">
        <f>(B1463-B1462)/B1462</f>
        <v/>
      </c>
      <c r="D1463" t="n">
        <v>1654.89</v>
      </c>
      <c r="E1463" s="5">
        <f>(D1463-D1462)/D1462</f>
        <v/>
      </c>
    </row>
    <row r="1464">
      <c r="A1464" t="inlineStr">
        <is>
          <t>2025-11-06</t>
        </is>
      </c>
      <c r="B1464" t="n">
        <v>80300</v>
      </c>
      <c r="C1464" s="5">
        <f>(B1464-B1463)/B1463</f>
        <v/>
      </c>
      <c r="D1464" t="n">
        <v>1642.64</v>
      </c>
      <c r="E1464" s="5">
        <f>(D1464-D1463)/D1463</f>
        <v/>
      </c>
    </row>
    <row r="1465">
      <c r="A1465" t="inlineStr">
        <is>
          <t>2025-11-07</t>
        </is>
      </c>
      <c r="B1465" t="n">
        <v>76500</v>
      </c>
      <c r="C1465" s="5">
        <f>(B1465-B1464)/B1464</f>
        <v/>
      </c>
      <c r="D1465" t="n">
        <v>1599.1</v>
      </c>
      <c r="E1465" s="5">
        <f>(D1465-D1464)/D1464</f>
        <v/>
      </c>
    </row>
    <row r="1466">
      <c r="A1466" t="inlineStr">
        <is>
          <t>2025-11-10</t>
        </is>
      </c>
      <c r="B1466" t="n">
        <v>76800</v>
      </c>
      <c r="C1466" s="5">
        <f>(B1466-B1465)/B1465</f>
        <v/>
      </c>
      <c r="D1466" t="n">
        <v>1580.54</v>
      </c>
      <c r="E1466" s="5">
        <f>(D1466-D1465)/D1465</f>
        <v/>
      </c>
    </row>
    <row r="1467">
      <c r="A1467" t="inlineStr">
        <is>
          <t>2025-11-11</t>
        </is>
      </c>
      <c r="B1467" t="n">
        <v>78000</v>
      </c>
      <c r="C1467" s="5">
        <f>(B1467-B1466)/B1466</f>
        <v/>
      </c>
      <c r="D1467" t="n">
        <v>1593.61</v>
      </c>
      <c r="E1467" s="5">
        <f>(D1467-D1466)/D1466</f>
        <v/>
      </c>
    </row>
    <row r="1468">
      <c r="A1468" t="inlineStr">
        <is>
          <t>2025-11-12</t>
        </is>
      </c>
      <c r="B1468" t="n">
        <v>80500</v>
      </c>
      <c r="C1468" s="5">
        <f>(B1468-B1467)/B1467</f>
        <v/>
      </c>
      <c r="D1468" t="n">
        <v>1631.86</v>
      </c>
      <c r="E1468" s="5">
        <f>(D1468-D1467)/D1467</f>
        <v/>
      </c>
    </row>
    <row r="1469">
      <c r="A1469" t="inlineStr">
        <is>
          <t>2025-11-13</t>
        </is>
      </c>
      <c r="B1469" t="n">
        <v>80100</v>
      </c>
      <c r="C1469" s="5">
        <f>(B1469-B1468)/B1468</f>
        <v/>
      </c>
      <c r="D1469" t="n">
        <v>1631.44</v>
      </c>
      <c r="E1469" s="5">
        <f>(D1469-D1468)/D1468</f>
        <v/>
      </c>
    </row>
    <row r="1470">
      <c r="A1470" t="inlineStr">
        <is>
          <t>2025-11-14</t>
        </is>
      </c>
      <c r="B1470" t="n">
        <v>81400</v>
      </c>
      <c r="C1470" s="5">
        <f>(B1470-B1469)/B1469</f>
        <v/>
      </c>
      <c r="D1470" t="n">
        <v>1635.46</v>
      </c>
      <c r="E1470" s="5">
        <f>(D1470-D1469)/D1469</f>
        <v/>
      </c>
    </row>
    <row r="1471">
      <c r="A1471" t="inlineStr">
        <is>
          <t>2025-11-17</t>
        </is>
      </c>
      <c r="B1471" t="n">
        <v>82400</v>
      </c>
      <c r="C1471" s="5">
        <f>(B1471-B1470)/B1470</f>
        <v/>
      </c>
      <c r="D1471" t="n">
        <v>1654.42</v>
      </c>
      <c r="E1471" s="5">
        <f>(D1471-D1470)/D1470</f>
        <v/>
      </c>
    </row>
    <row r="1472">
      <c r="A1472" t="inlineStr">
        <is>
          <t>2025-11-18</t>
        </is>
      </c>
      <c r="B1472" t="n">
        <v>83000</v>
      </c>
      <c r="C1472" s="5">
        <f>(B1472-B1471)/B1471</f>
        <v/>
      </c>
      <c r="D1472" t="n">
        <v>1659.92</v>
      </c>
      <c r="E1472" s="5">
        <f>(D1472-D1471)/D1471</f>
        <v/>
      </c>
    </row>
    <row r="1473">
      <c r="A1473" t="inlineStr">
        <is>
          <t>2025-11-19</t>
        </is>
      </c>
      <c r="B1473" t="n">
        <v>82400</v>
      </c>
      <c r="C1473" s="5">
        <f>(B1473-B1472)/B1472</f>
        <v/>
      </c>
      <c r="D1473" t="n">
        <v>1649</v>
      </c>
      <c r="E1473" s="5">
        <f>(D1473-D1472)/D1472</f>
        <v/>
      </c>
    </row>
    <row r="1474">
      <c r="A1474" t="inlineStr">
        <is>
          <t>2025-11-20</t>
        </is>
      </c>
      <c r="B1474" t="n">
        <v>81000</v>
      </c>
      <c r="C1474" s="5">
        <f>(B1474-B1473)/B1473</f>
        <v/>
      </c>
      <c r="D1474" t="n">
        <v>1655.99</v>
      </c>
      <c r="E1474" s="5">
        <f>(D1474-D1473)/D1473</f>
        <v/>
      </c>
    </row>
    <row r="1475">
      <c r="A1475" t="inlineStr">
        <is>
          <t>2025-11-21</t>
        </is>
      </c>
      <c r="B1475" t="n">
        <v>80000</v>
      </c>
      <c r="C1475" s="5">
        <f>(B1475-B1474)/B1474</f>
        <v/>
      </c>
      <c r="D1475" t="n">
        <v>1654.93</v>
      </c>
      <c r="E1475" s="5">
        <f>(D1475-D1474)/D1474</f>
        <v/>
      </c>
    </row>
    <row r="1476">
      <c r="A1476" t="inlineStr">
        <is>
          <t>2025-11-24</t>
        </is>
      </c>
      <c r="B1476" t="n">
        <v>79300</v>
      </c>
      <c r="C1476" s="5">
        <f>(B1476-B1475)/B1475</f>
        <v/>
      </c>
      <c r="D1476" t="n">
        <v>1667.98</v>
      </c>
      <c r="E1476" s="5">
        <f>(D1476-D1475)/D1475</f>
        <v/>
      </c>
    </row>
    <row r="1477">
      <c r="A1477" t="inlineStr">
        <is>
          <t>2025-11-25</t>
        </is>
      </c>
      <c r="B1477" t="n">
        <v>78500</v>
      </c>
      <c r="C1477" s="5">
        <f>(B1477-B1476)/B1476</f>
        <v/>
      </c>
      <c r="D1477" t="n">
        <v>1660.36</v>
      </c>
      <c r="E1477" s="5">
        <f>(D1477-D1476)/D1476</f>
        <v/>
      </c>
    </row>
    <row r="1478">
      <c r="A1478" t="inlineStr">
        <is>
          <t>2025-11-26</t>
        </is>
      </c>
      <c r="B1478" t="n">
        <v>80200</v>
      </c>
      <c r="C1478" s="5">
        <f>(B1478-B1477)/B1477</f>
        <v/>
      </c>
      <c r="D1478" t="n">
        <v>1680.36</v>
      </c>
      <c r="E1478" s="5">
        <f>(D1478-D1477)/D1477</f>
        <v/>
      </c>
    </row>
    <row r="1479">
      <c r="A1479" t="inlineStr">
        <is>
          <t>2025-11-27</t>
        </is>
      </c>
      <c r="B1479" t="n">
        <v>80000</v>
      </c>
      <c r="C1479" s="5">
        <f>(B1479-B1478)/B1478</f>
        <v/>
      </c>
      <c r="D1479" t="n">
        <v>1684.32</v>
      </c>
      <c r="E1479" s="5">
        <f>(D1479-D1478)/D1478</f>
        <v/>
      </c>
    </row>
    <row r="1480">
      <c r="A1480" t="inlineStr">
        <is>
          <t>2025-11-28</t>
        </is>
      </c>
      <c r="B1480" t="n">
        <v>79900</v>
      </c>
      <c r="C1480" s="5">
        <f>(B1480-B1479)/B1479</f>
        <v/>
      </c>
      <c r="D1480" t="n">
        <v>1690.99</v>
      </c>
      <c r="E1480" s="5">
        <f>(D1480-D1479)/D1479</f>
        <v/>
      </c>
    </row>
    <row r="1481">
      <c r="A1481" t="inlineStr">
        <is>
          <t>2025-12-01</t>
        </is>
      </c>
      <c r="B1481" t="n">
        <v>80000</v>
      </c>
      <c r="C1481" s="5">
        <f>(B1481-B1480)/B1480</f>
        <v/>
      </c>
      <c r="D1481" t="n">
        <v>1701.67</v>
      </c>
      <c r="E1481" s="5">
        <f>(D1481-D1480)/D1480</f>
        <v/>
      </c>
    </row>
    <row r="1482">
      <c r="A1482" t="inlineStr">
        <is>
          <t>2025-12-02</t>
        </is>
      </c>
      <c r="B1482" t="n">
        <v>80000</v>
      </c>
      <c r="C1482" s="5">
        <f>(B1482-B1481)/B1481</f>
        <v/>
      </c>
      <c r="D1482" t="n">
        <v>1717.06</v>
      </c>
      <c r="E1482" s="5">
        <f>(D1482-D1481)/D1481</f>
        <v/>
      </c>
    </row>
    <row r="1483">
      <c r="A1483" t="inlineStr">
        <is>
          <t>2025-12-03</t>
        </is>
      </c>
      <c r="B1483" t="n">
        <v>84700</v>
      </c>
      <c r="C1483" s="5">
        <f>(B1483-B1482)/B1482</f>
        <v/>
      </c>
      <c r="D1483" t="n">
        <v>1731.77</v>
      </c>
      <c r="E1483" s="5">
        <f>(D1483-D1482)/D1482</f>
        <v/>
      </c>
    </row>
    <row r="1484">
      <c r="A1484" t="inlineStr">
        <is>
          <t>2025-12-04</t>
        </is>
      </c>
      <c r="B1484" t="n">
        <v>85800</v>
      </c>
      <c r="C1484" s="5">
        <f>(B1484-B1483)/B1483</f>
        <v/>
      </c>
      <c r="D1484" t="n">
        <v>1737.24</v>
      </c>
      <c r="E1484" s="5">
        <f>(D1484-D1483)/D1483</f>
        <v/>
      </c>
    </row>
    <row r="1485">
      <c r="A1485" t="inlineStr">
        <is>
          <t>2025-12-05</t>
        </is>
      </c>
      <c r="B1485" t="n">
        <v>85100</v>
      </c>
      <c r="C1485" s="5">
        <f>(B1485-B1484)/B1484</f>
        <v/>
      </c>
      <c r="D1485" t="n">
        <v>1741.32</v>
      </c>
      <c r="E1485" s="5">
        <f>(D1485-D1484)/D1484</f>
        <v/>
      </c>
    </row>
    <row r="1486">
      <c r="A1486" t="inlineStr">
        <is>
          <t>2025-12-08</t>
        </is>
      </c>
      <c r="B1486" t="n">
        <v>84900</v>
      </c>
      <c r="C1486" s="5">
        <f>(B1486-B1485)/B1485</f>
        <v/>
      </c>
      <c r="D1486" t="n">
        <v>1753.74</v>
      </c>
      <c r="E1486" s="5">
        <f>(D1486-D1485)/D1485</f>
        <v/>
      </c>
    </row>
    <row r="1487">
      <c r="A1487" t="inlineStr">
        <is>
          <t>2025-12-09</t>
        </is>
      </c>
      <c r="B1487" t="n">
        <v>84000</v>
      </c>
      <c r="C1487" s="5">
        <f>(B1487-B1486)/B1486</f>
        <v/>
      </c>
      <c r="D1487" t="n">
        <v>1747.17</v>
      </c>
      <c r="E1487" s="5">
        <f>(D1487-D1486)/D1486</f>
        <v/>
      </c>
    </row>
    <row r="1488">
      <c r="A1488" t="inlineStr">
        <is>
          <t>2025-12-10</t>
        </is>
      </c>
      <c r="B1488" t="n">
        <v>83000</v>
      </c>
      <c r="C1488" s="5">
        <f>(B1488-B1487)/B1487</f>
        <v/>
      </c>
      <c r="D1488" t="n">
        <v>1718.98</v>
      </c>
      <c r="E1488" s="5">
        <f>(D1488-D1487)/D1487</f>
        <v/>
      </c>
    </row>
    <row r="1489">
      <c r="A1489" t="inlineStr">
        <is>
          <t>2025-12-11</t>
        </is>
      </c>
      <c r="B1489" t="n">
        <v>82300</v>
      </c>
      <c r="C1489" s="5">
        <f>(B1489-B1488)/B1488</f>
        <v/>
      </c>
      <c r="D1489" t="n">
        <v>1698.9</v>
      </c>
      <c r="E1489" s="5">
        <f>(D1489-D1488)/D1488</f>
        <v/>
      </c>
    </row>
    <row r="1490">
      <c r="A1490" t="inlineStr">
        <is>
          <t>2025-12-12</t>
        </is>
      </c>
      <c r="B1490" t="n">
        <v>78500</v>
      </c>
      <c r="C1490" s="5">
        <f>(B1490-B1489)/B1489</f>
        <v/>
      </c>
      <c r="D1490" t="n">
        <v>1646.89</v>
      </c>
      <c r="E1490" s="5">
        <f>(D1490-D1489)/D1489</f>
        <v/>
      </c>
    </row>
    <row r="1491">
      <c r="A1491" t="inlineStr">
        <is>
          <t>2025-12-15</t>
        </is>
      </c>
      <c r="B1491" t="n">
        <v>77700</v>
      </c>
      <c r="C1491" s="5">
        <f>(B1491-B1490)/B1490</f>
        <v/>
      </c>
      <c r="D1491" t="n">
        <v>1646.01</v>
      </c>
      <c r="E1491" s="5">
        <f>(D1491-D1490)/D1490</f>
        <v/>
      </c>
    </row>
    <row r="1492">
      <c r="A1492" t="inlineStr">
        <is>
          <t>2025-12-16</t>
        </is>
      </c>
      <c r="B1492" t="n">
        <v>82000</v>
      </c>
      <c r="C1492" s="5">
        <f>(B1492-B1491)/B1491</f>
        <v/>
      </c>
      <c r="D1492" t="n">
        <v>1679.18</v>
      </c>
      <c r="E1492" s="5">
        <f>(D1492-D1491)/D1491</f>
        <v/>
      </c>
    </row>
    <row r="1493">
      <c r="A1493" t="inlineStr">
        <is>
          <t>2025-12-17</t>
        </is>
      </c>
      <c r="B1493" t="n">
        <v>81900</v>
      </c>
      <c r="C1493" s="5">
        <f>(B1493-B1492)/B1492</f>
        <v/>
      </c>
      <c r="D1493" t="n">
        <v>1673.66</v>
      </c>
      <c r="E1493" s="5">
        <f>(D1493-D1492)/D1492</f>
        <v/>
      </c>
    </row>
    <row r="1494">
      <c r="A1494" t="inlineStr">
        <is>
          <t>2025-12-18</t>
        </is>
      </c>
      <c r="B1494" t="n">
        <v>81600</v>
      </c>
      <c r="C1494" s="5">
        <f>(B1494-B1493)/B1493</f>
        <v/>
      </c>
      <c r="D1494" t="n">
        <v>1676.98</v>
      </c>
      <c r="E1494" s="5">
        <f>(D1494-D1493)/D1493</f>
        <v/>
      </c>
    </row>
    <row r="1495">
      <c r="A1495" t="inlineStr">
        <is>
          <t>2025-12-19</t>
        </is>
      </c>
      <c r="B1495" t="n">
        <v>82900</v>
      </c>
      <c r="C1495" s="5">
        <f>(B1495-B1494)/B1494</f>
        <v/>
      </c>
      <c r="D1495" t="n">
        <v>1704.31</v>
      </c>
      <c r="E1495" s="5">
        <f>(D1495-D1494)/D1494</f>
        <v/>
      </c>
    </row>
    <row r="1496">
      <c r="A1496" t="inlineStr">
        <is>
          <t>2025-12-22</t>
        </is>
      </c>
      <c r="B1496" t="n">
        <v>85000</v>
      </c>
      <c r="C1496" s="5">
        <f>(B1496-B1495)/B1495</f>
        <v/>
      </c>
      <c r="D1496" t="n">
        <v>1751.03</v>
      </c>
      <c r="E1496" s="5">
        <f>(D1496-D1495)/D1495</f>
        <v/>
      </c>
    </row>
    <row r="1497">
      <c r="A1497" t="inlineStr">
        <is>
          <t>2025-12-23</t>
        </is>
      </c>
      <c r="B1497" t="n">
        <v>87500</v>
      </c>
      <c r="C1497" s="5">
        <f>(B1497-B1496)/B1496</f>
        <v/>
      </c>
      <c r="D1497" t="n">
        <v>1772.15</v>
      </c>
      <c r="E1497" s="5">
        <f>(D1497-D1496)/D1496</f>
        <v/>
      </c>
    </row>
    <row r="1498">
      <c r="A1498" t="inlineStr">
        <is>
          <t>2025-12-24</t>
        </is>
      </c>
      <c r="B1498" t="n">
        <v>88000</v>
      </c>
      <c r="C1498" s="5">
        <f>(B1498-B1497)/B1497</f>
        <v/>
      </c>
      <c r="D1498" t="n">
        <v>1782.82</v>
      </c>
      <c r="E1498" s="5">
        <f>(D1498-D1497)/D1497</f>
        <v/>
      </c>
    </row>
    <row r="1499">
      <c r="A1499" t="inlineStr">
        <is>
          <t>2025-12-25</t>
        </is>
      </c>
      <c r="B1499" t="n">
        <v>86000</v>
      </c>
      <c r="C1499" s="5">
        <f>(B1499-B1498)/B1498</f>
        <v/>
      </c>
      <c r="D1499" t="n">
        <v>1742.85</v>
      </c>
      <c r="E1499" s="5">
        <f>(D1499-D1498)/D1498</f>
        <v/>
      </c>
    </row>
    <row r="1500">
      <c r="A1500" t="inlineStr">
        <is>
          <t>2025-12-26</t>
        </is>
      </c>
      <c r="B1500" t="n">
        <v>87000</v>
      </c>
      <c r="C1500" s="5">
        <f>(B1500-B1499)/B1499</f>
        <v/>
      </c>
      <c r="D1500" t="n">
        <v>1729.8</v>
      </c>
      <c r="E1500" s="5">
        <f>(D1500-D1499)/D1499</f>
        <v/>
      </c>
    </row>
    <row r="1501">
      <c r="A1501" t="inlineStr">
        <is>
          <t>2025-12-29</t>
        </is>
      </c>
      <c r="B1501" t="n">
        <v>87100</v>
      </c>
      <c r="C1501" s="5">
        <f>(B1501-B1500)/B1500</f>
        <v/>
      </c>
      <c r="D1501" t="n">
        <v>1754.84</v>
      </c>
      <c r="E1501" s="5">
        <f>(D1501-D1500)/D1500</f>
        <v/>
      </c>
    </row>
    <row r="1502">
      <c r="A1502" t="inlineStr">
        <is>
          <t>2025-12-30</t>
        </is>
      </c>
      <c r="B1502" t="n">
        <v>88500</v>
      </c>
      <c r="C1502" s="5">
        <f>(B1502-B1501)/B1501</f>
        <v/>
      </c>
      <c r="D1502" t="n">
        <v>1766.9</v>
      </c>
      <c r="E1502" s="5">
        <f>(D1502-D1501)/D1501</f>
        <v/>
      </c>
    </row>
    <row r="1503">
      <c r="A1503" t="inlineStr">
        <is>
          <t>2025-12-31</t>
        </is>
      </c>
      <c r="B1503" t="n">
        <v>88400</v>
      </c>
      <c r="C1503" s="5">
        <f>(B1503-B1502)/B1502</f>
        <v/>
      </c>
      <c r="D1503" t="n">
        <v>1784.49</v>
      </c>
      <c r="E1503" s="5">
        <f>(D1503-D1502)/D1502</f>
        <v/>
      </c>
    </row>
    <row r="1504">
      <c r="A1504" t="inlineStr">
        <is>
          <t>2026-01-05</t>
        </is>
      </c>
      <c r="B1504" t="n">
        <v>87400</v>
      </c>
      <c r="C1504" s="5">
        <f>(B1504-B1503)/B1503</f>
        <v/>
      </c>
      <c r="D1504" t="n">
        <v>1788.4</v>
      </c>
      <c r="E1504" s="5">
        <f>(D1504-D1503)/D1503</f>
        <v/>
      </c>
    </row>
    <row r="1505">
      <c r="A1505" t="inlineStr">
        <is>
          <t>2026-01-06</t>
        </is>
      </c>
      <c r="B1505" t="n">
        <v>88800</v>
      </c>
      <c r="C1505" s="5">
        <f>(B1505-B1504)/B1504</f>
        <v/>
      </c>
      <c r="D1505" t="n">
        <v>1816.27</v>
      </c>
      <c r="E1505" s="5">
        <f>(D1505-D1504)/D1504</f>
        <v/>
      </c>
    </row>
    <row r="1506">
      <c r="A1506" t="inlineStr">
        <is>
          <t>2026-01-07</t>
        </is>
      </c>
      <c r="B1506" t="n">
        <v>89800</v>
      </c>
      <c r="C1506" s="5">
        <f>(B1506-B1505)/B1505</f>
        <v/>
      </c>
      <c r="D1506" t="n">
        <v>1861.58</v>
      </c>
      <c r="E1506" s="5">
        <f>(D1506-D1505)/D1505</f>
        <v/>
      </c>
    </row>
    <row r="1507">
      <c r="A1507" t="inlineStr">
        <is>
          <t>2026-01-08</t>
        </is>
      </c>
      <c r="B1507" t="n">
        <v>87500</v>
      </c>
      <c r="C1507" s="5">
        <f>(B1507-B1506)/B1506</f>
        <v/>
      </c>
      <c r="D1507" t="n">
        <v>1855.56</v>
      </c>
      <c r="E1507" s="5">
        <f>(D1507-D1506)/D1506</f>
        <v/>
      </c>
    </row>
    <row r="1508">
      <c r="A1508" t="inlineStr">
        <is>
          <t>2026-01-09</t>
        </is>
      </c>
      <c r="B1508" t="n">
        <v>86000</v>
      </c>
      <c r="C1508" s="5">
        <f>(B1508-B1507)/B1507</f>
        <v/>
      </c>
      <c r="D1508" t="n">
        <v>1867.9</v>
      </c>
      <c r="E1508" s="5">
        <f>(D1508-D1507)/D1507</f>
        <v/>
      </c>
    </row>
    <row r="1509">
      <c r="A1509" t="inlineStr">
        <is>
          <t>2026-01-12</t>
        </is>
      </c>
      <c r="B1509" t="n">
        <v>87500</v>
      </c>
      <c r="C1509" s="5">
        <f>(B1509-B1508)/B1508</f>
        <v/>
      </c>
      <c r="D1509" t="n">
        <v>1877.33</v>
      </c>
      <c r="E1509" s="5">
        <f>(D1509-D1508)/D1508</f>
        <v/>
      </c>
    </row>
    <row r="1510">
      <c r="A1510" t="inlineStr">
        <is>
          <t>2026-01-13</t>
        </is>
      </c>
      <c r="B1510" t="n">
        <v>87100</v>
      </c>
      <c r="C1510" s="5">
        <f>(B1510-B1509)/B1509</f>
        <v/>
      </c>
      <c r="D1510" t="n">
        <v>1902.93</v>
      </c>
      <c r="E1510" s="5">
        <f>(D1510-D1509)/D1509</f>
        <v/>
      </c>
    </row>
    <row r="1511">
      <c r="A1511" t="inlineStr">
        <is>
          <t>2026-01-14</t>
        </is>
      </c>
      <c r="B1511" t="n">
        <v>86000</v>
      </c>
      <c r="C1511" s="5">
        <f>(B1511-B1510)/B1510</f>
        <v/>
      </c>
      <c r="D1511" t="n">
        <v>1894.44</v>
      </c>
      <c r="E1511" s="5">
        <f>(D1511-D1510)/D1510</f>
        <v/>
      </c>
    </row>
    <row r="1512">
      <c r="A1512" t="inlineStr">
        <is>
          <t>2026-01-15</t>
        </is>
      </c>
      <c r="B1512" t="n">
        <v>84000</v>
      </c>
      <c r="C1512" s="5">
        <f>(B1512-B1511)/B1511</f>
        <v/>
      </c>
      <c r="D1512" t="n">
        <v>1864.8</v>
      </c>
      <c r="E1512" s="5">
        <f>(D1512-D1511)/D1511</f>
        <v/>
      </c>
    </row>
    <row r="1513">
      <c r="A1513" t="inlineStr">
        <is>
          <t>2026-01-16</t>
        </is>
      </c>
      <c r="B1513" t="n">
        <v>87000</v>
      </c>
      <c r="C1513" s="5">
        <f>(B1513-B1512)/B1512</f>
        <v/>
      </c>
      <c r="D1513" t="n">
        <v>1879.13</v>
      </c>
      <c r="E1513" s="5">
        <f>(D1513-D1512)/D1512</f>
        <v/>
      </c>
    </row>
    <row r="1514">
      <c r="A1514" t="inlineStr">
        <is>
          <t>2026-01-19</t>
        </is>
      </c>
      <c r="B1514" t="n">
        <v>86700</v>
      </c>
      <c r="C1514" s="5">
        <f>(B1514-B1513)/B1513</f>
        <v/>
      </c>
      <c r="D1514" t="n">
        <v>1896.59</v>
      </c>
      <c r="E1514" s="5">
        <f>(D1514-D1513)/D1513</f>
        <v/>
      </c>
    </row>
    <row r="1515">
      <c r="A1515" t="inlineStr">
        <is>
          <t>2026-01-20</t>
        </is>
      </c>
      <c r="B1515" t="n">
        <v>86000</v>
      </c>
      <c r="C1515" s="5">
        <f>(B1515-B1514)/B1514</f>
        <v/>
      </c>
      <c r="D1515" t="n">
        <v>1893.78</v>
      </c>
      <c r="E1515" s="5">
        <f>(D1515-D1514)/D1514</f>
        <v/>
      </c>
    </row>
    <row r="1516">
      <c r="A1516" t="inlineStr">
        <is>
          <t>2026-01-21</t>
        </is>
      </c>
      <c r="B1516" t="n">
        <v>85400</v>
      </c>
      <c r="C1516" s="5">
        <f>(B1516-B1515)/B1515</f>
        <v/>
      </c>
      <c r="D1516" t="n">
        <v>1885.44</v>
      </c>
      <c r="E1516" s="5">
        <f>(D1516-D1515)/D1515</f>
        <v/>
      </c>
    </row>
    <row r="1517">
      <c r="A1517" t="inlineStr">
        <is>
          <t>2026-01-22</t>
        </is>
      </c>
      <c r="B1517" t="n">
        <v>86500</v>
      </c>
      <c r="C1517" s="5">
        <f>(B1517-B1516)/B1516</f>
        <v/>
      </c>
      <c r="D1517" t="n">
        <v>1882.73</v>
      </c>
      <c r="E1517" s="5">
        <f>(D1517-D1516)/D1516</f>
        <v/>
      </c>
    </row>
    <row r="1518">
      <c r="A1518" t="inlineStr">
        <is>
          <t>2026-01-23</t>
        </is>
      </c>
      <c r="B1518" t="n">
        <v>85800</v>
      </c>
      <c r="C1518" s="5">
        <f>(B1518-B1517)/B1517</f>
        <v/>
      </c>
      <c r="D1518" t="n">
        <v>1870.79</v>
      </c>
      <c r="E1518" s="5">
        <f>(D1518-D1517)/D1517</f>
        <v/>
      </c>
    </row>
    <row r="1519">
      <c r="A1519" t="inlineStr">
        <is>
          <t>2026-01-26</t>
        </is>
      </c>
      <c r="B1519" t="n">
        <v>84100</v>
      </c>
      <c r="C1519" s="5">
        <f>(B1519-B1518)/B1518</f>
        <v/>
      </c>
      <c r="D1519" t="n">
        <v>1843.72</v>
      </c>
      <c r="E1519" s="5">
        <f>(D1519-D1518)/D1518</f>
        <v/>
      </c>
    </row>
    <row r="1520">
      <c r="A1520" t="inlineStr">
        <is>
          <t>2026-01-27</t>
        </is>
      </c>
      <c r="B1520" t="n">
        <v>85000</v>
      </c>
      <c r="C1520" s="5">
        <f>(B1520-B1519)/B1519</f>
        <v/>
      </c>
      <c r="D1520" t="n">
        <v>1830.5</v>
      </c>
      <c r="E1520" s="5">
        <f>(D1520-D1519)/D1519</f>
        <v/>
      </c>
    </row>
    <row r="1521">
      <c r="A1521" t="inlineStr">
        <is>
          <t>2026-01-28</t>
        </is>
      </c>
      <c r="B1521" t="n">
        <v>85500</v>
      </c>
      <c r="C1521" s="5">
        <f>(B1521-B1520)/B1520</f>
        <v/>
      </c>
      <c r="D1521" t="n">
        <v>1802.91</v>
      </c>
      <c r="E1521" s="5">
        <f>(D1521-D1520)/D1520</f>
        <v/>
      </c>
    </row>
    <row r="1522">
      <c r="A1522" t="inlineStr">
        <is>
          <t>2026-01-29</t>
        </is>
      </c>
      <c r="B1522" t="n">
        <v>89500</v>
      </c>
      <c r="C1522" s="5">
        <f>(B1522-B1521)/B1521</f>
        <v/>
      </c>
      <c r="D1522" t="n">
        <v>1814.98</v>
      </c>
      <c r="E1522" s="5">
        <f>(D1522-D1521)/D1521</f>
        <v/>
      </c>
    </row>
    <row r="1523">
      <c r="A1523" t="inlineStr">
        <is>
          <t>2026-01-30</t>
        </is>
      </c>
      <c r="B1523" t="n">
        <v>92900</v>
      </c>
      <c r="C1523" s="5">
        <f>(B1523-B1522)/B1522</f>
        <v/>
      </c>
      <c r="D1523" t="n">
        <v>1829.04</v>
      </c>
      <c r="E1523" s="5">
        <f>(D1523-D1522)/D1522</f>
        <v/>
      </c>
    </row>
    <row r="1524">
      <c r="A1524" t="inlineStr">
        <is>
          <t>2026-02-02</t>
        </is>
      </c>
      <c r="B1524" t="n">
        <v>93700</v>
      </c>
      <c r="C1524" s="5">
        <f>(B1524-B1523)/B1523</f>
        <v/>
      </c>
      <c r="D1524" t="n">
        <v>1806.5</v>
      </c>
      <c r="E1524" s="5">
        <f>(D1524-D1523)/D1523</f>
        <v/>
      </c>
    </row>
    <row r="1525">
      <c r="A1525" t="inlineStr">
        <is>
          <t>2026-02-03</t>
        </is>
      </c>
      <c r="B1525" t="n">
        <v>91500</v>
      </c>
      <c r="C1525" s="5">
        <f>(B1525-B1524)/B1524</f>
        <v/>
      </c>
      <c r="D1525" t="n">
        <v>1813.4</v>
      </c>
      <c r="E1525" s="5">
        <f>(D1525-D1524)/D1524</f>
        <v/>
      </c>
    </row>
    <row r="1526">
      <c r="A1526" t="inlineStr">
        <is>
          <t>2026-02-04</t>
        </is>
      </c>
      <c r="B1526" t="n">
        <v>91800</v>
      </c>
      <c r="C1526" s="5">
        <f>(B1526-B1525)/B1525</f>
        <v/>
      </c>
      <c r="D1526" t="n">
        <v>1791.43</v>
      </c>
      <c r="E1526" s="5">
        <f>(D1526-D1525)/D1525</f>
        <v/>
      </c>
    </row>
    <row r="1527">
      <c r="A1527" t="inlineStr">
        <is>
          <t>2026-02-05</t>
        </is>
      </c>
      <c r="B1527" t="n">
        <v>90200</v>
      </c>
      <c r="C1527" s="5">
        <f>(B1527-B1526)/B1526</f>
        <v/>
      </c>
      <c r="D1527" t="n">
        <v>1782.56</v>
      </c>
      <c r="E1527" s="5">
        <f>(D1527-D1526)/D1526</f>
        <v/>
      </c>
    </row>
    <row r="1528">
      <c r="A1528" t="inlineStr">
        <is>
          <t>2026-02-06</t>
        </is>
      </c>
      <c r="B1528" t="n">
        <v>88400</v>
      </c>
      <c r="C1528" s="5">
        <f>(B1528-B1527)/B1527</f>
        <v/>
      </c>
      <c r="D1528" t="n">
        <v>1755.49</v>
      </c>
      <c r="E1528" s="5">
        <f>(D1528-D1527)/D1527</f>
        <v/>
      </c>
    </row>
    <row r="1529">
      <c r="A1529" t="inlineStr">
        <is>
          <t>2026-02-09</t>
        </is>
      </c>
      <c r="B1529" t="n">
        <v>89300</v>
      </c>
      <c r="C1529" s="5">
        <f>(B1529-B1528)/B1528</f>
        <v/>
      </c>
      <c r="D1529" t="n">
        <v>1754.82</v>
      </c>
      <c r="E1529" s="5">
        <f>(D1529-D1528)/D1528</f>
        <v/>
      </c>
    </row>
    <row r="1530">
      <c r="A1530" t="inlineStr">
        <is>
          <t>2026-02-10</t>
        </is>
      </c>
      <c r="B1530" t="n">
        <v>89300</v>
      </c>
      <c r="C1530" s="5">
        <f>(B1530-B1529)/B1529</f>
        <v/>
      </c>
      <c r="D1530" t="n">
        <v>1754.03</v>
      </c>
      <c r="E1530" s="5">
        <f>(D1530-D1529)/D1529</f>
        <v/>
      </c>
    </row>
    <row r="1531">
      <c r="A1531" t="inlineStr">
        <is>
          <t>2026-02-11</t>
        </is>
      </c>
      <c r="B1531" t="n">
        <v>91900</v>
      </c>
      <c r="C1531" s="5">
        <f>(B1531-B1530)/B1530</f>
        <v/>
      </c>
      <c r="D1531" t="n">
        <v>1796.85</v>
      </c>
      <c r="E1531" s="5">
        <f>(D1531-D1530)/D1530</f>
        <v/>
      </c>
    </row>
    <row r="1532">
      <c r="A1532" t="inlineStr">
        <is>
          <t>2026-02-12</t>
        </is>
      </c>
      <c r="B1532" t="n">
        <v>92900</v>
      </c>
      <c r="C1532" s="5">
        <f>(B1532-B1531)/B1531</f>
        <v/>
      </c>
      <c r="D1532" t="n">
        <v>1814.09</v>
      </c>
      <c r="E1532" s="5">
        <f>(D1532-D1531)/D1531</f>
        <v/>
      </c>
    </row>
    <row r="1533">
      <c r="A1533" t="inlineStr">
        <is>
          <t>2026-02-13</t>
        </is>
      </c>
      <c r="B1533" t="n">
        <v>92800</v>
      </c>
      <c r="C1533" s="5">
        <f>(B1533-B1532)/B1532</f>
        <v/>
      </c>
      <c r="D1533" t="n">
        <v>1824.09</v>
      </c>
      <c r="E1533" s="5">
        <f>(D1533-D1532)/D1532</f>
        <v/>
      </c>
    </row>
    <row r="1534">
      <c r="A1534" t="inlineStr">
        <is>
          <t>2026-02-23</t>
        </is>
      </c>
      <c r="B1534" t="n">
        <v>92000</v>
      </c>
      <c r="C1534" s="5">
        <f>(B1534-B1533)/B1533</f>
        <v/>
      </c>
      <c r="D1534" t="n">
        <v>1860.14</v>
      </c>
      <c r="E1534" s="5">
        <f>(D1534-D1533)/D1533</f>
        <v/>
      </c>
    </row>
    <row r="1535">
      <c r="A1535" t="inlineStr">
        <is>
          <t>2026-02-24</t>
        </is>
      </c>
      <c r="B1535" t="n">
        <v>92200</v>
      </c>
      <c r="C1535" s="5">
        <f>(B1535-B1534)/B1534</f>
        <v/>
      </c>
      <c r="D1535" t="n">
        <v>1867.62</v>
      </c>
      <c r="E1535" s="5">
        <f>(D1535-D1534)/D1534</f>
        <v/>
      </c>
    </row>
    <row r="1536">
      <c r="A1536" t="inlineStr">
        <is>
          <t>2026-02-25</t>
        </is>
      </c>
      <c r="B1536" t="n">
        <v>93000</v>
      </c>
      <c r="C1536" s="5">
        <f>(B1536-B1535)/B1535</f>
        <v/>
      </c>
      <c r="D1536" t="n">
        <v>1860.91</v>
      </c>
      <c r="E1536" s="5">
        <f>(D1536-D1535)/D1535</f>
        <v/>
      </c>
    </row>
    <row r="1537">
      <c r="A1537" t="inlineStr">
        <is>
          <t>2026-02-26</t>
        </is>
      </c>
      <c r="B1537" t="n">
        <v>93600</v>
      </c>
      <c r="C1537" s="5">
        <f>(B1537-B1536)/B1536</f>
        <v/>
      </c>
      <c r="D1537" t="n">
        <v>1879.64</v>
      </c>
      <c r="E1537" s="5">
        <f>(D1537-D1536)/D1536</f>
        <v/>
      </c>
    </row>
    <row r="1538">
      <c r="A1538" t="inlineStr">
        <is>
          <t>2026-02-27</t>
        </is>
      </c>
      <c r="B1538" t="n">
        <v>93100</v>
      </c>
      <c r="C1538" s="5">
        <f>(B1538-B1537)/B1537</f>
        <v/>
      </c>
      <c r="D1538" t="n">
        <v>1880.33</v>
      </c>
      <c r="E1538" s="5">
        <f>(D1538-D1537)/D1537</f>
        <v/>
      </c>
    </row>
    <row r="1539">
      <c r="A1539" t="inlineStr">
        <is>
          <t>2026-03-02</t>
        </is>
      </c>
      <c r="B1539" t="n">
        <v>90000</v>
      </c>
      <c r="C1539" s="5">
        <f>(B1539-B1538)/B1538</f>
        <v/>
      </c>
      <c r="D1539" t="n">
        <v>1846.1</v>
      </c>
      <c r="E1539" s="5">
        <f>(D1539-D1538)/D1538</f>
        <v/>
      </c>
    </row>
    <row r="1540">
      <c r="A1540" t="inlineStr">
        <is>
          <t>2026-03-03</t>
        </is>
      </c>
      <c r="B1540" t="n">
        <v>88200</v>
      </c>
      <c r="C1540" s="5">
        <f>(B1540-B1539)/B1539</f>
        <v/>
      </c>
      <c r="D1540" t="n">
        <v>1813.14</v>
      </c>
      <c r="E1540" s="5">
        <f>(D1540-D1539)/D1539</f>
        <v/>
      </c>
    </row>
    <row r="1541">
      <c r="A1541" t="inlineStr">
        <is>
          <t>2026-03-04</t>
        </is>
      </c>
      <c r="B1541" t="n">
        <v>88800</v>
      </c>
      <c r="C1541" s="5">
        <f>(B1541-B1540)/B1540</f>
        <v/>
      </c>
      <c r="D1541" t="n">
        <v>1818.27</v>
      </c>
      <c r="E1541" s="5">
        <f>(D1541-D1540)/D1540</f>
        <v/>
      </c>
    </row>
    <row r="1542">
      <c r="A1542" t="inlineStr">
        <is>
          <t>2026-03-05</t>
        </is>
      </c>
      <c r="B1542" t="n">
        <v>85200</v>
      </c>
      <c r="C1542" s="5">
        <f>(B1542-B1541)/B1541</f>
        <v/>
      </c>
      <c r="D1542" t="n">
        <v>1808.51</v>
      </c>
      <c r="E1542" s="5">
        <f>(D1542-D1541)/D1541</f>
        <v/>
      </c>
    </row>
    <row r="1543">
      <c r="A1543" t="inlineStr">
        <is>
          <t>2026-03-06</t>
        </is>
      </c>
      <c r="B1543" t="n">
        <v>82700</v>
      </c>
      <c r="C1543" s="5">
        <f>(B1543-B1542)/B1542</f>
        <v/>
      </c>
      <c r="D1543" t="n">
        <v>1767.84</v>
      </c>
      <c r="E1543" s="5">
        <f>(D1543-D1542)/D1542</f>
        <v/>
      </c>
    </row>
    <row r="1544">
      <c r="A1544" t="inlineStr">
        <is>
          <t>2026-03-09</t>
        </is>
      </c>
      <c r="B1544" t="n">
        <v>77000</v>
      </c>
      <c r="C1544" s="5">
        <f>(B1544-B1543)/B1543</f>
        <v/>
      </c>
      <c r="D1544" t="n">
        <v>1652.79</v>
      </c>
      <c r="E1544" s="5">
        <f>(D1544-D1543)/D1543</f>
        <v/>
      </c>
    </row>
    <row r="1545">
      <c r="A1545" t="inlineStr">
        <is>
          <t>2026-03-10</t>
        </is>
      </c>
      <c r="B1545" t="n">
        <v>81000</v>
      </c>
      <c r="C1545" s="5">
        <f>(B1545-B1544)/B1544</f>
        <v/>
      </c>
      <c r="D1545" t="n">
        <v>1676.73</v>
      </c>
      <c r="E1545" s="5">
        <f>(D1545-D1544)/D1544</f>
        <v/>
      </c>
    </row>
    <row r="1546">
      <c r="A1546" t="inlineStr">
        <is>
          <t>2026-03-11</t>
        </is>
      </c>
      <c r="B1546" t="n">
        <v>86500</v>
      </c>
      <c r="C1546" s="5">
        <f>(B1546-B1545)/B1545</f>
        <v/>
      </c>
      <c r="D1546" t="n">
        <v>1728.34</v>
      </c>
      <c r="E1546" s="5">
        <f>(D1546-D1545)/D1545</f>
        <v/>
      </c>
    </row>
    <row r="1547">
      <c r="A1547" t="inlineStr">
        <is>
          <t>2026-03-12</t>
        </is>
      </c>
      <c r="B1547" t="n">
        <v>84600</v>
      </c>
      <c r="C1547" s="5">
        <f>(B1547-B1546)/B1546</f>
        <v/>
      </c>
      <c r="D1547" t="n">
        <v>1709.61</v>
      </c>
      <c r="E1547" s="5">
        <f>(D1547-D1546)/D1546</f>
        <v/>
      </c>
    </row>
    <row r="1548">
      <c r="A1548" t="inlineStr">
        <is>
          <t>2026-03-13</t>
        </is>
      </c>
      <c r="B1548" t="n">
        <v>82000</v>
      </c>
      <c r="C1548" s="5">
        <f>(B1548-B1547)/B1547</f>
        <v/>
      </c>
      <c r="D1548" t="n">
        <v>1696.24</v>
      </c>
      <c r="E1548" s="5">
        <f>(D1548-D1547)/D1547</f>
        <v/>
      </c>
    </row>
    <row r="1549">
      <c r="A1549" t="inlineStr">
        <is>
          <t>2026-03-16</t>
        </is>
      </c>
      <c r="B1549" t="n">
        <v>80600</v>
      </c>
      <c r="C1549" s="5">
        <f>(B1549-B1548)/B1548</f>
        <v/>
      </c>
      <c r="D1549" t="n">
        <v>1693.21</v>
      </c>
      <c r="E1549" s="5">
        <f>(D1549-D1548)/D1548</f>
        <v/>
      </c>
    </row>
    <row r="1550">
      <c r="A1550" t="inlineStr">
        <is>
          <t>2026-03-17</t>
        </is>
      </c>
      <c r="B1550" t="n">
        <v>82700</v>
      </c>
      <c r="C1550" s="5">
        <f>(B1550-B1549)/B1549</f>
        <v/>
      </c>
      <c r="D1550" t="n">
        <v>1710.29</v>
      </c>
      <c r="E1550" s="5">
        <f>(D1550-D1549)/D1549</f>
        <v/>
      </c>
    </row>
    <row r="1551">
      <c r="A1551" t="inlineStr">
        <is>
          <t>2026-03-18</t>
        </is>
      </c>
      <c r="B1551" t="n">
        <v>83700</v>
      </c>
      <c r="C1551" s="5">
        <f>(B1551-B1550)/B1550</f>
        <v/>
      </c>
      <c r="D1551" t="n">
        <v>1713.83</v>
      </c>
      <c r="E1551" s="5">
        <f>(D1551-D1550)/D1550</f>
        <v/>
      </c>
    </row>
    <row r="1552">
      <c r="A1552" t="inlineStr">
        <is>
          <t>2026-03-19</t>
        </is>
      </c>
      <c r="B1552" t="n">
        <v>82400</v>
      </c>
      <c r="C1552" s="5">
        <f>(B1552-B1551)/B1551</f>
        <v/>
      </c>
      <c r="D1552" t="n">
        <v>1699.13</v>
      </c>
      <c r="E1552" s="5">
        <f>(D1552-D1551)/D1551</f>
        <v/>
      </c>
    </row>
    <row r="1553">
      <c r="A1553" t="inlineStr">
        <is>
          <t>2026-03-20</t>
        </is>
      </c>
      <c r="B1553" t="n">
        <v>79700</v>
      </c>
      <c r="C1553" s="5">
        <f>(B1553-B1552)/B1552</f>
        <v/>
      </c>
      <c r="D1553" t="n">
        <v>1647.81</v>
      </c>
      <c r="E1553" s="5">
        <f>(D1553-D1552)/D1552</f>
        <v/>
      </c>
    </row>
    <row r="1554">
      <c r="A1554" t="inlineStr">
        <is>
          <t>2026-03-23</t>
        </is>
      </c>
      <c r="B1554" t="n">
        <v>74200</v>
      </c>
      <c r="C1554" s="5">
        <f>(B1554-B1553)/B1553</f>
        <v/>
      </c>
      <c r="D1554" t="n">
        <v>1591.17</v>
      </c>
      <c r="E1554" s="5">
        <f>(D1554-D1553)/D1553</f>
        <v/>
      </c>
    </row>
    <row r="1555">
      <c r="A1555" t="inlineStr">
        <is>
          <t>2026-03-24</t>
        </is>
      </c>
      <c r="B1555" t="n">
        <v>76000</v>
      </c>
      <c r="C1555" s="5">
        <f>(B1555-B1554)/B1554</f>
        <v/>
      </c>
      <c r="D1555" t="n">
        <v>1614.77</v>
      </c>
      <c r="E1555" s="5">
        <f>(D1555-D1554)/D1554</f>
        <v/>
      </c>
    </row>
    <row r="1556">
      <c r="A1556" t="inlineStr">
        <is>
          <t>2026-03-25</t>
        </is>
      </c>
      <c r="B1556" t="n">
        <v>79200</v>
      </c>
      <c r="C1556" s="5">
        <f>(B1556-B1555)/B1555</f>
        <v/>
      </c>
      <c r="D1556" t="n">
        <v>1658.19</v>
      </c>
      <c r="E1556" s="5">
        <f>(D1556-D1555)/D1555</f>
        <v/>
      </c>
    </row>
    <row r="1557">
      <c r="A1557" t="inlineStr">
        <is>
          <t>2026-03-26</t>
        </is>
      </c>
      <c r="B1557" t="n">
        <v>78500</v>
      </c>
      <c r="C1557" s="5">
        <f>(B1557-B1556)/B1556</f>
        <v/>
      </c>
      <c r="D1557" t="n">
        <v>1644.63</v>
      </c>
      <c r="E1557" s="5">
        <f>(D1557-D1556)/D1556</f>
        <v/>
      </c>
    </row>
    <row r="1558">
      <c r="A1558" t="inlineStr">
        <is>
          <t>2026-03-27</t>
        </is>
      </c>
      <c r="B1558" t="n">
        <v>81000</v>
      </c>
      <c r="C1558" s="5">
        <f>(B1558-B1557)/B1557</f>
        <v/>
      </c>
      <c r="D1558" t="n">
        <v>1672.8</v>
      </c>
      <c r="E1558" s="5">
        <f>(D1558-D1557)/D1557</f>
        <v/>
      </c>
    </row>
    <row r="1559">
      <c r="A1559" t="inlineStr">
        <is>
          <t>2026-03-30</t>
        </is>
      </c>
      <c r="B1559" t="n">
        <v>80800</v>
      </c>
      <c r="C1559" s="5">
        <f>(B1559-B1558)/B1558</f>
        <v/>
      </c>
      <c r="D1559" t="n">
        <v>1662.54</v>
      </c>
      <c r="E1559" s="5">
        <f>(D1559-D1558)/D1558</f>
        <v/>
      </c>
    </row>
    <row r="1560">
      <c r="A1560" t="inlineStr">
        <is>
          <t>2026-03-31</t>
        </is>
      </c>
      <c r="B1560" t="n">
        <v>81800</v>
      </c>
      <c r="C1560" s="5">
        <f>(B1560-B1559)/B1559</f>
        <v/>
      </c>
      <c r="D1560" t="n">
        <v>1674.49</v>
      </c>
      <c r="E1560" s="5">
        <f>(D1560-D1559)/D1559</f>
        <v/>
      </c>
    </row>
    <row r="1561">
      <c r="A1561" t="inlineStr">
        <is>
          <t>2026-04-01</t>
        </is>
      </c>
      <c r="B1561" t="n">
        <v>82400</v>
      </c>
      <c r="C1561" s="5">
        <f>(B1561-B1560)/B1560</f>
        <v/>
      </c>
      <c r="D1561" t="n">
        <v>1702.93</v>
      </c>
      <c r="E1561" s="5">
        <f>(D1561-D1560)/D1560</f>
        <v/>
      </c>
    </row>
    <row r="1562">
      <c r="A1562" t="inlineStr">
        <is>
          <t>2026-04-02</t>
        </is>
      </c>
      <c r="B1562" t="n">
        <v>81800</v>
      </c>
      <c r="C1562" s="5">
        <f>(B1562-B1561)/B1561</f>
        <v/>
      </c>
      <c r="D1562" t="n">
        <v>1694.82</v>
      </c>
      <c r="E1562" s="5">
        <f>(D1562-D1561)/D1561</f>
        <v/>
      </c>
    </row>
    <row r="1563">
      <c r="A1563" t="inlineStr">
        <is>
          <t>2026-04-03</t>
        </is>
      </c>
      <c r="B1563" t="n">
        <v>79300</v>
      </c>
      <c r="C1563" s="5">
        <f>(B1563-B1562)/B1562</f>
        <v/>
      </c>
      <c r="D1563" t="n">
        <v>1684.04</v>
      </c>
      <c r="E1563" s="5">
        <f>(D1563-D1562)/D1562</f>
        <v/>
      </c>
    </row>
    <row r="1564">
      <c r="A1564" t="inlineStr">
        <is>
          <t>2026-04-06</t>
        </is>
      </c>
      <c r="B1564" t="n">
        <v>78300</v>
      </c>
      <c r="C1564" s="5">
        <f>(B1564-B1563)/B1563</f>
        <v/>
      </c>
      <c r="D1564" t="n">
        <v>1674.99</v>
      </c>
      <c r="E1564" s="5">
        <f>(D1564-D1563)/D1563</f>
        <v/>
      </c>
    </row>
    <row r="1565">
      <c r="A1565" t="inlineStr">
        <is>
          <t>2026-04-07</t>
        </is>
      </c>
      <c r="B1565" t="n">
        <v>78000</v>
      </c>
      <c r="C1565" s="5">
        <f>(B1565-B1564)/B1564</f>
        <v/>
      </c>
      <c r="D1565" t="n">
        <v>1677.54</v>
      </c>
      <c r="E1565" s="5">
        <f>(D1565-D1564)/D1564</f>
        <v/>
      </c>
    </row>
    <row r="1566">
      <c r="A1566" t="inlineStr">
        <is>
          <t>2026-04-08</t>
        </is>
      </c>
      <c r="B1566" t="n">
        <v>81900</v>
      </c>
      <c r="C1566" s="5">
        <f>(B1566-B1565)/B1565</f>
        <v/>
      </c>
      <c r="D1566" t="n">
        <v>1756.55</v>
      </c>
      <c r="E1566" s="5">
        <f>(D1566-D1565)/D1565</f>
        <v/>
      </c>
    </row>
    <row r="1567">
      <c r="A1567" t="inlineStr">
        <is>
          <t>2026-04-09</t>
        </is>
      </c>
      <c r="B1567" t="n">
        <v>80700</v>
      </c>
      <c r="C1567" s="5">
        <f>(B1567-B1566)/B1566</f>
        <v/>
      </c>
      <c r="D1567" t="n">
        <v>1736.68</v>
      </c>
      <c r="E1567" s="5">
        <f>(D1567-D1566)/D1566</f>
        <v/>
      </c>
    </row>
    <row r="1568">
      <c r="A1568" t="inlineStr">
        <is>
          <t>2026-04-10</t>
        </is>
      </c>
      <c r="B1568" t="n">
        <v>81500</v>
      </c>
      <c r="C1568" s="5">
        <f>(B1568-B1567)/B1567</f>
        <v/>
      </c>
      <c r="D1568" t="n">
        <v>1750</v>
      </c>
      <c r="E1568" s="5">
        <f>(D1568-D1567)/D1567</f>
        <v/>
      </c>
    </row>
    <row r="1569">
      <c r="A1569" t="inlineStr">
        <is>
          <t>2026-04-13</t>
        </is>
      </c>
      <c r="B1569" t="n">
        <v>81300</v>
      </c>
      <c r="C1569" s="5">
        <f>(B1569-B1568)/B1568</f>
        <v/>
      </c>
      <c r="D1569" t="n">
        <v>1758.96</v>
      </c>
      <c r="E1569" s="5">
        <f>(D1569-D1568)/D1568</f>
        <v/>
      </c>
    </row>
    <row r="1570">
      <c r="A1570" t="inlineStr">
        <is>
          <t>2026-04-14</t>
        </is>
      </c>
      <c r="B1570" t="n">
        <v>81600</v>
      </c>
      <c r="C1570" s="5">
        <f>(B1570-B1569)/B1569</f>
        <v/>
      </c>
      <c r="D1570" t="n">
        <v>1775.65</v>
      </c>
      <c r="E1570" s="5">
        <f>(D1570-D1569)/D1569</f>
        <v/>
      </c>
    </row>
    <row r="1571">
      <c r="A1571" t="inlineStr">
        <is>
          <t>2026-04-15</t>
        </is>
      </c>
      <c r="B1571" t="n">
        <v>80000</v>
      </c>
      <c r="C1571" s="5">
        <f>(B1571-B1570)/B1570</f>
        <v/>
      </c>
      <c r="D1571" t="n">
        <v>1800.65</v>
      </c>
      <c r="E1571" s="5">
        <f>(D1571-D1570)/D1570</f>
        <v/>
      </c>
    </row>
    <row r="1572">
      <c r="A1572" t="inlineStr">
        <is>
          <t>2026-04-16</t>
        </is>
      </c>
      <c r="B1572" t="n">
        <v>81300</v>
      </c>
      <c r="C1572" s="5">
        <f>(B1572-B1571)/B1571</f>
        <v/>
      </c>
      <c r="D1572" t="n">
        <v>1819.83</v>
      </c>
      <c r="E1572" s="5">
        <f>(D1572-D1571)/D1571</f>
        <v/>
      </c>
    </row>
    <row r="1573">
      <c r="A1573" t="inlineStr">
        <is>
          <t>2026-04-17</t>
        </is>
      </c>
      <c r="B1573" t="n">
        <v>86900</v>
      </c>
      <c r="C1573" s="5">
        <f>(B1573-B1572)/B1572</f>
        <v/>
      </c>
      <c r="D1573" t="n">
        <v>1817.17</v>
      </c>
      <c r="E1573" s="5">
        <f>(D1573-D1572)/D1572</f>
        <v/>
      </c>
    </row>
    <row r="1574">
      <c r="A1574" t="inlineStr">
        <is>
          <t>2026-04-20</t>
        </is>
      </c>
      <c r="B1574" t="n">
        <v>87300</v>
      </c>
      <c r="C1574" s="5">
        <f>(B1574-B1573)/B1573</f>
        <v/>
      </c>
      <c r="D1574" t="n">
        <v>1837.11</v>
      </c>
      <c r="E1574" s="5">
        <f>(D1574-D1573)/D1573</f>
        <v/>
      </c>
    </row>
    <row r="1575">
      <c r="A1575" t="inlineStr">
        <is>
          <t>2026-04-21</t>
        </is>
      </c>
      <c r="B1575" t="n">
        <v>85600</v>
      </c>
      <c r="C1575" s="5">
        <f>(B1575-B1574)/B1574</f>
        <v/>
      </c>
      <c r="D1575" t="n">
        <v>1833.48</v>
      </c>
      <c r="E1575" s="5">
        <f>(D1575-D1574)/D1574</f>
        <v/>
      </c>
    </row>
    <row r="1576">
      <c r="A1576" t="inlineStr">
        <is>
          <t>2026-04-22</t>
        </is>
      </c>
      <c r="B1576" t="n">
        <v>86400</v>
      </c>
      <c r="C1576" s="5">
        <f>(B1576-B1575)/B1575</f>
        <v/>
      </c>
      <c r="D1576" t="n">
        <v>1857.3</v>
      </c>
      <c r="E1576" s="5">
        <f>(D1576-D1575)/D1575</f>
        <v/>
      </c>
    </row>
    <row r="1577">
      <c r="A1577" t="inlineStr">
        <is>
          <t>2026-04-23</t>
        </is>
      </c>
      <c r="B1577" t="n">
        <v>84500</v>
      </c>
      <c r="C1577" s="5">
        <f>(B1577-B1576)/B1576</f>
        <v/>
      </c>
      <c r="D1577" t="n">
        <v>1870.36</v>
      </c>
      <c r="E1577" s="5">
        <f>(D1577-D1576)/D1576</f>
        <v/>
      </c>
    </row>
    <row r="1578">
      <c r="A1578" t="inlineStr">
        <is>
          <t>2026-04-24</t>
        </is>
      </c>
      <c r="B1578" t="n">
        <v>83500</v>
      </c>
      <c r="C1578" s="5">
        <f>(B1578-B1577)/B1577</f>
        <v/>
      </c>
      <c r="D1578" t="n">
        <v>1853.29</v>
      </c>
      <c r="E1578" s="5">
        <f>(D1578-D1577)/D1577</f>
        <v/>
      </c>
    </row>
    <row r="1579">
      <c r="A1579" t="inlineStr">
        <is>
          <t>2026-04-28</t>
        </is>
      </c>
      <c r="B1579" t="n">
        <v>85600</v>
      </c>
      <c r="C1579" s="5">
        <f>(B1579-B1578)/B1578</f>
        <v/>
      </c>
      <c r="D1579" t="n">
        <v>1875.84</v>
      </c>
      <c r="E1579" s="5">
        <f>(D1579-D1578)/D1578</f>
        <v/>
      </c>
    </row>
    <row r="1580">
      <c r="A1580" t="inlineStr">
        <is>
          <t>2026-04-29</t>
        </is>
      </c>
      <c r="B1580" t="n">
        <v>84000</v>
      </c>
      <c r="C1580" s="5">
        <f>(B1580-B1579)/B1579</f>
        <v/>
      </c>
      <c r="D1580" t="n">
        <v>1854.1</v>
      </c>
      <c r="E1580" s="5">
        <f>(D1580-D1579)/D1579</f>
        <v/>
      </c>
    </row>
    <row r="1581">
      <c r="A1581" t="inlineStr">
        <is>
          <t>2026-05-04</t>
        </is>
      </c>
      <c r="B1581" t="n">
        <v>84900</v>
      </c>
      <c r="C1581" s="5">
        <f>(B1581-B1580)/B1580</f>
        <v/>
      </c>
      <c r="D1581" t="n">
        <v>1854.06</v>
      </c>
      <c r="E1581" s="5">
        <f>(D1581-D1580)/D1580</f>
        <v/>
      </c>
    </row>
    <row r="1582">
      <c r="A1582" t="inlineStr">
        <is>
          <t>2026-05-05</t>
        </is>
      </c>
      <c r="B1582" t="n">
        <v>84800</v>
      </c>
      <c r="C1582" s="5">
        <f>(B1582-B1581)/B1581</f>
        <v/>
      </c>
      <c r="D1582" t="n">
        <v>1874.85</v>
      </c>
      <c r="E1582" s="5">
        <f>(D1582-D1581)/D1581</f>
        <v/>
      </c>
    </row>
    <row r="1583">
      <c r="A1583" t="inlineStr">
        <is>
          <t>2026-05-06</t>
        </is>
      </c>
      <c r="B1583" t="n">
        <v>86000</v>
      </c>
      <c r="C1583" s="5">
        <f>(B1583-B1582)/B1582</f>
        <v/>
      </c>
      <c r="D1583" t="n">
        <v>1891.2</v>
      </c>
      <c r="E1583" s="5">
        <f>(D1583-D1582)/D1582</f>
        <v/>
      </c>
    </row>
    <row r="1584">
      <c r="A1584" t="inlineStr">
        <is>
          <t>2026-05-07</t>
        </is>
      </c>
      <c r="B1584" t="n">
        <v>86000</v>
      </c>
      <c r="C1584" s="5">
        <f>(B1584-B1583)/B1583</f>
        <v/>
      </c>
      <c r="D1584" t="n">
        <v>1909.01</v>
      </c>
      <c r="E1584" s="5">
        <f>(D1584-D1583)/D1583</f>
        <v/>
      </c>
    </row>
    <row r="1585">
      <c r="A1585" t="inlineStr">
        <is>
          <t>2026-05-08</t>
        </is>
      </c>
      <c r="B1585" t="n">
        <v>84600</v>
      </c>
      <c r="C1585" s="5">
        <f>(B1585-B1584)/B1584</f>
        <v/>
      </c>
      <c r="D1585" t="n">
        <v>1915.37</v>
      </c>
      <c r="E1585" s="5">
        <f>(D1585-D1584)/D1584</f>
        <v/>
      </c>
    </row>
    <row r="1586">
      <c r="A1586" t="inlineStr">
        <is>
          <t>2026-05-11</t>
        </is>
      </c>
      <c r="B1586" t="n">
        <v>83500</v>
      </c>
      <c r="C1586" s="5">
        <f>(B1586-B1585)/B1585</f>
        <v/>
      </c>
      <c r="D1586" t="n">
        <v>1895.5</v>
      </c>
      <c r="E1586" s="5">
        <f>(D1586-D1585)/D1585</f>
        <v/>
      </c>
    </row>
    <row r="1587">
      <c r="A1587" t="inlineStr">
        <is>
          <t>2026-05-12</t>
        </is>
      </c>
      <c r="B1587" t="n">
        <v>83800</v>
      </c>
      <c r="C1587" s="5">
        <f>(B1587-B1586)/B1586</f>
        <v/>
      </c>
      <c r="D1587" t="n">
        <v>1901.1</v>
      </c>
      <c r="E1587" s="5">
        <f>(D1587-D1586)/D1586</f>
        <v/>
      </c>
    </row>
    <row r="1588">
      <c r="A1588" t="inlineStr">
        <is>
          <t>2026-05-13</t>
        </is>
      </c>
      <c r="B1588" t="n">
        <v>83700</v>
      </c>
      <c r="C1588" s="5">
        <f>(B1588-B1587)/B1587</f>
        <v/>
      </c>
      <c r="D1588" t="n">
        <v>1898.37</v>
      </c>
      <c r="E1588" s="5">
        <f>(D1588-D1587)/D1587</f>
        <v/>
      </c>
    </row>
    <row r="1589">
      <c r="A1589" t="inlineStr">
        <is>
          <t>2026-05-14</t>
        </is>
      </c>
      <c r="B1589" t="n">
        <v>84200</v>
      </c>
      <c r="C1589" s="5">
        <f>(B1589-B1588)/B1588</f>
        <v/>
      </c>
      <c r="D1589" t="n">
        <v>1925.46</v>
      </c>
      <c r="E1589" s="5">
        <f>(D1589-D1588)/D1588</f>
        <v/>
      </c>
    </row>
    <row r="1590">
      <c r="A1590" t="inlineStr">
        <is>
          <t>2026-05-15</t>
        </is>
      </c>
      <c r="B1590" t="n">
        <v>82000</v>
      </c>
      <c r="C1590" s="5">
        <f>(B1590-B1589)/B1589</f>
        <v/>
      </c>
      <c r="D1590" t="n">
        <v>1921.6</v>
      </c>
      <c r="E1590" s="5">
        <f>(D1590-D1589)/D1589</f>
        <v/>
      </c>
    </row>
    <row r="1591">
      <c r="A1591" t="inlineStr">
        <is>
          <t>2026-05-18</t>
        </is>
      </c>
      <c r="B1591" t="n">
        <v>79000</v>
      </c>
      <c r="C1591" s="5">
        <f>(B1591-B1590)/B1590</f>
        <v/>
      </c>
      <c r="D1591" t="n">
        <v>1927.94</v>
      </c>
      <c r="E1591" s="5">
        <f>(D1591-D1590)/D1590</f>
        <v/>
      </c>
    </row>
    <row r="1592">
      <c r="A1592" t="inlineStr">
        <is>
          <t>2026-05-19</t>
        </is>
      </c>
      <c r="B1592" t="n">
        <v>78200</v>
      </c>
      <c r="C1592" s="5">
        <f>(B1592-B1591)/B1591</f>
        <v/>
      </c>
      <c r="D1592" t="n">
        <v>1912.93</v>
      </c>
      <c r="E1592" s="5">
        <f>(D1592-D1591)/D1591</f>
        <v/>
      </c>
    </row>
    <row r="1593">
      <c r="A1593" t="inlineStr">
        <is>
          <t>2026-05-20</t>
        </is>
      </c>
      <c r="B1593" t="n">
        <v>77200</v>
      </c>
      <c r="C1593" s="5">
        <f>(B1593-B1592)/B1592</f>
        <v/>
      </c>
      <c r="D1593" t="n">
        <v>1913.23</v>
      </c>
      <c r="E1593" s="5">
        <f>(D1593-D1592)/D1592</f>
        <v/>
      </c>
    </row>
    <row r="1594">
      <c r="A1594" t="inlineStr">
        <is>
          <t>2026-05-21</t>
        </is>
      </c>
      <c r="B1594" t="n">
        <v>79500</v>
      </c>
      <c r="C1594" s="5">
        <f>(B1594-B1593)/B1593</f>
        <v/>
      </c>
      <c r="D1594" t="n">
        <v>1896.89</v>
      </c>
      <c r="E1594" s="5">
        <f>(D1594-D1593)/D1593</f>
        <v/>
      </c>
    </row>
    <row r="1595">
      <c r="A1595" t="inlineStr">
        <is>
          <t>2026-05-22</t>
        </is>
      </c>
      <c r="B1595" t="n">
        <v>79400</v>
      </c>
      <c r="C1595" s="5">
        <f>(B1595-B1594)/B1594</f>
        <v/>
      </c>
      <c r="D1595" t="n">
        <v>1877.13</v>
      </c>
      <c r="E1595" s="5">
        <f>(D1595-D1594)/D1594</f>
        <v/>
      </c>
    </row>
    <row r="1596">
      <c r="A1596" t="inlineStr">
        <is>
          <t>2026-05-25</t>
        </is>
      </c>
      <c r="B1596" t="n">
        <v>78700</v>
      </c>
      <c r="C1596" s="5">
        <f>(B1596-B1595)/B1595</f>
        <v/>
      </c>
      <c r="D1596" t="n">
        <v>1886.03</v>
      </c>
      <c r="E1596" s="5">
        <f>(D1596-D1595)/D1595</f>
        <v/>
      </c>
    </row>
    <row r="1597">
      <c r="A1597" t="inlineStr">
        <is>
          <t>2026-05-26</t>
        </is>
      </c>
      <c r="B1597" t="n">
        <v>78500</v>
      </c>
      <c r="C1597" s="5">
        <f>(B1597-B1596)/B1596</f>
        <v/>
      </c>
      <c r="D1597" t="n">
        <v>1884.18</v>
      </c>
      <c r="E1597" s="5">
        <f>(D1597-D1596)/D1596</f>
        <v/>
      </c>
    </row>
    <row r="1598">
      <c r="A1598" t="inlineStr">
        <is>
          <t>2026-05-27</t>
        </is>
      </c>
      <c r="B1598" t="n">
        <v>80000</v>
      </c>
      <c r="C1598" s="5">
        <f>(B1598-B1597)/B1597</f>
        <v/>
      </c>
      <c r="D1598" t="n">
        <v>1874.43</v>
      </c>
      <c r="E1598" s="5">
        <f>(D1598-D1597)/D1597</f>
        <v/>
      </c>
    </row>
    <row r="1599">
      <c r="A1599" t="inlineStr">
        <is>
          <t>2026-05-28</t>
        </is>
      </c>
      <c r="B1599" t="n">
        <v>77700</v>
      </c>
      <c r="C1599" s="5">
        <f>(B1599-B1598)/B1598</f>
        <v/>
      </c>
      <c r="D1599" t="n">
        <v>1863.67</v>
      </c>
      <c r="E1599" s="5">
        <f>(D1599-D1598)/D1598</f>
        <v/>
      </c>
    </row>
    <row r="1600">
      <c r="A1600" t="inlineStr">
        <is>
          <t>2026-05-29</t>
        </is>
      </c>
      <c r="B1600" t="n">
        <v>76300</v>
      </c>
      <c r="C1600" s="5">
        <f>(B1600-B1599)/B1599</f>
        <v/>
      </c>
      <c r="D1600" t="n">
        <v>1863.49</v>
      </c>
      <c r="E1600" s="5">
        <f>(D1600-D1599)/D1599</f>
        <v/>
      </c>
    </row>
    <row r="1601">
      <c r="A1601" t="inlineStr">
        <is>
          <t>2026-06-01</t>
        </is>
      </c>
      <c r="B1601" t="n">
        <v>79100</v>
      </c>
      <c r="C1601" s="5">
        <f>(B1601-B1600)/B1600</f>
        <v/>
      </c>
      <c r="D1601" t="n">
        <v>1844.54</v>
      </c>
      <c r="E1601" s="5">
        <f>(D1601-D1600)/D1600</f>
        <v/>
      </c>
    </row>
    <row r="1602">
      <c r="A1602" t="inlineStr">
        <is>
          <t>2026-06-02</t>
        </is>
      </c>
      <c r="B1602" t="n">
        <v>77900</v>
      </c>
      <c r="C1602" s="5">
        <f>(B1602-B1601)/B1601</f>
        <v/>
      </c>
      <c r="D1602" t="n">
        <v>1826.47</v>
      </c>
      <c r="E1602" s="5">
        <f>(D1602-D1601)/D1601</f>
        <v/>
      </c>
    </row>
    <row r="1603">
      <c r="A1603" t="inlineStr">
        <is>
          <t>2026-06-03</t>
        </is>
      </c>
      <c r="B1603" t="n">
        <v>78500</v>
      </c>
      <c r="C1603" s="5">
        <f>(B1603-B1602)/B1602</f>
        <v/>
      </c>
      <c r="D1603" t="n">
        <v>1819.01</v>
      </c>
      <c r="E1603" s="5">
        <f>(D1603-D1602)/D1602</f>
        <v/>
      </c>
    </row>
    <row r="1604">
      <c r="A1604" t="inlineStr">
        <is>
          <t>2026-06-04</t>
        </is>
      </c>
      <c r="B1604" t="n">
        <v>78400</v>
      </c>
      <c r="C1604" s="5">
        <f>(B1604-B1603)/B1603</f>
        <v/>
      </c>
      <c r="D1604" t="n">
        <v>1831.55</v>
      </c>
      <c r="E1604" s="5">
        <f>(D1604-D1603)/D1603</f>
        <v/>
      </c>
    </row>
    <row r="1605">
      <c r="A1605" t="inlineStr">
        <is>
          <t>2026-06-05</t>
        </is>
      </c>
      <c r="B1605" t="n">
        <v>78000</v>
      </c>
      <c r="C1605" s="5">
        <f>(B1605-B1604)/B1604</f>
        <v/>
      </c>
      <c r="D1605" t="n">
        <v>1838.9</v>
      </c>
      <c r="E1605" s="5">
        <f>(D1605-D1604)/D1604</f>
        <v/>
      </c>
    </row>
    <row r="1606">
      <c r="A1606" t="inlineStr">
        <is>
          <t>2026-06-08</t>
        </is>
      </c>
      <c r="B1606" t="n">
        <v>76400</v>
      </c>
      <c r="C1606" s="5">
        <f>(B1606-B1605)/B1605</f>
        <v/>
      </c>
      <c r="D1606" t="n">
        <v>1790.53</v>
      </c>
      <c r="E1606" s="5">
        <f>(D1606-D1605)/D1605</f>
        <v/>
      </c>
    </row>
    <row r="1607">
      <c r="A1607" t="inlineStr">
        <is>
          <t>2026-06-09</t>
        </is>
      </c>
      <c r="B1607" t="n">
        <v>77400</v>
      </c>
      <c r="C1607" s="5">
        <f>(B1607-B1606)/B1606</f>
        <v/>
      </c>
      <c r="D1607" t="n">
        <v>1793.05</v>
      </c>
      <c r="E1607" s="5">
        <f>(D1607-D1606)/D1606</f>
        <v/>
      </c>
    </row>
    <row r="1608">
      <c r="A1608" t="inlineStr">
        <is>
          <t>2026-06-10</t>
        </is>
      </c>
      <c r="B1608" t="n">
        <v>78200</v>
      </c>
      <c r="C1608" s="5">
        <f>(B1608-B1607)/B1607</f>
        <v/>
      </c>
      <c r="D1608" t="n">
        <v>1803.71</v>
      </c>
      <c r="E1608" s="5">
        <f>(D1608-D1607)/D1607</f>
        <v/>
      </c>
    </row>
    <row r="1609">
      <c r="A1609" t="inlineStr">
        <is>
          <t>2026-06-11</t>
        </is>
      </c>
      <c r="B1609" t="n">
        <v>76900</v>
      </c>
      <c r="C1609" s="5">
        <f>(B1609-B1608)/B1608</f>
        <v/>
      </c>
      <c r="D1609" t="n">
        <v>1798.61</v>
      </c>
      <c r="E1609" s="5">
        <f>(D1609-D1608)/D1608</f>
        <v/>
      </c>
    </row>
    <row r="1610">
      <c r="A1610" t="inlineStr">
        <is>
          <t>2026-06-12</t>
        </is>
      </c>
      <c r="B1610" t="n">
        <v>76400</v>
      </c>
      <c r="C1610" s="5">
        <f>(B1610-B1609)/B1609</f>
        <v/>
      </c>
      <c r="D1610" t="n">
        <v>1791.65</v>
      </c>
      <c r="E1610" s="5">
        <f>(D1610-D1609)/D1609</f>
        <v/>
      </c>
    </row>
    <row r="1611">
      <c r="A1611" t="inlineStr">
        <is>
          <t>2026-06-15</t>
        </is>
      </c>
      <c r="B1611" t="n">
        <v>79400</v>
      </c>
      <c r="C1611" s="5">
        <f>(B1611-B1610)/B1610</f>
        <v/>
      </c>
      <c r="D1611" t="n">
        <v>1799.31</v>
      </c>
      <c r="E1611" s="5">
        <f>(D1611-D1610)/D1610</f>
        <v/>
      </c>
    </row>
    <row r="1612">
      <c r="A1612" t="inlineStr">
        <is>
          <t>2026-06-16</t>
        </is>
      </c>
      <c r="B1612" t="n">
        <v>79400</v>
      </c>
      <c r="C1612" s="5">
        <f>(B1612-B1611)/B1611</f>
        <v/>
      </c>
      <c r="D1612" t="n">
        <v>1807.94</v>
      </c>
      <c r="E1612" s="5">
        <f>(D1612-D1611)/D1611</f>
        <v/>
      </c>
    </row>
    <row r="1613">
      <c r="A1613" t="inlineStr">
        <is>
          <t>2026-06-17</t>
        </is>
      </c>
      <c r="B1613" t="n">
        <v>79100</v>
      </c>
      <c r="C1613" s="5">
        <f>(B1613-B1612)/B1612</f>
        <v/>
      </c>
      <c r="D1613" t="n">
        <v>1806.2</v>
      </c>
      <c r="E1613" s="5">
        <f>(D1613-D1612)/D1612</f>
        <v/>
      </c>
    </row>
    <row r="1614">
      <c r="A1614" t="inlineStr">
        <is>
          <t>2026-06-18</t>
        </is>
      </c>
      <c r="B1614" t="n">
        <v>78700</v>
      </c>
      <c r="C1614" s="5">
        <f>(B1614-B1613)/B1613</f>
        <v/>
      </c>
      <c r="D1614" t="n">
        <v>1830.47</v>
      </c>
      <c r="E1614" s="5">
        <f>(D1614-D1613)/D1613</f>
        <v/>
      </c>
    </row>
    <row r="1615">
      <c r="A1615" t="inlineStr">
        <is>
          <t>2026-06-19</t>
        </is>
      </c>
      <c r="B1615" t="n">
        <v>78000</v>
      </c>
      <c r="C1615" s="5">
        <f>(B1615-B1614)/B1614</f>
        <v/>
      </c>
      <c r="D1615" t="n">
        <v>1824.53</v>
      </c>
      <c r="E1615" s="5">
        <f>(D1615-D1614)/D1614</f>
        <v/>
      </c>
    </row>
    <row r="1616">
      <c r="A1616" t="inlineStr">
        <is>
          <t>2026-06-22</t>
        </is>
      </c>
      <c r="B1616" t="n">
        <v>77200</v>
      </c>
      <c r="C1616" s="5">
        <f>(B1616-B1615)/B1615</f>
        <v/>
      </c>
      <c r="D1616" t="n">
        <v>1857.91</v>
      </c>
      <c r="E1616" s="5">
        <f>(D1616-D1615)/D1615</f>
        <v/>
      </c>
    </row>
    <row r="1617">
      <c r="A1617" t="inlineStr">
        <is>
          <t>2026-06-23</t>
        </is>
      </c>
      <c r="B1617" t="n">
        <v>76000</v>
      </c>
      <c r="C1617" s="5">
        <f>(B1617-B1616)/B1616</f>
        <v/>
      </c>
      <c r="D1617" t="n">
        <v>1869.04</v>
      </c>
      <c r="E1617" s="5">
        <f>(D1617-D1616)/D1616</f>
        <v/>
      </c>
    </row>
    <row r="1618">
      <c r="A1618" t="inlineStr">
        <is>
          <t>2026-06-24</t>
        </is>
      </c>
      <c r="B1618" t="n">
        <v>77800</v>
      </c>
      <c r="C1618" s="5">
        <f>(B1618-B1617)/B1617</f>
        <v/>
      </c>
      <c r="D1618" t="n">
        <v>1878.02</v>
      </c>
      <c r="E1618" s="5">
        <f>(D1618-D1617)/D1617</f>
        <v/>
      </c>
    </row>
    <row r="1619">
      <c r="A1619" t="inlineStr">
        <is>
          <t>2026-06-25</t>
        </is>
      </c>
      <c r="B1619" t="n">
        <v>77200</v>
      </c>
      <c r="C1619" s="5">
        <f>(B1619-B1618)/B1618</f>
        <v/>
      </c>
      <c r="D1619" t="n">
        <v>1863.07</v>
      </c>
      <c r="E1619" s="5">
        <f>(D1619-D1618)/D1618</f>
        <v/>
      </c>
    </row>
    <row r="1620">
      <c r="A1620" t="inlineStr">
        <is>
          <t>2026-06-26</t>
        </is>
      </c>
      <c r="B1620" t="n">
        <v>78500</v>
      </c>
      <c r="C1620" s="5">
        <f>(B1620-B1619)/B1619</f>
        <v/>
      </c>
      <c r="D1620" t="n">
        <v>1871.91</v>
      </c>
      <c r="E1620" s="5">
        <f>(D1620-D1619)/D1619</f>
        <v/>
      </c>
    </row>
    <row r="1621">
      <c r="A1621" t="inlineStr">
        <is>
          <t>2026-06-29</t>
        </is>
      </c>
      <c r="B1621" t="n">
        <v>79000</v>
      </c>
      <c r="C1621" s="5">
        <f>(B1621-B1620)/B1620</f>
        <v/>
      </c>
      <c r="D1621" t="n">
        <v>1854.97</v>
      </c>
      <c r="E1621" s="5">
        <f>(D1621-D1620)/D1620</f>
        <v/>
      </c>
    </row>
    <row r="1622">
      <c r="A1622" t="inlineStr">
        <is>
          <t>2026-06-30</t>
        </is>
      </c>
      <c r="B1622" t="n">
        <v>78100</v>
      </c>
      <c r="C1622" s="5">
        <f>(B1622-B1621)/B1621</f>
        <v/>
      </c>
      <c r="D1622" t="n">
        <v>1860.01</v>
      </c>
      <c r="E1622" s="5">
        <f>(D1622-D1621)/D1621</f>
        <v/>
      </c>
    </row>
    <row r="1623">
      <c r="A1623" t="inlineStr">
        <is>
          <t>2026-07-01</t>
        </is>
      </c>
      <c r="B1623" t="n">
        <v>80000</v>
      </c>
      <c r="C1623" s="5">
        <f>(B1623-B1622)/B1622</f>
        <v/>
      </c>
      <c r="D1623" t="n">
        <v>1867.21</v>
      </c>
      <c r="E1623" s="5">
        <f>(D1623-D1622)/D1622</f>
        <v/>
      </c>
    </row>
    <row r="1624">
      <c r="A1624" t="inlineStr">
        <is>
          <t>2026-07-02</t>
        </is>
      </c>
      <c r="B1624" t="n">
        <v>79700</v>
      </c>
      <c r="C1624" s="5">
        <f>(B1624-B1623)/B1623</f>
        <v/>
      </c>
      <c r="D1624" t="n">
        <v>1866.35</v>
      </c>
      <c r="E1624" s="5">
        <f>(D1624-D1623)/D1623</f>
        <v/>
      </c>
    </row>
    <row r="1625">
      <c r="A1625" t="inlineStr">
        <is>
          <t>2026-07-03</t>
        </is>
      </c>
      <c r="B1625" t="n">
        <v>78900</v>
      </c>
      <c r="C1625" s="5">
        <f>(B1625-B1624)/B1624</f>
        <v/>
      </c>
      <c r="D1625" t="n">
        <v>1862.08</v>
      </c>
      <c r="E1625" s="5">
        <f>(D1625-D1624)/D1624</f>
        <v/>
      </c>
    </row>
    <row r="1626">
      <c r="A1626" t="inlineStr">
        <is>
          <t>2026-07-06</t>
        </is>
      </c>
      <c r="B1626" t="n">
        <v>78000</v>
      </c>
      <c r="C1626" s="5">
        <f>(B1626-B1625)/B1625</f>
        <v/>
      </c>
      <c r="D1626" t="n">
        <v>1843.5</v>
      </c>
      <c r="E1626" s="5">
        <f>(D1626-D1625)/D1625</f>
        <v/>
      </c>
    </row>
    <row r="1627">
      <c r="A1627" t="inlineStr">
        <is>
          <t>2026-07-07</t>
        </is>
      </c>
      <c r="B1627" t="n">
        <v>77500</v>
      </c>
      <c r="C1627" s="5">
        <f>(B1627-B1626)/B1626</f>
        <v/>
      </c>
      <c r="D1627" t="n">
        <v>1848.25</v>
      </c>
      <c r="E1627" s="5">
        <f>(D1627-D1626)/D1626</f>
        <v/>
      </c>
    </row>
    <row r="1628">
      <c r="A1628" t="inlineStr">
        <is>
          <t>2026-07-08</t>
        </is>
      </c>
      <c r="B1628" t="n">
        <v>78800</v>
      </c>
      <c r="C1628" s="5">
        <f>(B1628-B1627)/B1627</f>
        <v/>
      </c>
      <c r="D1628" t="n">
        <v>1853.7</v>
      </c>
      <c r="E1628" s="5">
        <f>(D1628-D1627)/D1627</f>
        <v/>
      </c>
    </row>
    <row r="1629">
      <c r="A1629" t="inlineStr">
        <is>
          <t>2026-07-09</t>
        </is>
      </c>
      <c r="B1629" t="n">
        <v>78500</v>
      </c>
      <c r="C1629" s="5">
        <f>(B1629-B1628)/B1628</f>
        <v/>
      </c>
      <c r="D1629" t="n">
        <v>1840.7</v>
      </c>
      <c r="E1629" s="5">
        <f>(D1629-D1628)/D1628</f>
        <v/>
      </c>
    </row>
    <row r="1630">
      <c r="A1630" t="inlineStr">
        <is>
          <t>2026-07-10</t>
        </is>
      </c>
      <c r="B1630" t="n">
        <v>76600</v>
      </c>
      <c r="C1630" s="5">
        <f>(B1630-B1629)/B1629</f>
        <v/>
      </c>
      <c r="D1630" t="n">
        <v>1828.34</v>
      </c>
      <c r="E1630" s="5">
        <f>(D1630-D1629)/D1629</f>
        <v/>
      </c>
    </row>
    <row r="1631">
      <c r="A1631" t="inlineStr">
        <is>
          <t>2026-07-13</t>
        </is>
      </c>
      <c r="B1631" t="n">
        <v>76000</v>
      </c>
      <c r="C1631" s="5">
        <f>(B1631-B1630)/B1630</f>
        <v/>
      </c>
      <c r="D1631" t="n">
        <v>1800.54</v>
      </c>
      <c r="E1631" s="5">
        <f>(D1631-D1630)/D1630</f>
        <v/>
      </c>
    </row>
    <row r="1632">
      <c r="A1632" t="inlineStr">
        <is>
          <t>2026-07-14</t>
        </is>
      </c>
      <c r="B1632" t="n">
        <v>76800</v>
      </c>
      <c r="C1632" s="5">
        <f>(B1632-B1631)/B1631</f>
        <v/>
      </c>
      <c r="D1632" t="n">
        <v>1806.63</v>
      </c>
      <c r="E1632" s="5">
        <f>(D1632-D1631)/D1631</f>
        <v/>
      </c>
    </row>
    <row r="1633">
      <c r="A1633" t="inlineStr">
        <is>
          <t>2026-07-15</t>
        </is>
      </c>
      <c r="B1633" t="n">
        <v>76200</v>
      </c>
      <c r="C1633" s="5">
        <f>(B1633-B1632)/B1632</f>
        <v/>
      </c>
      <c r="D1633" t="n">
        <v>1782.12</v>
      </c>
      <c r="E1633" s="5">
        <f>(D1633-D1632)/D1632</f>
        <v/>
      </c>
    </row>
    <row r="1634">
      <c r="A1634" t="inlineStr">
        <is>
          <t>2026-07-16</t>
        </is>
      </c>
      <c r="B1634" t="n">
        <v>76700</v>
      </c>
      <c r="C1634" s="5">
        <f>(B1634-B1633)/B1633</f>
        <v/>
      </c>
      <c r="D1634" t="n">
        <v>1804.24</v>
      </c>
      <c r="E1634" s="5">
        <f>(D1634-D1633)/D1633</f>
        <v/>
      </c>
    </row>
    <row r="1635">
      <c r="A1635" t="inlineStr">
        <is>
          <t>2026-07-17</t>
        </is>
      </c>
      <c r="B1635" t="n">
        <v>76700</v>
      </c>
      <c r="C1635" s="5">
        <f>(B1635-B1634)/B1634</f>
        <v/>
      </c>
      <c r="D1635" t="n">
        <v>1787.45</v>
      </c>
      <c r="E1635" s="5">
        <f>(D1635-D1634)/D1634</f>
        <v/>
      </c>
    </row>
    <row r="1636">
      <c r="A1636" t="inlineStr">
        <is>
          <t>2026-07-20</t>
        </is>
      </c>
      <c r="B1636" t="n">
        <v>75200</v>
      </c>
      <c r="C1636" s="5">
        <f>(B1636-B1635)/B1635</f>
        <v/>
      </c>
      <c r="D1636" t="n">
        <v>1743.51</v>
      </c>
      <c r="E1636" s="5">
        <f>(D1636-D1635)/D1635</f>
        <v/>
      </c>
    </row>
    <row r="1637">
      <c r="A1637" t="inlineStr">
        <is>
          <t>2026-07-21</t>
        </is>
      </c>
      <c r="B1637" t="n">
        <v>75000</v>
      </c>
      <c r="C1637" s="5">
        <f>(B1637-B1636)/B1636</f>
        <v/>
      </c>
      <c r="D1637" t="n">
        <v>1735.33</v>
      </c>
      <c r="E1637" s="5">
        <f>(D1637-D1636)/D1636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6" t="inlineStr">
        <is>
          <t>CHI PHÍ VỐN CSH (COE) — MÔ HÌNH CAPM</t>
        </is>
      </c>
    </row>
    <row r="3">
      <c r="A3" s="4" t="inlineStr">
        <is>
          <t>Tham số</t>
        </is>
      </c>
      <c r="B3" s="4" t="inlineStr">
        <is>
          <t>Giá trị</t>
        </is>
      </c>
      <c r="C3" s="4" t="inlineStr">
        <is>
          <t>Ghi chú / Nguồn</t>
        </is>
      </c>
    </row>
    <row r="4">
      <c r="A4" s="7" t="inlineStr">
        <is>
          <t>Rf — Lãi suất phi rủi ro (TPCP 10 năm)</t>
        </is>
      </c>
      <c r="B4" s="8" t="n">
        <v>0.045</v>
      </c>
      <c r="C4" s="7" t="inlineStr">
        <is>
          <t>Cache lần chạy trước (2026-07-15 14:49)</t>
        </is>
      </c>
    </row>
    <row r="5">
      <c r="A5" s="7" t="inlineStr">
        <is>
          <t>β — Hệ số Beta (Blume-adjusted)</t>
        </is>
      </c>
      <c r="B5" s="9">
        <f>'00_Beta'!E1</f>
        <v/>
      </c>
      <c r="C5" s="7" t="inlineStr">
        <is>
          <t>Tu tinh toan (1633 phien)</t>
        </is>
      </c>
    </row>
    <row r="6">
      <c r="A6" s="7" t="inlineStr">
        <is>
          <t>ERP — Phần bù rủi ro vốn (Damodaran)</t>
        </is>
      </c>
      <c r="B6" s="8" t="n">
        <v>0.07000000000000001</v>
      </c>
      <c r="C6" s="7" t="n"/>
    </row>
    <row r="7">
      <c r="A7" s="7" t="inlineStr">
        <is>
          <t>α — Phần bù rủi ro đặc thù (Frontier-market retail)</t>
        </is>
      </c>
      <c r="B7" s="8" t="n">
        <v>0.015</v>
      </c>
      <c r="C7" s="7" t="n"/>
    </row>
    <row r="8">
      <c r="A8" s="7" t="n"/>
      <c r="B8" s="7" t="n"/>
      <c r="C8" s="7" t="n"/>
    </row>
    <row r="9">
      <c r="A9" s="10" t="inlineStr">
        <is>
          <t>COE = Rf + β×ERP + α</t>
        </is>
      </c>
      <c r="B9" s="11">
        <f>B4+B5*B6+B7</f>
        <v/>
      </c>
      <c r="C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2" customHeight="1">
      <c r="A1" s="12" t="inlineStr">
        <is>
          <t>PHÂN TÍCH CỔ PHIẾU MWG — CTCP Đầu tư Thế Giới Di Động</t>
        </is>
      </c>
    </row>
    <row r="2">
      <c r="A2" s="10" t="inlineStr">
        <is>
          <t>Ticker</t>
        </is>
      </c>
      <c r="B2" s="13" t="inlineStr">
        <is>
          <t>MWG</t>
        </is>
      </c>
    </row>
    <row r="3">
      <c r="A3" s="10" t="inlineStr">
        <is>
          <t>Sàn</t>
        </is>
      </c>
      <c r="B3" s="13" t="inlineStr">
        <is>
          <t>HOSE</t>
        </is>
      </c>
    </row>
    <row r="4">
      <c r="A4" s="10" t="inlineStr">
        <is>
          <t>Ngành</t>
        </is>
      </c>
      <c r="B4" s="13" t="inlineStr">
        <is>
          <t>Bán lẻ</t>
        </is>
      </c>
    </row>
    <row r="5">
      <c r="A5" s="10" t="inlineStr">
        <is>
          <t>Giá hiện tại (VND)</t>
        </is>
      </c>
      <c r="B5" s="14">
        <f>'02_Assumptions'!B2</f>
        <v/>
      </c>
    </row>
    <row r="6">
      <c r="A6" s="10" t="inlineStr">
        <is>
          <t>Số CP lưu hành (triệu)</t>
        </is>
      </c>
      <c r="B6" s="14">
        <f>'02_Assumptions'!B3</f>
        <v/>
      </c>
    </row>
    <row r="7">
      <c r="A7" s="10" t="inlineStr">
        <is>
          <t>Vốn hóa (tỷ VND)</t>
        </is>
      </c>
      <c r="B7" s="14">
        <f>'02_Assumptions'!B4</f>
        <v/>
      </c>
    </row>
    <row r="8">
      <c r="A8" s="10" t="inlineStr">
        <is>
          <t>P/E TTM (x)</t>
        </is>
      </c>
      <c r="B8" s="15" t="n">
        <v>15.7</v>
      </c>
    </row>
    <row r="9">
      <c r="A9" s="10" t="inlineStr">
        <is>
          <t>P/B (x)</t>
        </is>
      </c>
      <c r="B9" s="16" t="n">
        <v>3.33</v>
      </c>
    </row>
    <row r="10">
      <c r="A10" s="10" t="inlineStr">
        <is>
          <t>EPS TTM (VND)</t>
        </is>
      </c>
      <c r="B10" s="14" t="n">
        <v>4785</v>
      </c>
    </row>
    <row r="11">
      <c r="A11" s="10" t="inlineStr">
        <is>
          <t>BVPS (VND)</t>
        </is>
      </c>
      <c r="B11" s="14" t="n">
        <v>22569</v>
      </c>
    </row>
    <row r="12">
      <c r="A12" s="10" t="inlineStr">
        <is>
          <t>Kế hoạch DT 2026 (tỷ)</t>
        </is>
      </c>
      <c r="B12" s="14" t="n">
        <v>185000</v>
      </c>
    </row>
    <row r="13">
      <c r="A13" s="10" t="inlineStr">
        <is>
          <t>Kế hoạch LNST 2026 (tỷ)</t>
        </is>
      </c>
      <c r="B13" s="14" t="n">
        <v>9200</v>
      </c>
    </row>
    <row r="14">
      <c r="A14" s="10" t="inlineStr">
        <is>
          <t>Khuyến nghị</t>
        </is>
      </c>
      <c r="B14" s="17">
        <f>IF('07_Valuation'!C13&gt;0.15,"MUA",IF('07_Valuation'!C13&lt;-0.05,"BÁN","THEO DÕI"))</f>
        <v/>
      </c>
    </row>
    <row r="15">
      <c r="A15" s="10" t="inlineStr">
        <is>
          <t>Giá mục tiêu (VND)</t>
        </is>
      </c>
      <c r="B15" s="14">
        <f>'07_Valuation'!C11</f>
        <v/>
      </c>
    </row>
    <row r="16">
      <c r="A16" s="10" t="inlineStr">
        <is>
          <t>Upside/Downside</t>
        </is>
      </c>
      <c r="B16" s="18">
        <f>'07_Valuation'!C13</f>
        <v/>
      </c>
    </row>
    <row r="17">
      <c r="A17" s="10" t="inlineStr">
        <is>
          <t>Ngày phân tích</t>
        </is>
      </c>
      <c r="B17" s="13" t="inlineStr">
        <is>
          <t>21/07/2026 06:30</t>
        </is>
      </c>
    </row>
    <row r="19">
      <c r="A19" s="1" t="inlineStr">
        <is>
          <t>4 PHƯƠNG PHÁP ĐỊNH GIÁ (trọng số theo skill ban-le, đã bỏ P/S+P/B)</t>
        </is>
      </c>
    </row>
    <row r="20">
      <c r="A20" s="19" t="inlineStr">
        <is>
          <t>P/E Median (20%)</t>
        </is>
      </c>
      <c r="B20" s="14">
        <f>'07_Valuation'!C6</f>
        <v/>
      </c>
    </row>
    <row r="21">
      <c r="A21" s="19" t="inlineStr">
        <is>
          <t>P/B Median (20%)</t>
        </is>
      </c>
      <c r="B21" s="14">
        <f>'07_Valuation'!C7</f>
        <v/>
      </c>
    </row>
    <row r="22">
      <c r="A22" s="19" t="inlineStr">
        <is>
          <t>Residual Income (10%)</t>
        </is>
      </c>
      <c r="B22" s="14">
        <f>'07_Valuation'!C8</f>
        <v/>
      </c>
    </row>
    <row r="23">
      <c r="A23" s="19" t="inlineStr">
        <is>
          <t>P/S + P/E theo mảng, cả 4 mảng (35%)</t>
        </is>
      </c>
      <c r="B23" s="14">
        <f>'07_Valuation'!C9</f>
        <v/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20" t="inlineStr">
        <is>
          <t>Giả định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9" t="inlineStr">
        <is>
          <t>Giá cổ phiếu hiện tại (VND)</t>
        </is>
      </c>
      <c r="B2" s="21" t="n">
        <v>75200</v>
      </c>
      <c r="C2" s="22" t="inlineStr">
        <is>
          <t>Giá đóng cửa gần nhất (Vietcap)</t>
        </is>
      </c>
    </row>
    <row r="3">
      <c r="A3" s="19" t="inlineStr">
        <is>
          <t>Số CP lưu hành (triệu CP)</t>
        </is>
      </c>
      <c r="B3" s="21" t="n">
        <v>1470</v>
      </c>
      <c r="C3" s="22" t="inlineStr">
        <is>
          <t>Vốn góp/mệnh giá 10,000đ</t>
        </is>
      </c>
    </row>
    <row r="4">
      <c r="A4" s="19" t="inlineStr">
        <is>
          <t>Vốn hóa (tỷ VND)</t>
        </is>
      </c>
      <c r="B4" s="21">
        <f>B2*B3/1000</f>
        <v/>
      </c>
      <c r="C4" s="22" t="inlineStr">
        <is>
          <t>Giá x SL CP (không phải công thức, chỉ là ghi chú)</t>
        </is>
      </c>
    </row>
    <row r="6">
      <c r="A6" s="1" t="inlineStr">
        <is>
          <t>SỐ CỬA HÀNG CUỐI KỲ (cửa hàng)</t>
        </is>
      </c>
    </row>
    <row r="7">
      <c r="A7" s="19" t="inlineStr">
        <is>
          <t>TGDĐ (gồm Topzone)</t>
        </is>
      </c>
      <c r="B7" s="21" t="n"/>
      <c r="C7" s="21" t="n"/>
      <c r="D7" s="21" t="n"/>
      <c r="E7" s="21" t="n"/>
      <c r="F7" s="21" t="n"/>
      <c r="G7" s="21" t="n">
        <v>998</v>
      </c>
      <c r="H7" s="21" t="n">
        <v>988</v>
      </c>
      <c r="I7" s="21" t="n">
        <v>978</v>
      </c>
      <c r="J7" s="22" t="inlineStr">
        <is>
          <t>IR MWG; dự phóng: xu hướng tái cơ cấu -1%/năm</t>
        </is>
      </c>
    </row>
    <row r="8">
      <c r="A8" s="19" t="inlineStr">
        <is>
          <t>ĐMX (gồm ĐMS)</t>
        </is>
      </c>
      <c r="B8" s="21" t="n"/>
      <c r="C8" s="21" t="n"/>
      <c r="D8" s="21" t="n"/>
      <c r="E8" s="21" t="n"/>
      <c r="F8" s="21" t="n"/>
      <c r="G8" s="21" t="n">
        <v>2005</v>
      </c>
      <c r="H8" s="21" t="n">
        <v>2005</v>
      </c>
      <c r="I8" s="21" t="n">
        <v>2005</v>
      </c>
      <c r="J8" s="22" t="inlineStr">
        <is>
          <t>Dự phóng: đi ngang (bão hòa)</t>
        </is>
      </c>
    </row>
    <row r="9">
      <c r="A9" s="19" t="inlineStr">
        <is>
          <t>BHX</t>
        </is>
      </c>
      <c r="B9" s="21" t="n"/>
      <c r="C9" s="21" t="n"/>
      <c r="D9" s="21" t="n"/>
      <c r="E9" s="21" t="n"/>
      <c r="F9" s="21" t="n"/>
      <c r="G9" s="21" t="n">
        <v>3559</v>
      </c>
      <c r="H9" s="21" t="n">
        <v>4259</v>
      </c>
      <c r="I9" s="21" t="n">
        <v>4759</v>
      </c>
      <c r="J9" s="22" t="inlineStr">
        <is>
          <t>Dự phóng: +1000/+700/+500 theo kế hoạch IR</t>
        </is>
      </c>
    </row>
    <row r="10">
      <c r="A10" s="19" t="inlineStr">
        <is>
          <t>Khác (An Khang+AvaKids+EraBlue)</t>
        </is>
      </c>
      <c r="B10" s="21" t="n"/>
      <c r="C10" s="21" t="n"/>
      <c r="D10" s="21" t="n"/>
      <c r="E10" s="21" t="n"/>
      <c r="F10" s="21" t="n"/>
      <c r="G10" s="21" t="n">
        <v>810</v>
      </c>
      <c r="H10" s="21" t="n">
        <v>910</v>
      </c>
      <c r="I10" s="21" t="n">
        <v>1010</v>
      </c>
      <c r="J10" s="22" t="inlineStr">
        <is>
          <t>EraBlue mục tiêu &gt;300 CH 2026 (IR)</t>
        </is>
      </c>
    </row>
    <row r="12">
      <c r="A12" s="1" t="inlineStr">
        <is>
          <t>HIỆU QUẢ DT/CH/THÁNG HIỆN TẠI (tỷ VND, lag 3 tháng)</t>
        </is>
      </c>
    </row>
    <row r="13">
      <c r="A13" s="19" t="inlineStr">
        <is>
          <t xml:space="preserve">  TGDD</t>
        </is>
      </c>
      <c r="B13" s="23" t="n">
        <v>3.642</v>
      </c>
      <c r="C13" s="22" t="inlineStr">
        <is>
          <t>DT 5T2026/5/số CH lag 3 tháng (skill ban-le mục 2)</t>
        </is>
      </c>
    </row>
    <row r="14">
      <c r="A14" s="19" t="inlineStr">
        <is>
          <t xml:space="preserve">  DMX</t>
        </is>
      </c>
      <c r="B14" s="23" t="n">
        <v>3.759</v>
      </c>
      <c r="C14" s="22" t="inlineStr">
        <is>
          <t>DT 5T2026/5/số CH lag 3 tháng (skill ban-le mục 2)</t>
        </is>
      </c>
    </row>
    <row r="15">
      <c r="A15" s="19" t="inlineStr">
        <is>
          <t xml:space="preserve">  BHX</t>
        </is>
      </c>
      <c r="B15" s="23" t="n">
        <v>1.54</v>
      </c>
      <c r="C15" s="22" t="inlineStr">
        <is>
          <t>DT 5T2026/5/số CH lag 3 tháng (skill ban-le mục 2)</t>
        </is>
      </c>
    </row>
    <row r="16">
      <c r="A16" s="19" t="inlineStr">
        <is>
          <t xml:space="preserve">  Khac</t>
        </is>
      </c>
      <c r="B16" s="23" t="n">
        <v>0.52</v>
      </c>
      <c r="C16" s="22" t="inlineStr">
        <is>
          <t>DT 5T2026/5/số CH lag 3 tháng (skill ban-le mục 2)</t>
        </is>
      </c>
    </row>
    <row r="17">
      <c r="A17" s="19" t="inlineStr">
        <is>
          <t xml:space="preserve">  Tăng trưởng hiệu quả/CH TGDD (%/năm)</t>
        </is>
      </c>
      <c r="B17" s="24" t="n">
        <v>0</v>
      </c>
      <c r="C17" s="22" t="inlineStr">
        <is>
          <t>Giả định có căn cứ — xem comment code</t>
        </is>
      </c>
    </row>
    <row r="18">
      <c r="A18" s="19" t="inlineStr">
        <is>
          <t xml:space="preserve">  Tăng trưởng hiệu quả/CH DMX (%/năm)</t>
        </is>
      </c>
      <c r="B18" s="24" t="n">
        <v>0.03</v>
      </c>
      <c r="C18" s="22" t="inlineStr">
        <is>
          <t>Giả định có căn cứ — xem comment code</t>
        </is>
      </c>
    </row>
    <row r="19">
      <c r="A19" s="19" t="inlineStr">
        <is>
          <t xml:space="preserve">  Tăng trưởng hiệu quả/CH BHX (%/năm)</t>
        </is>
      </c>
      <c r="B19" s="24" t="n">
        <v>0.08</v>
      </c>
      <c r="C19" s="22" t="inlineStr">
        <is>
          <t>Giả định có căn cứ — xem comment code</t>
        </is>
      </c>
    </row>
    <row r="20">
      <c r="A20" s="19" t="inlineStr">
        <is>
          <t xml:space="preserve">  Tăng trưởng hiệu quả/CH Khac (%/năm)</t>
        </is>
      </c>
      <c r="B20" s="24" t="n">
        <v>0.05</v>
      </c>
      <c r="C20" s="22" t="inlineStr">
        <is>
          <t>Giả định có căn cứ — xem comment code</t>
        </is>
      </c>
    </row>
    <row r="22">
      <c r="A22" s="1" t="inlineStr">
        <is>
          <t>BIÊN LỢI NHUẬN &amp; CHI PHÍ</t>
        </is>
      </c>
    </row>
    <row r="23">
      <c r="A23" s="19" t="inlineStr">
        <is>
          <t>Biên lợi nhuận gộp (%)</t>
        </is>
      </c>
      <c r="B23" s="24" t="n">
        <v>0.2247</v>
      </c>
      <c r="C23" s="24" t="n">
        <v>0.2313</v>
      </c>
      <c r="D23" s="24" t="n">
        <v>0.1904</v>
      </c>
      <c r="E23" s="24" t="n">
        <v>0.2047</v>
      </c>
      <c r="F23" s="24" t="n">
        <v>0.1988</v>
      </c>
      <c r="G23" s="24" t="n">
        <v>0.2079</v>
      </c>
      <c r="H23" s="24" t="n">
        <v>0.2079</v>
      </c>
      <c r="I23" s="24" t="n">
        <v>0.2079</v>
      </c>
      <c r="J23" s="22" t="inlineStr">
        <is>
          <t>Dự phóng = TB 2 quý gần nhất (skill ban-le mục 4)</t>
        </is>
      </c>
    </row>
    <row r="24">
      <c r="A24" s="19" t="inlineStr">
        <is>
          <t>SG&amp;A / Doanh thu (%)</t>
        </is>
      </c>
      <c r="B24" s="24" t="n">
        <v>0.1767886784197218</v>
      </c>
      <c r="C24" s="24" t="n">
        <v>0.1815361965986232</v>
      </c>
      <c r="D24" s="24" t="n">
        <v>0.1867132003943192</v>
      </c>
      <c r="E24" s="24" t="n">
        <v>0.1742994703039722</v>
      </c>
      <c r="F24" s="24" t="n">
        <v>0.153448929346282</v>
      </c>
      <c r="G24" s="24" t="n">
        <v>0.1451</v>
      </c>
      <c r="H24" s="24" t="n">
        <v>0.1389</v>
      </c>
      <c r="I24" s="24" t="n">
        <v>0.1327</v>
      </c>
      <c r="J24" s="22" t="inlineStr">
        <is>
          <t>Dự phóng = hồi quy tuyến tính 4 quý gần nhất</t>
        </is>
      </c>
    </row>
    <row r="25">
      <c r="A25" s="19" t="inlineStr">
        <is>
          <t>Thuế suất hiệu dụng (%)</t>
        </is>
      </c>
      <c r="B25" s="24" t="n">
        <v>0.2036</v>
      </c>
      <c r="C25" s="22" t="inlineStr">
        <is>
          <t>TB 2 năm gần nhất = 1-LNST hợp nhất/LNTT (isa16)</t>
        </is>
      </c>
    </row>
    <row r="26">
      <c r="A26" s="19" t="inlineStr">
        <is>
          <t>DT/CP tài chính ròng / DT (%)</t>
        </is>
      </c>
      <c r="B26" s="24" t="n">
        <v>0.0094</v>
      </c>
      <c r="C26" s="22" t="inlineStr">
        <is>
          <t>TB 2 năm gần nhất (lãi tiền gửi ròng)</t>
        </is>
      </c>
    </row>
    <row r="27">
      <c r="A27" s="19" t="inlineStr">
        <is>
          <t>Tỷ lệ chia cổ tức tiền mặt/LNST (%)</t>
        </is>
      </c>
      <c r="B27" s="24" t="n">
        <v>0.3</v>
      </c>
      <c r="C27" s="22" t="inlineStr">
        <is>
          <t>Giả định — MWG trả cổ tức đều đặn</t>
        </is>
      </c>
    </row>
    <row r="29">
      <c r="A29" s="1" t="inlineStr">
        <is>
          <t>VÒNG QUAY VỐN LƯU ĐỘNG</t>
        </is>
      </c>
    </row>
    <row r="30">
      <c r="A30" s="19" t="inlineStr">
        <is>
          <t>DIO - Số ngày tồn kho</t>
        </is>
      </c>
      <c r="B30" s="25" t="n">
        <v>77.83002930470742</v>
      </c>
      <c r="C30" s="22" t="inlineStr">
        <is>
          <t>TB 2 năm gần nhất</t>
        </is>
      </c>
    </row>
    <row r="31">
      <c r="A31" s="19" t="inlineStr">
        <is>
          <t>DSO - Số ngày phải thu</t>
        </is>
      </c>
      <c r="B31" s="25" t="n">
        <v>23.90788309654052</v>
      </c>
      <c r="C31" s="22" t="inlineStr">
        <is>
          <t>TB 2 năm gần nhất</t>
        </is>
      </c>
    </row>
    <row r="32">
      <c r="A32" s="19" t="inlineStr">
        <is>
          <t>DPO - Số ngày phải trả</t>
        </is>
      </c>
      <c r="B32" s="25" t="n">
        <v>34.83755195104135</v>
      </c>
      <c r="C32" s="22" t="inlineStr">
        <is>
          <t>TB 2 năm gần nhất</t>
        </is>
      </c>
    </row>
    <row r="33">
      <c r="A33" s="19" t="inlineStr">
        <is>
          <t>D&amp;A / Doanh thu (%)</t>
        </is>
      </c>
      <c r="B33" s="24" t="n">
        <v>0.01690665711957976</v>
      </c>
      <c r="C33" s="22" t="inlineStr">
        <is>
          <t>TB 2 năm gần nhất</t>
        </is>
      </c>
    </row>
    <row r="34">
      <c r="A34" s="19" t="inlineStr">
        <is>
          <t>CAPEX / Doanh thu (%)</t>
        </is>
      </c>
      <c r="B34" s="24" t="n">
        <v>0.003979400368363287</v>
      </c>
      <c r="C34" s="22" t="inlineStr">
        <is>
          <t>TB 2 năm gần nhất</t>
        </is>
      </c>
    </row>
    <row r="35">
      <c r="A35" s="19" t="inlineStr">
        <is>
          <t>Tăng trưởng Nợ vay YoY (%)</t>
        </is>
      </c>
      <c r="B35" s="24" t="n">
        <v>0.09171298209667178</v>
      </c>
      <c r="C35" s="22" t="inlineStr">
        <is>
          <t>TB 2 năm gần nhất</t>
        </is>
      </c>
    </row>
    <row r="36">
      <c r="A36" s="19" t="inlineStr">
        <is>
          <t>Tăng trưởng Tiền mặt YoY (%)</t>
        </is>
      </c>
      <c r="B36" s="24" t="n">
        <v>0.2720478504983457</v>
      </c>
      <c r="C36" s="22" t="inlineStr">
        <is>
          <t>TB 2 năm gần nhất</t>
        </is>
      </c>
    </row>
    <row r="38">
      <c r="A38" s="1" t="inlineStr">
        <is>
          <t>ĐỊNH GIÁ</t>
        </is>
      </c>
    </row>
    <row r="39">
      <c r="A39" s="19" t="inlineStr">
        <is>
          <t>P/E Median lịch sử (x)</t>
        </is>
      </c>
      <c r="B39" s="26">
        <f>'13_PE_PB_History'!B36</f>
        <v/>
      </c>
      <c r="C39" s="22" t="inlineStr">
        <is>
          <t>Xem đầy đủ 33 quý + công thức MEDIAN tại sheet 13_PE_PB_History</t>
        </is>
      </c>
    </row>
    <row r="40">
      <c r="A40" s="19" t="inlineStr">
        <is>
          <t>P/B Median lịch sử (x)</t>
        </is>
      </c>
      <c r="B40" s="26">
        <f>'13_PE_PB_History'!C36</f>
        <v/>
      </c>
      <c r="C40" s="22" t="inlineStr">
        <is>
          <t>Xem đầy đủ 33 quý + công thức MEDIAN tại sheet 13_PE_PB_History</t>
        </is>
      </c>
    </row>
    <row r="41">
      <c r="A41" s="19" t="inlineStr">
        <is>
          <t>Beta (Blume-adjusted)</t>
        </is>
      </c>
      <c r="B41" s="27" t="n">
        <v>1.0821</v>
      </c>
      <c r="C41" s="22" t="inlineStr">
        <is>
          <t>Beta thô 1.1226 (Tu tinh toan (1633 phien))</t>
        </is>
      </c>
    </row>
    <row r="42">
      <c r="A42" s="19" t="inlineStr">
        <is>
          <t>Lãi suất phi rủi ro Rf (%)</t>
        </is>
      </c>
      <c r="B42" s="28" t="n">
        <v>0.045</v>
      </c>
      <c r="C42" s="22" t="inlineStr">
        <is>
          <t>Nguồn: Cache lần chạy trước (2026-07-15 14:49)</t>
        </is>
      </c>
    </row>
    <row r="43">
      <c r="A43" s="19" t="inlineStr">
        <is>
          <t>Equity Risk Premium (%)</t>
        </is>
      </c>
      <c r="B43" s="28" t="n">
        <v>0.07000000000000001</v>
      </c>
      <c r="C43" s="22" t="inlineStr">
        <is>
          <t>Damodaran ERP</t>
        </is>
      </c>
    </row>
    <row r="44">
      <c r="A44" s="19" t="inlineStr">
        <is>
          <t>Premium rủi ro đặc thù (%)</t>
        </is>
      </c>
      <c r="B44" s="28" t="n">
        <v>0.015</v>
      </c>
      <c r="C44" s="22" t="inlineStr">
        <is>
          <t>Frontier-market retail risk premium</t>
        </is>
      </c>
    </row>
    <row r="45">
      <c r="A45" s="19" t="inlineStr">
        <is>
          <t>Chi phí vốn CSH COE (%)</t>
        </is>
      </c>
      <c r="B45" s="24">
        <f>'00_COE'!B9</f>
        <v/>
      </c>
      <c r="C45" s="22" t="inlineStr">
        <is>
          <t>Xem chi tiết CAPM tại sheet 00_COE/00_Beta</t>
        </is>
      </c>
    </row>
    <row r="46">
      <c r="A46" s="19" t="inlineStr">
        <is>
          <t>Tăng trưởng dài hạn g (%)</t>
        </is>
      </c>
      <c r="B46" s="24" t="n">
        <v>0.03</v>
      </c>
      <c r="C46" s="22" t="inlineStr">
        <is>
          <t>Giả định terminal growth RI</t>
        </is>
      </c>
    </row>
    <row r="47">
      <c r="A47" s="19" t="inlineStr">
        <is>
          <t>Trọng số P/E Median (%)</t>
        </is>
      </c>
      <c r="B47" s="24" t="n">
        <v>0.25</v>
      </c>
      <c r="C47" s="22" t="inlineStr">
        <is>
          <t>Chốt với user 2026-07 (skill ban-le)</t>
        </is>
      </c>
    </row>
    <row r="48">
      <c r="A48" s="19" t="inlineStr">
        <is>
          <t>Trọng số P/B Median (%)</t>
        </is>
      </c>
      <c r="B48" s="24" t="n">
        <v>0.3</v>
      </c>
      <c r="C48" s="22" t="inlineStr"/>
    </row>
    <row r="49">
      <c r="A49" s="19" t="inlineStr">
        <is>
          <t>Trọng số RI cả công ty (%)</t>
        </is>
      </c>
      <c r="B49" s="24" t="n">
        <v>0.1</v>
      </c>
      <c r="C49" s="22" t="inlineStr"/>
    </row>
    <row r="50">
      <c r="A50" s="19" t="inlineStr">
        <is>
          <t>Trọng số P/S+P/E theo mảng (cả 4 mảng) (%)</t>
        </is>
      </c>
      <c r="B50" s="24" t="n">
        <v>0.35</v>
      </c>
      <c r="C50" s="22" t="inlineStr">
        <is>
          <t>Đã gộp 35%+15% cũ (bỏ P/S+P/B)</t>
        </is>
      </c>
    </row>
    <row r="52">
      <c r="A52" s="1" t="inlineStr">
        <is>
          <t>KQKD LŨY KẾ THỰC TẾ 1 QUÝ ĐÃ CÓ NĂM 2026 (tỷ VND)</t>
        </is>
      </c>
    </row>
    <row r="53">
      <c r="A53" s="19" t="inlineStr">
        <is>
          <t>Số quý đã có KQKD thực tế</t>
        </is>
      </c>
      <c r="B53" s="29" t="n">
        <v>1</v>
      </c>
      <c r="C53" s="22" t="inlineStr">
        <is>
          <t>Quý mới nhất công bố</t>
        </is>
      </c>
    </row>
    <row r="54">
      <c r="A54" s="19" t="inlineStr">
        <is>
          <t>Doanh thu thuần lũy kế thực tế</t>
        </is>
      </c>
      <c r="B54" s="21" t="n">
        <v>46462</v>
      </c>
      <c r="C54" s="22" t="inlineStr">
        <is>
          <t>BCTC quý</t>
        </is>
      </c>
    </row>
    <row r="55">
      <c r="A55" s="19" t="inlineStr">
        <is>
          <t>Giá vốn lũy kế thực tế</t>
        </is>
      </c>
      <c r="B55" s="21" t="n">
        <v>-36751.9</v>
      </c>
      <c r="C55" s="22" t="inlineStr">
        <is>
          <t>BCTC quý (âm, khớp quy ước dòng Giá vốn)</t>
        </is>
      </c>
    </row>
    <row r="56">
      <c r="A56" s="19" t="inlineStr">
        <is>
          <t>CP bán hàng+QLDN lũy kế thực tế</t>
        </is>
      </c>
      <c r="B56" s="21" t="n">
        <v>-6808.1</v>
      </c>
      <c r="C56" s="22" t="inlineStr">
        <is>
          <t>BCTC quý (âm, khớp quy ước dòng CP bán hàng)</t>
        </is>
      </c>
    </row>
    <row r="57">
      <c r="A57" s="19" t="inlineStr">
        <is>
          <t>DT/CP tài chính ròng lũy kế thực tế</t>
        </is>
      </c>
      <c r="B57" s="21" t="n">
        <v>436.1</v>
      </c>
      <c r="C57" s="22" t="inlineStr">
        <is>
          <t>BCTC quý</t>
        </is>
      </c>
    </row>
    <row r="58">
      <c r="A58" s="19" t="inlineStr">
        <is>
          <t>LNTT lũy kế thực tế</t>
        </is>
      </c>
      <c r="B58" s="21" t="n">
        <v>3327.6</v>
      </c>
      <c r="C58" s="22" t="inlineStr">
        <is>
          <t>BCTC quý</t>
        </is>
      </c>
    </row>
    <row r="59">
      <c r="A59" s="19" t="inlineStr">
        <is>
          <t>Thuế TNDN lũy kế thực tế</t>
        </is>
      </c>
      <c r="B59" s="21" t="n">
        <v>570</v>
      </c>
      <c r="C59" s="22" t="inlineStr">
        <is>
          <t>LNTT trừ LNST hợp nhất thực tế</t>
        </is>
      </c>
    </row>
    <row r="60">
      <c r="A60" s="19" t="inlineStr">
        <is>
          <t>LNST hợp nhất lũy kế thực tế</t>
        </is>
      </c>
      <c r="B60" s="21" t="n">
        <v>2757.6</v>
      </c>
      <c r="C60" s="22" t="inlineStr">
        <is>
          <t>BCTC quý</t>
        </is>
      </c>
    </row>
    <row r="61">
      <c r="A61" s="19" t="inlineStr">
        <is>
          <t>LNST Cổ đông mẹ lũy kế thực tế</t>
        </is>
      </c>
      <c r="B61" s="21" t="n">
        <v>2714.4</v>
      </c>
      <c r="C61" s="22" t="inlineStr">
        <is>
          <t>BCTC quý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13" customWidth="1" min="92" max="92"/>
    <col width="13" customWidth="1" min="93" max="93"/>
    <col width="13" customWidth="1" min="94" max="94"/>
    <col width="40" customWidth="1" min="95" max="95"/>
  </cols>
  <sheetData>
    <row r="1">
      <c r="A1" s="20" t="inlineStr">
        <is>
          <t>Chỉ tiêu</t>
        </is>
      </c>
      <c r="B1" s="20" t="inlineStr">
        <is>
          <t>T1-19</t>
        </is>
      </c>
      <c r="C1" s="20" t="inlineStr">
        <is>
          <t>T2-19</t>
        </is>
      </c>
      <c r="D1" s="20" t="inlineStr">
        <is>
          <t>T3-19</t>
        </is>
      </c>
      <c r="E1" s="20" t="inlineStr">
        <is>
          <t>T4-19</t>
        </is>
      </c>
      <c r="F1" s="20" t="inlineStr">
        <is>
          <t>T5-19</t>
        </is>
      </c>
      <c r="G1" s="20" t="inlineStr">
        <is>
          <t>T6-19</t>
        </is>
      </c>
      <c r="H1" s="20" t="inlineStr">
        <is>
          <t>T7-19</t>
        </is>
      </c>
      <c r="I1" s="20" t="inlineStr">
        <is>
          <t>T8-19</t>
        </is>
      </c>
      <c r="J1" s="20" t="inlineStr">
        <is>
          <t>T9-19</t>
        </is>
      </c>
      <c r="K1" s="20" t="inlineStr">
        <is>
          <t>T10-19</t>
        </is>
      </c>
      <c r="L1" s="20" t="inlineStr">
        <is>
          <t>T11-19</t>
        </is>
      </c>
      <c r="M1" s="20" t="inlineStr">
        <is>
          <t>T12-19</t>
        </is>
      </c>
      <c r="N1" s="20" t="inlineStr">
        <is>
          <t>T1-20</t>
        </is>
      </c>
      <c r="O1" s="20" t="inlineStr">
        <is>
          <t>T2-20</t>
        </is>
      </c>
      <c r="P1" s="20" t="inlineStr">
        <is>
          <t>T3-20</t>
        </is>
      </c>
      <c r="Q1" s="20" t="inlineStr">
        <is>
          <t>T4-20</t>
        </is>
      </c>
      <c r="R1" s="20" t="inlineStr">
        <is>
          <t>T5-20</t>
        </is>
      </c>
      <c r="S1" s="20" t="inlineStr">
        <is>
          <t>T6-20</t>
        </is>
      </c>
      <c r="T1" s="20" t="inlineStr">
        <is>
          <t>T7-20</t>
        </is>
      </c>
      <c r="U1" s="20" t="inlineStr">
        <is>
          <t>T8-20</t>
        </is>
      </c>
      <c r="V1" s="20" t="inlineStr">
        <is>
          <t>T9-20</t>
        </is>
      </c>
      <c r="W1" s="20" t="inlineStr">
        <is>
          <t>T10-20</t>
        </is>
      </c>
      <c r="X1" s="20" t="inlineStr">
        <is>
          <t>T11-20</t>
        </is>
      </c>
      <c r="Y1" s="20" t="inlineStr">
        <is>
          <t>T12-20</t>
        </is>
      </c>
      <c r="Z1" s="20" t="inlineStr">
        <is>
          <t>T1-21</t>
        </is>
      </c>
      <c r="AA1" s="20" t="inlineStr">
        <is>
          <t>T2-21</t>
        </is>
      </c>
      <c r="AB1" s="20" t="inlineStr">
        <is>
          <t>T3-21</t>
        </is>
      </c>
      <c r="AC1" s="20" t="inlineStr">
        <is>
          <t>T4-21</t>
        </is>
      </c>
      <c r="AD1" s="20" t="inlineStr">
        <is>
          <t>T5-21</t>
        </is>
      </c>
      <c r="AE1" s="20" t="inlineStr">
        <is>
          <t>T6-21</t>
        </is>
      </c>
      <c r="AF1" s="20" t="inlineStr">
        <is>
          <t>T7-21</t>
        </is>
      </c>
      <c r="AG1" s="20" t="inlineStr">
        <is>
          <t>T8-21</t>
        </is>
      </c>
      <c r="AH1" s="20" t="inlineStr">
        <is>
          <t>T9-21</t>
        </is>
      </c>
      <c r="AI1" s="20" t="inlineStr">
        <is>
          <t>T10-21</t>
        </is>
      </c>
      <c r="AJ1" s="20" t="inlineStr">
        <is>
          <t>T11-21</t>
        </is>
      </c>
      <c r="AK1" s="20" t="inlineStr">
        <is>
          <t>T12-21</t>
        </is>
      </c>
      <c r="AL1" s="20" t="inlineStr">
        <is>
          <t>T1-22</t>
        </is>
      </c>
      <c r="AM1" s="20" t="inlineStr">
        <is>
          <t>T2-22</t>
        </is>
      </c>
      <c r="AN1" s="20" t="inlineStr">
        <is>
          <t>T3-22</t>
        </is>
      </c>
      <c r="AO1" s="20" t="inlineStr">
        <is>
          <t>T4-22</t>
        </is>
      </c>
      <c r="AP1" s="20" t="inlineStr">
        <is>
          <t>T5-22</t>
        </is>
      </c>
      <c r="AQ1" s="20" t="inlineStr">
        <is>
          <t>T6-22</t>
        </is>
      </c>
      <c r="AR1" s="20" t="inlineStr">
        <is>
          <t>T7-22</t>
        </is>
      </c>
      <c r="AS1" s="20" t="inlineStr">
        <is>
          <t>T8-22</t>
        </is>
      </c>
      <c r="AT1" s="20" t="inlineStr">
        <is>
          <t>T9-22</t>
        </is>
      </c>
      <c r="AU1" s="20" t="inlineStr">
        <is>
          <t>T10-22</t>
        </is>
      </c>
      <c r="AV1" s="20" t="inlineStr">
        <is>
          <t>T11-22</t>
        </is>
      </c>
      <c r="AW1" s="20" t="inlineStr">
        <is>
          <t>T12-22</t>
        </is>
      </c>
      <c r="AX1" s="20" t="inlineStr">
        <is>
          <t>T1-23</t>
        </is>
      </c>
      <c r="AY1" s="20" t="inlineStr">
        <is>
          <t>T2-23</t>
        </is>
      </c>
      <c r="AZ1" s="20" t="inlineStr">
        <is>
          <t>T3-23</t>
        </is>
      </c>
      <c r="BA1" s="20" t="inlineStr">
        <is>
          <t>T4-23</t>
        </is>
      </c>
      <c r="BB1" s="20" t="inlineStr">
        <is>
          <t>T5-23</t>
        </is>
      </c>
      <c r="BC1" s="20" t="inlineStr">
        <is>
          <t>T6-23</t>
        </is>
      </c>
      <c r="BD1" s="20" t="inlineStr">
        <is>
          <t>T7-23</t>
        </is>
      </c>
      <c r="BE1" s="20" t="inlineStr">
        <is>
          <t>T8-23</t>
        </is>
      </c>
      <c r="BF1" s="20" t="inlineStr">
        <is>
          <t>T9-23</t>
        </is>
      </c>
      <c r="BG1" s="20" t="inlineStr">
        <is>
          <t>T10-23</t>
        </is>
      </c>
      <c r="BH1" s="20" t="inlineStr">
        <is>
          <t>T11-23</t>
        </is>
      </c>
      <c r="BI1" s="20" t="inlineStr">
        <is>
          <t>T12-23</t>
        </is>
      </c>
      <c r="BJ1" s="20" t="inlineStr">
        <is>
          <t>T1-24</t>
        </is>
      </c>
      <c r="BK1" s="20" t="inlineStr">
        <is>
          <t>T2-24</t>
        </is>
      </c>
      <c r="BL1" s="20" t="inlineStr">
        <is>
          <t>T3-24</t>
        </is>
      </c>
      <c r="BM1" s="20" t="inlineStr">
        <is>
          <t>T4-24</t>
        </is>
      </c>
      <c r="BN1" s="20" t="inlineStr">
        <is>
          <t>T5-24</t>
        </is>
      </c>
      <c r="BO1" s="20" t="inlineStr">
        <is>
          <t>T6-24</t>
        </is>
      </c>
      <c r="BP1" s="20" t="inlineStr">
        <is>
          <t>T7-24</t>
        </is>
      </c>
      <c r="BQ1" s="20" t="inlineStr">
        <is>
          <t>T8-24</t>
        </is>
      </c>
      <c r="BR1" s="20" t="inlineStr">
        <is>
          <t>T9-24</t>
        </is>
      </c>
      <c r="BS1" s="20" t="inlineStr">
        <is>
          <t>T10-24</t>
        </is>
      </c>
      <c r="BT1" s="20" t="inlineStr">
        <is>
          <t>T11-24</t>
        </is>
      </c>
      <c r="BU1" s="20" t="inlineStr">
        <is>
          <t>T12-24</t>
        </is>
      </c>
      <c r="BV1" s="20" t="inlineStr">
        <is>
          <t>T1-25</t>
        </is>
      </c>
      <c r="BW1" s="20" t="inlineStr">
        <is>
          <t>T2-25</t>
        </is>
      </c>
      <c r="BX1" s="20" t="inlineStr">
        <is>
          <t>T3-25</t>
        </is>
      </c>
      <c r="BY1" s="20" t="inlineStr">
        <is>
          <t>T4-25</t>
        </is>
      </c>
      <c r="BZ1" s="20" t="inlineStr">
        <is>
          <t>T5-25</t>
        </is>
      </c>
      <c r="CA1" s="20" t="inlineStr">
        <is>
          <t>T6-25</t>
        </is>
      </c>
      <c r="CB1" s="20" t="inlineStr">
        <is>
          <t>T7-25</t>
        </is>
      </c>
      <c r="CC1" s="20" t="inlineStr">
        <is>
          <t>T8-25</t>
        </is>
      </c>
      <c r="CD1" s="20" t="inlineStr">
        <is>
          <t>T9-25</t>
        </is>
      </c>
      <c r="CE1" s="20" t="inlineStr">
        <is>
          <t>T10-25</t>
        </is>
      </c>
      <c r="CF1" s="20" t="inlineStr">
        <is>
          <t>T11-25</t>
        </is>
      </c>
      <c r="CG1" s="20" t="inlineStr">
        <is>
          <t>T12-25</t>
        </is>
      </c>
      <c r="CH1" s="20" t="inlineStr">
        <is>
          <t>T1-26</t>
        </is>
      </c>
      <c r="CI1" s="20" t="inlineStr">
        <is>
          <t>T2-26</t>
        </is>
      </c>
      <c r="CJ1" s="20" t="inlineStr">
        <is>
          <t>T3-26</t>
        </is>
      </c>
      <c r="CK1" s="20" t="inlineStr">
        <is>
          <t>T4-26</t>
        </is>
      </c>
      <c r="CL1" s="20" t="inlineStr">
        <is>
          <t>T5-26</t>
        </is>
      </c>
      <c r="CM1" s="20" t="inlineStr">
        <is>
          <t>T6-26</t>
        </is>
      </c>
      <c r="CN1" s="20" t="inlineStr">
        <is>
          <t>Ước tính 2026</t>
        </is>
      </c>
      <c r="CO1" s="20" t="inlineStr">
        <is>
          <t>Ước tính 2027</t>
        </is>
      </c>
      <c r="CP1" s="20" t="inlineStr">
        <is>
          <t>Ước tính 2028</t>
        </is>
      </c>
      <c r="CQ1" s="20" t="inlineStr">
        <is>
          <t>Ghi chú</t>
        </is>
      </c>
    </row>
    <row r="2">
      <c r="A2" s="10" t="inlineStr">
        <is>
          <t>Doanh thu tổng (tỷ VND)</t>
        </is>
      </c>
      <c r="B2" s="30" t="n">
        <v>10350</v>
      </c>
      <c r="C2" s="30" t="n">
        <v>7026</v>
      </c>
      <c r="D2" s="30" t="n">
        <v>7641</v>
      </c>
      <c r="E2" s="30" t="n">
        <v>8903.299999999999</v>
      </c>
      <c r="F2" s="30" t="n">
        <v>8903.299999999999</v>
      </c>
      <c r="G2" s="30" t="n">
        <v>8903.299999999999</v>
      </c>
      <c r="H2" s="30" t="n">
        <v>8345.299999999999</v>
      </c>
      <c r="I2" s="30" t="n">
        <v>8345.299999999999</v>
      </c>
      <c r="J2" s="30" t="n">
        <v>8345.299999999999</v>
      </c>
      <c r="K2" s="30" t="n">
        <v>8470.299999999999</v>
      </c>
      <c r="L2" s="30" t="n">
        <v>8470.299999999999</v>
      </c>
      <c r="M2" s="30" t="n">
        <v>8470.299999999999</v>
      </c>
      <c r="N2" s="30" t="n">
        <v>12560</v>
      </c>
      <c r="O2" s="30" t="n">
        <v>4836</v>
      </c>
      <c r="P2" s="30" t="n">
        <v>7621</v>
      </c>
      <c r="Q2" s="30" t="n">
        <v>9105</v>
      </c>
      <c r="R2" s="30" t="n">
        <v>8662</v>
      </c>
      <c r="S2" s="30" t="n">
        <v>8837</v>
      </c>
      <c r="T2" s="30" t="n">
        <v>9296</v>
      </c>
      <c r="U2" s="30" t="n">
        <v>12053</v>
      </c>
      <c r="V2" s="30" t="n">
        <v>3793</v>
      </c>
      <c r="W2" s="30" t="n">
        <v>7960</v>
      </c>
      <c r="X2" s="30" t="n">
        <v>8363</v>
      </c>
      <c r="Y2" s="30" t="n">
        <v>15460</v>
      </c>
      <c r="Z2" s="30" t="n">
        <v>11049</v>
      </c>
      <c r="AA2" s="30" t="n">
        <v>9492</v>
      </c>
      <c r="AB2" s="30" t="n">
        <v>8812</v>
      </c>
      <c r="AC2" s="30" t="n">
        <v>11096</v>
      </c>
      <c r="AD2" s="30" t="n">
        <v>11381</v>
      </c>
      <c r="AE2" s="30" t="n">
        <v>10657</v>
      </c>
      <c r="AF2" s="30" t="n">
        <v>9499</v>
      </c>
      <c r="AG2" s="30" t="n">
        <v>6509</v>
      </c>
      <c r="AH2" s="30" t="n">
        <v>8325</v>
      </c>
      <c r="AI2" s="30" t="n">
        <v>12186</v>
      </c>
      <c r="AJ2" s="30" t="n">
        <v>11524</v>
      </c>
      <c r="AK2" s="30" t="n">
        <v>12428</v>
      </c>
      <c r="AL2" s="30" t="n">
        <v>12691.5</v>
      </c>
      <c r="AM2" s="30" t="n">
        <v>12691.5</v>
      </c>
      <c r="AN2" s="30" t="n">
        <v>11084</v>
      </c>
      <c r="AO2" s="30" t="n">
        <v>11441</v>
      </c>
      <c r="AP2" s="30" t="n">
        <v>11416</v>
      </c>
      <c r="AQ2" s="30" t="n">
        <v>11480</v>
      </c>
      <c r="AR2" s="30" t="n">
        <v>11066</v>
      </c>
      <c r="AS2" s="30" t="n">
        <v>10413</v>
      </c>
      <c r="AT2" s="30" t="n">
        <v>10533</v>
      </c>
      <c r="AU2" s="30" t="n">
        <v>10896</v>
      </c>
      <c r="AV2" s="30" t="n">
        <v>9971</v>
      </c>
      <c r="AW2" s="30" t="n">
        <v>9362</v>
      </c>
      <c r="AX2" s="30" t="n">
        <v>9505</v>
      </c>
      <c r="AY2" s="30" t="n">
        <v>9505</v>
      </c>
      <c r="AZ2" s="30" t="n">
        <v>7980</v>
      </c>
      <c r="BA2" s="30" t="n">
        <v>9857</v>
      </c>
      <c r="BB2" s="30" t="n">
        <v>10297</v>
      </c>
      <c r="BC2" s="30" t="n">
        <v>9426</v>
      </c>
      <c r="BD2" s="30" t="n">
        <v>9920</v>
      </c>
      <c r="BE2" s="30" t="n">
        <v>9965</v>
      </c>
      <c r="BF2" s="30" t="n">
        <v>10403</v>
      </c>
      <c r="BG2" s="30" t="n">
        <v>11188</v>
      </c>
      <c r="BH2" s="30" t="n">
        <v>9908</v>
      </c>
      <c r="BI2" s="30" t="n">
        <v>10326</v>
      </c>
      <c r="BJ2" s="30" t="n">
        <v>10806.5</v>
      </c>
      <c r="BK2" s="30" t="n">
        <v>10806.5</v>
      </c>
      <c r="BL2" s="30" t="n">
        <v>9828</v>
      </c>
      <c r="BM2" s="30" t="n">
        <v>11598</v>
      </c>
      <c r="BN2" s="30" t="n">
        <v>11201</v>
      </c>
      <c r="BO2" s="30" t="n">
        <v>11381</v>
      </c>
      <c r="BP2" s="30" t="n">
        <v>10920</v>
      </c>
      <c r="BQ2" s="30" t="n">
        <v>11426</v>
      </c>
      <c r="BR2" s="30" t="n">
        <v>11800</v>
      </c>
      <c r="BS2" s="30" t="n">
        <v>11586</v>
      </c>
      <c r="BT2" s="30" t="n">
        <v>10945</v>
      </c>
      <c r="BU2" s="30" t="n">
        <v>12043</v>
      </c>
      <c r="BV2" s="30" t="n">
        <v>12262</v>
      </c>
      <c r="BW2" s="30" t="n">
        <v>12262</v>
      </c>
      <c r="BX2" s="30" t="n">
        <v>11567</v>
      </c>
      <c r="BY2" s="30" t="n">
        <v>12544</v>
      </c>
      <c r="BZ2" s="30" t="n">
        <v>12594</v>
      </c>
      <c r="CA2" s="30" t="n">
        <v>12426</v>
      </c>
      <c r="CB2" s="30" t="n">
        <v>12852</v>
      </c>
      <c r="CC2" s="30" t="n">
        <v>13294</v>
      </c>
      <c r="CD2" s="30" t="n">
        <v>13635</v>
      </c>
      <c r="CE2" s="30" t="n">
        <v>14853</v>
      </c>
      <c r="CF2" s="30" t="n">
        <v>14013</v>
      </c>
      <c r="CG2" s="30" t="n">
        <v>13864</v>
      </c>
      <c r="CH2" s="30" t="n">
        <v>16102</v>
      </c>
      <c r="CI2" s="30" t="n">
        <v>16102</v>
      </c>
      <c r="CJ2" s="30" t="n">
        <v>14304</v>
      </c>
      <c r="CK2" s="30" t="n">
        <v>15988</v>
      </c>
      <c r="CL2" s="30" t="n">
        <v>16663</v>
      </c>
      <c r="CM2" s="30" t="n">
        <v>16146</v>
      </c>
      <c r="CN2" s="31">
        <f>CN8+CN9+CN10+CN11</f>
        <v/>
      </c>
      <c r="CO2" s="31">
        <f>CO8+CO9+CO10+CO11</f>
        <v/>
      </c>
      <c r="CP2" s="31">
        <f>CP8+CP9+CP10+CP11</f>
        <v/>
      </c>
    </row>
    <row r="3">
      <c r="A3" s="19" t="inlineStr">
        <is>
          <t>%Dthu TGDD</t>
        </is>
      </c>
      <c r="B3" s="32" t="n">
        <v>0.3106</v>
      </c>
      <c r="C3" s="32" t="n">
        <v>0.3822</v>
      </c>
      <c r="D3" s="32" t="n">
        <v>0.3738</v>
      </c>
      <c r="E3" s="32" t="n">
        <v>0.319</v>
      </c>
      <c r="F3" s="32" t="n">
        <v>0.319</v>
      </c>
      <c r="G3" s="32" t="n">
        <v>0.319</v>
      </c>
      <c r="H3" s="32" t="n">
        <v>0.3309</v>
      </c>
      <c r="I3" s="32" t="n">
        <v>0.3309</v>
      </c>
      <c r="J3" s="32" t="n">
        <v>0.3309</v>
      </c>
      <c r="K3" s="32" t="n">
        <v>0.3008</v>
      </c>
      <c r="L3" s="32" t="n">
        <v>0.3008</v>
      </c>
      <c r="M3" s="32" t="n">
        <v>0.3008</v>
      </c>
      <c r="N3" s="32" t="n"/>
      <c r="O3" s="32" t="n"/>
      <c r="P3" s="32" t="n"/>
      <c r="Q3" s="32" t="n">
        <v>0.274</v>
      </c>
      <c r="R3" s="32" t="n">
        <v>0.2049</v>
      </c>
      <c r="S3" s="32" t="n">
        <v>0.272</v>
      </c>
      <c r="T3" s="32" t="n">
        <v>0.265</v>
      </c>
      <c r="U3" s="32" t="n">
        <v>0.2832</v>
      </c>
      <c r="V3" s="32" t="n">
        <v>0.3085</v>
      </c>
      <c r="W3" s="32" t="n">
        <v>0.2913</v>
      </c>
      <c r="X3" s="32" t="n">
        <v>0.272</v>
      </c>
      <c r="Y3" s="32" t="n">
        <v>0.272</v>
      </c>
      <c r="Z3" s="32" t="n">
        <v>0.272</v>
      </c>
      <c r="AA3" s="32" t="n">
        <v>0.26</v>
      </c>
      <c r="AB3" s="32" t="n">
        <v>0.2866</v>
      </c>
      <c r="AC3" s="32" t="n">
        <v>0.268</v>
      </c>
      <c r="AD3" s="32" t="n">
        <v>0.2225</v>
      </c>
      <c r="AE3" s="32" t="n">
        <v>0.2111</v>
      </c>
      <c r="AF3" s="32" t="n">
        <v>0.1666</v>
      </c>
      <c r="AG3" s="32" t="n">
        <v>0.1666</v>
      </c>
      <c r="AH3" s="32" t="n">
        <v>0.2643</v>
      </c>
      <c r="AI3" s="32" t="n">
        <v>0.2685</v>
      </c>
      <c r="AJ3" s="32" t="n">
        <v>0.2688</v>
      </c>
      <c r="AK3" s="32" t="n">
        <v>0.2688</v>
      </c>
      <c r="AL3" s="32" t="n">
        <v>0.2689</v>
      </c>
      <c r="AM3" s="32" t="n">
        <v>0.2689</v>
      </c>
      <c r="AN3" s="32" t="n">
        <v>0.2857</v>
      </c>
      <c r="AO3" s="32" t="n">
        <v>0.2644</v>
      </c>
      <c r="AP3" s="32" t="n">
        <v>0.2717</v>
      </c>
      <c r="AQ3" s="32" t="n">
        <v>0.2427</v>
      </c>
      <c r="AR3" s="32" t="n">
        <v>0.2344</v>
      </c>
      <c r="AS3" s="32" t="n">
        <v>0.2883</v>
      </c>
      <c r="AT3" s="32" t="n">
        <v>0.2372</v>
      </c>
      <c r="AU3" s="32" t="n">
        <v>0.3033</v>
      </c>
      <c r="AV3" s="32" t="n">
        <v>0.2107</v>
      </c>
      <c r="AW3" s="32" t="n">
        <v>0.2336</v>
      </c>
      <c r="AX3" s="32" t="n">
        <v>0.255</v>
      </c>
      <c r="AY3" s="32" t="n">
        <v>0.255</v>
      </c>
      <c r="AZ3" s="32" t="n">
        <v>0.2246</v>
      </c>
      <c r="BA3" s="32" t="n">
        <v>0.2236</v>
      </c>
      <c r="BB3" s="32" t="n">
        <v>0.2171</v>
      </c>
      <c r="BC3" s="32" t="n">
        <v>0.241</v>
      </c>
      <c r="BD3" s="32" t="n">
        <v>0.236</v>
      </c>
      <c r="BE3" s="32" t="n">
        <v>0.236</v>
      </c>
      <c r="BF3" s="32" t="n">
        <v>0.2527</v>
      </c>
      <c r="BG3" s="32" t="n">
        <v>0.2818</v>
      </c>
      <c r="BH3" s="32" t="n">
        <v>0.2321</v>
      </c>
      <c r="BI3" s="32" t="n">
        <v>0.2076</v>
      </c>
      <c r="BJ3" s="32" t="n">
        <v>0.212</v>
      </c>
      <c r="BK3" s="32" t="n">
        <v>0.212</v>
      </c>
      <c r="BL3" s="32" t="n">
        <v>0.2248</v>
      </c>
      <c r="BM3" s="32" t="n">
        <v>0.1826</v>
      </c>
      <c r="BN3" s="32" t="n">
        <v>0.1973</v>
      </c>
      <c r="BO3" s="32" t="n">
        <v>0.217</v>
      </c>
      <c r="BP3" s="32" t="n">
        <v>0.217</v>
      </c>
      <c r="BQ3" s="32" t="n">
        <v>0.217</v>
      </c>
      <c r="BR3" s="32" t="n">
        <v>0.217</v>
      </c>
      <c r="BS3" s="32" t="n">
        <v>0.217</v>
      </c>
      <c r="BT3" s="32" t="n">
        <v>0.217</v>
      </c>
      <c r="BU3" s="32" t="n">
        <v>0.217</v>
      </c>
      <c r="BV3" s="32" t="n">
        <v>0.217</v>
      </c>
      <c r="BW3" s="32" t="n">
        <v>0.217</v>
      </c>
      <c r="BX3" s="32" t="n">
        <v>0.226</v>
      </c>
      <c r="BY3" s="32" t="n">
        <v>0.226</v>
      </c>
      <c r="BZ3" s="32" t="n">
        <v>0.226</v>
      </c>
      <c r="CA3" s="32" t="n">
        <v>0.226</v>
      </c>
      <c r="CB3" s="32" t="n">
        <v>0.226</v>
      </c>
      <c r="CC3" s="32" t="n">
        <v>0.226</v>
      </c>
      <c r="CD3" s="32" t="n">
        <v>0.226</v>
      </c>
      <c r="CE3" s="32" t="n">
        <v>0.237</v>
      </c>
      <c r="CF3" s="32" t="n">
        <v>0.237</v>
      </c>
      <c r="CG3" s="32" t="n">
        <v>0.237</v>
      </c>
      <c r="CH3" s="32" t="n">
        <v>0.237</v>
      </c>
      <c r="CI3" s="32" t="n">
        <v>0.229</v>
      </c>
      <c r="CJ3" s="32" t="n">
        <v>0.229</v>
      </c>
      <c r="CK3" s="32" t="n">
        <v>0.229</v>
      </c>
      <c r="CL3" s="32" t="n">
        <v>0.225</v>
      </c>
      <c r="CM3" s="32" t="n">
        <v>0.225</v>
      </c>
    </row>
    <row r="4">
      <c r="A4" s="19" t="inlineStr">
        <is>
          <t>%Dthu DMX</t>
        </is>
      </c>
      <c r="B4" s="32" t="n">
        <v>0.6287</v>
      </c>
      <c r="C4" s="32" t="n">
        <v>0.5628</v>
      </c>
      <c r="D4" s="32" t="n">
        <v>0.5299</v>
      </c>
      <c r="E4" s="32" t="n">
        <v>0.5936</v>
      </c>
      <c r="F4" s="32" t="n">
        <v>0.5936</v>
      </c>
      <c r="G4" s="32" t="n">
        <v>0.5936</v>
      </c>
      <c r="H4" s="32" t="n">
        <v>0.5471</v>
      </c>
      <c r="I4" s="32" t="n">
        <v>0.5471</v>
      </c>
      <c r="J4" s="32" t="n">
        <v>0.5471</v>
      </c>
      <c r="K4" s="32" t="n">
        <v>0.5579</v>
      </c>
      <c r="L4" s="32" t="n">
        <v>0.5579</v>
      </c>
      <c r="M4" s="32" t="n">
        <v>0.5579</v>
      </c>
      <c r="N4" s="32" t="n">
        <v>0.631</v>
      </c>
      <c r="O4" s="32" t="n">
        <v>0.631</v>
      </c>
      <c r="P4" s="32" t="n">
        <v>0.631</v>
      </c>
      <c r="Q4" s="32" t="n">
        <v>0.5545</v>
      </c>
      <c r="R4" s="32" t="n">
        <v>0.6341</v>
      </c>
      <c r="S4" s="32" t="n">
        <v>0.538</v>
      </c>
      <c r="T4" s="32" t="n">
        <v>0.5600000000000001</v>
      </c>
      <c r="U4" s="32" t="n">
        <v>0.5054999999999999</v>
      </c>
      <c r="V4" s="32" t="n">
        <v>0.4093</v>
      </c>
      <c r="W4" s="32" t="n">
        <v>0.4801</v>
      </c>
      <c r="X4" s="32" t="n">
        <v>0.5046</v>
      </c>
      <c r="Y4" s="32" t="n">
        <v>0.538</v>
      </c>
      <c r="Z4" s="32" t="n">
        <v>0.538</v>
      </c>
      <c r="AA4" s="32" t="n">
        <v>0.5570000000000001</v>
      </c>
      <c r="AB4" s="32" t="n">
        <v>0.497</v>
      </c>
      <c r="AC4" s="32" t="n">
        <v>0.5135</v>
      </c>
      <c r="AD4" s="32" t="n">
        <v>0.5411</v>
      </c>
      <c r="AE4" s="32" t="n">
        <v>0.5281</v>
      </c>
      <c r="AF4" s="32" t="n">
        <v>0.5281</v>
      </c>
      <c r="AG4" s="32" t="n">
        <v>0.5281</v>
      </c>
      <c r="AH4" s="32" t="n">
        <v>0.4906</v>
      </c>
      <c r="AI4" s="32" t="n">
        <v>0.5731000000000001</v>
      </c>
      <c r="AJ4" s="32" t="n">
        <v>0.5665</v>
      </c>
      <c r="AK4" s="32" t="n">
        <v>0.5665</v>
      </c>
      <c r="AL4" s="32" t="n">
        <v>0.5703</v>
      </c>
      <c r="AM4" s="32" t="n">
        <v>0.5703</v>
      </c>
      <c r="AN4" s="32" t="n">
        <v>0.5002</v>
      </c>
      <c r="AO4" s="32" t="n">
        <v>0.5296999999999999</v>
      </c>
      <c r="AP4" s="32" t="n">
        <v>0.5444</v>
      </c>
      <c r="AQ4" s="32" t="n">
        <v>0.5049</v>
      </c>
      <c r="AR4" s="32" t="n">
        <v>0.5336</v>
      </c>
      <c r="AS4" s="32" t="n">
        <v>0.4612</v>
      </c>
      <c r="AT4" s="32" t="n">
        <v>0.4937</v>
      </c>
      <c r="AU4" s="32" t="n">
        <v>0.4866</v>
      </c>
      <c r="AV4" s="32" t="n">
        <v>0.5029</v>
      </c>
      <c r="AW4" s="32" t="n">
        <v>0.4774</v>
      </c>
      <c r="AX4" s="32" t="n">
        <v>0.51</v>
      </c>
      <c r="AY4" s="32" t="n">
        <v>0.51</v>
      </c>
      <c r="AZ4" s="32" t="n">
        <v>0.4525</v>
      </c>
      <c r="BA4" s="32" t="n">
        <v>0.5229</v>
      </c>
      <c r="BB4" s="32" t="n">
        <v>0.5239</v>
      </c>
      <c r="BC4" s="32" t="n">
        <v>0.464</v>
      </c>
      <c r="BD4" s="32" t="n">
        <v>0.4454</v>
      </c>
      <c r="BE4" s="32" t="n">
        <v>0.4526</v>
      </c>
      <c r="BF4" s="32" t="n">
        <v>0.4359</v>
      </c>
      <c r="BG4" s="32" t="n">
        <v>0.4187</v>
      </c>
      <c r="BH4" s="32" t="n">
        <v>0.4294</v>
      </c>
      <c r="BI4" s="32" t="n">
        <v>0.4461</v>
      </c>
      <c r="BJ4" s="32" t="n">
        <v>0.477</v>
      </c>
      <c r="BK4" s="32" t="n">
        <v>0.477</v>
      </c>
      <c r="BL4" s="32" t="n">
        <v>0.429</v>
      </c>
      <c r="BM4" s="32" t="n">
        <v>0.514</v>
      </c>
      <c r="BN4" s="32" t="n">
        <v>0.4663</v>
      </c>
      <c r="BO4" s="32" t="n">
        <v>0.452</v>
      </c>
      <c r="BP4" s="32" t="n">
        <v>0.452</v>
      </c>
      <c r="BQ4" s="32" t="n">
        <v>0.452</v>
      </c>
      <c r="BR4" s="32" t="n">
        <v>0.452</v>
      </c>
      <c r="BS4" s="32" t="n">
        <v>0.452</v>
      </c>
      <c r="BT4" s="32" t="n">
        <v>0.452</v>
      </c>
      <c r="BU4" s="32" t="n">
        <v>0.452</v>
      </c>
      <c r="BV4" s="32" t="n">
        <v>0.452</v>
      </c>
      <c r="BW4" s="32" t="n">
        <v>0.452</v>
      </c>
      <c r="BX4" s="32" t="n">
        <v>0.446</v>
      </c>
      <c r="BY4" s="32" t="n">
        <v>0.446</v>
      </c>
      <c r="BZ4" s="32" t="n">
        <v>0.446</v>
      </c>
      <c r="CA4" s="32" t="n">
        <v>0.446</v>
      </c>
      <c r="CB4" s="32" t="n">
        <v>0.446</v>
      </c>
      <c r="CC4" s="32" t="n">
        <v>0.446</v>
      </c>
      <c r="CD4" s="32" t="n">
        <v>0.446</v>
      </c>
      <c r="CE4" s="32" t="n">
        <v>0.44</v>
      </c>
      <c r="CF4" s="32" t="n">
        <v>0.44</v>
      </c>
      <c r="CG4" s="32" t="n">
        <v>0.44</v>
      </c>
      <c r="CH4" s="32" t="n">
        <v>0.44</v>
      </c>
      <c r="CI4" s="32" t="n">
        <v>0.464</v>
      </c>
      <c r="CJ4" s="32" t="n">
        <v>0.464</v>
      </c>
      <c r="CK4" s="32" t="n">
        <v>0.464</v>
      </c>
      <c r="CL4" s="32" t="n">
        <v>0.463</v>
      </c>
      <c r="CM4" s="32" t="n">
        <v>0.463</v>
      </c>
    </row>
    <row r="5">
      <c r="A5" s="19" t="inlineStr">
        <is>
          <t>%Dthu BHX</t>
        </is>
      </c>
      <c r="B5" s="32" t="n">
        <v>0.0607</v>
      </c>
      <c r="C5" s="32" t="n">
        <v>0.0551</v>
      </c>
      <c r="D5" s="32" t="n">
        <v>0.0963</v>
      </c>
      <c r="E5" s="32" t="n">
        <v>0.08740000000000001</v>
      </c>
      <c r="F5" s="32" t="n">
        <v>0.08740000000000001</v>
      </c>
      <c r="G5" s="32" t="n">
        <v>0.08740000000000001</v>
      </c>
      <c r="H5" s="32" t="n">
        <v>0.1219</v>
      </c>
      <c r="I5" s="32" t="n">
        <v>0.1219</v>
      </c>
      <c r="J5" s="32" t="n">
        <v>0.1219</v>
      </c>
      <c r="K5" s="32" t="n">
        <v>0.1413</v>
      </c>
      <c r="L5" s="32" t="n">
        <v>0.1413</v>
      </c>
      <c r="M5" s="32" t="n">
        <v>0.1413</v>
      </c>
      <c r="N5" s="32" t="n">
        <v>0.105</v>
      </c>
      <c r="O5" s="32" t="n">
        <v>0.1805</v>
      </c>
      <c r="P5" s="32" t="n">
        <v>0.2146</v>
      </c>
      <c r="Q5" s="32" t="n">
        <v>0.2017</v>
      </c>
      <c r="R5" s="32" t="n">
        <v>0.1611</v>
      </c>
      <c r="S5" s="32" t="n">
        <v>0.19</v>
      </c>
      <c r="T5" s="32" t="n">
        <v>0.175</v>
      </c>
      <c r="U5" s="32" t="n">
        <v>0.2113</v>
      </c>
      <c r="V5" s="32" t="n">
        <v>0.2822</v>
      </c>
      <c r="W5" s="32" t="n">
        <v>0.2286</v>
      </c>
      <c r="X5" s="32" t="n">
        <v>0.2234</v>
      </c>
      <c r="Y5" s="32" t="n">
        <v>0.19</v>
      </c>
      <c r="Z5" s="32" t="n">
        <v>0.19</v>
      </c>
      <c r="AA5" s="32" t="n">
        <v>0.183</v>
      </c>
      <c r="AB5" s="32" t="n">
        <v>0.2163</v>
      </c>
      <c r="AC5" s="32" t="n">
        <v>0.2185</v>
      </c>
      <c r="AD5" s="32" t="n">
        <v>0.2228</v>
      </c>
      <c r="AE5" s="32" t="n">
        <v>0.2578</v>
      </c>
      <c r="AF5" s="32" t="n">
        <v>0.2578</v>
      </c>
      <c r="AG5" s="32" t="n">
        <v>0.2578</v>
      </c>
      <c r="AH5" s="32" t="n">
        <v>0.2317</v>
      </c>
      <c r="AI5" s="32" t="n">
        <v>0.1625</v>
      </c>
      <c r="AJ5" s="32" t="n">
        <v>0.1521</v>
      </c>
      <c r="AK5" s="32" t="n">
        <v>0.149</v>
      </c>
      <c r="AL5" s="32" t="n">
        <v>0.1536</v>
      </c>
      <c r="AM5" s="32" t="n">
        <v>0.1536</v>
      </c>
      <c r="AN5" s="32" t="n">
        <v>0.1944</v>
      </c>
      <c r="AO5" s="32" t="n">
        <v>0.1878</v>
      </c>
      <c r="AP5" s="32" t="n">
        <v>0.1712</v>
      </c>
      <c r="AQ5" s="32" t="n">
        <v>0.2316</v>
      </c>
      <c r="AR5" s="32" t="n">
        <v>0.2158</v>
      </c>
      <c r="AS5" s="32" t="n">
        <v>0.23</v>
      </c>
      <c r="AT5" s="32" t="n">
        <v>0.2278</v>
      </c>
      <c r="AU5" s="32" t="n">
        <v>0.2112</v>
      </c>
      <c r="AV5" s="32" t="n">
        <v>0.2321</v>
      </c>
      <c r="AW5" s="32" t="n">
        <v>0.2558</v>
      </c>
      <c r="AX5" s="32" t="n">
        <v>0.217</v>
      </c>
      <c r="AY5" s="32" t="n">
        <v>0.217</v>
      </c>
      <c r="AZ5" s="32" t="n">
        <v>0.2813</v>
      </c>
      <c r="BA5" s="32" t="n">
        <v>0.2323</v>
      </c>
      <c r="BB5" s="32" t="n">
        <v>0.2396</v>
      </c>
      <c r="BC5" s="32" t="n">
        <v>0.272</v>
      </c>
      <c r="BD5" s="32" t="n">
        <v>0.2822</v>
      </c>
      <c r="BE5" s="32" t="n">
        <v>0.294</v>
      </c>
      <c r="BF5" s="32" t="n">
        <v>0.279</v>
      </c>
      <c r="BG5" s="32" t="n">
        <v>0.2745</v>
      </c>
      <c r="BH5" s="32" t="n">
        <v>0.3026</v>
      </c>
      <c r="BI5" s="32" t="n">
        <v>0.3088</v>
      </c>
      <c r="BJ5" s="32" t="n">
        <v>0.282</v>
      </c>
      <c r="BK5" s="32" t="n">
        <v>0.282</v>
      </c>
      <c r="BL5" s="32" t="n">
        <v>0.3108</v>
      </c>
      <c r="BM5" s="32" t="n">
        <v>0.2799</v>
      </c>
      <c r="BN5" s="32" t="n">
        <v>0.3074</v>
      </c>
      <c r="BO5" s="32" t="n">
        <v>0.304</v>
      </c>
      <c r="BP5" s="32" t="n">
        <v>0.304</v>
      </c>
      <c r="BQ5" s="32" t="n">
        <v>0.304</v>
      </c>
      <c r="BR5" s="32" t="n">
        <v>0.304</v>
      </c>
      <c r="BS5" s="32" t="n">
        <v>0.304</v>
      </c>
      <c r="BT5" s="32" t="n">
        <v>0.304</v>
      </c>
      <c r="BU5" s="32" t="n">
        <v>0.304</v>
      </c>
      <c r="BV5" s="32" t="n">
        <v>0.304</v>
      </c>
      <c r="BW5" s="32" t="n">
        <v>0.304</v>
      </c>
      <c r="BX5" s="32" t="n">
        <v>0.305</v>
      </c>
      <c r="BY5" s="32" t="n">
        <v>0.305</v>
      </c>
      <c r="BZ5" s="32" t="n">
        <v>0.305</v>
      </c>
      <c r="CA5" s="32" t="n">
        <v>0.305</v>
      </c>
      <c r="CB5" s="32" t="n">
        <v>0.305</v>
      </c>
      <c r="CC5" s="32" t="n">
        <v>0.305</v>
      </c>
      <c r="CD5" s="32" t="n">
        <v>0.305</v>
      </c>
      <c r="CE5" s="32" t="n">
        <v>0.3</v>
      </c>
      <c r="CF5" s="32" t="n">
        <v>0.3</v>
      </c>
      <c r="CG5" s="32" t="n">
        <v>0.3</v>
      </c>
      <c r="CH5" s="32" t="n">
        <v>0.3</v>
      </c>
      <c r="CI5" s="32" t="n">
        <v>0.287</v>
      </c>
      <c r="CJ5" s="32" t="n">
        <v>0.287</v>
      </c>
      <c r="CK5" s="32" t="n">
        <v>0.287</v>
      </c>
      <c r="CL5" s="32" t="n">
        <v>0.292</v>
      </c>
      <c r="CM5" s="32" t="n">
        <v>0.292</v>
      </c>
    </row>
    <row r="6">
      <c r="A6" s="19" t="inlineStr">
        <is>
          <t>%Dthu Khac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>
        <v>0.023</v>
      </c>
      <c r="AX6" s="32" t="n">
        <v>0.023</v>
      </c>
      <c r="AY6" s="32" t="n">
        <v>0.023</v>
      </c>
      <c r="AZ6" s="32" t="n">
        <v>0.023</v>
      </c>
      <c r="BA6" s="32" t="n">
        <v>0.023</v>
      </c>
      <c r="BB6" s="32" t="n">
        <v>0.023</v>
      </c>
      <c r="BC6" s="32" t="n">
        <v>0.023</v>
      </c>
      <c r="BD6" s="32" t="n">
        <v>0.023</v>
      </c>
      <c r="BE6" s="32" t="n">
        <v>0.023</v>
      </c>
      <c r="BF6" s="32" t="n">
        <v>0.023</v>
      </c>
      <c r="BG6" s="32" t="n">
        <v>0.023</v>
      </c>
      <c r="BH6" s="32" t="n">
        <v>0.023</v>
      </c>
      <c r="BI6" s="32" t="n">
        <v>0.023</v>
      </c>
      <c r="BJ6" s="32" t="n"/>
      <c r="BK6" s="32" t="n"/>
      <c r="BL6" s="32" t="n">
        <v>0.027</v>
      </c>
      <c r="BM6" s="32" t="n">
        <v>0.027</v>
      </c>
      <c r="BN6" s="32" t="n">
        <v>0.027</v>
      </c>
      <c r="BO6" s="32" t="n">
        <v>0.027</v>
      </c>
      <c r="BP6" s="32" t="n">
        <v>0.027</v>
      </c>
      <c r="BQ6" s="32" t="n">
        <v>0.027</v>
      </c>
      <c r="BR6" s="32" t="n">
        <v>0.027</v>
      </c>
      <c r="BS6" s="32" t="n">
        <v>0.027</v>
      </c>
      <c r="BT6" s="32" t="n">
        <v>0.027</v>
      </c>
      <c r="BU6" s="32" t="n">
        <v>0.027</v>
      </c>
      <c r="BV6" s="32" t="n">
        <v>0.027</v>
      </c>
      <c r="BW6" s="32" t="n">
        <v>0.027</v>
      </c>
      <c r="BX6" s="32" t="n">
        <v>0.023</v>
      </c>
      <c r="BY6" s="32" t="n">
        <v>0.023</v>
      </c>
      <c r="BZ6" s="32" t="n">
        <v>0.023</v>
      </c>
      <c r="CA6" s="32" t="n">
        <v>0.023</v>
      </c>
      <c r="CB6" s="32" t="n">
        <v>0.023</v>
      </c>
      <c r="CC6" s="32" t="n">
        <v>0.023</v>
      </c>
      <c r="CD6" s="32" t="n">
        <v>0.023</v>
      </c>
      <c r="CE6" s="32" t="n">
        <v>0.023</v>
      </c>
      <c r="CF6" s="32" t="n">
        <v>0.023</v>
      </c>
      <c r="CG6" s="32" t="n">
        <v>0.023</v>
      </c>
      <c r="CH6" s="32" t="n">
        <v>0.023</v>
      </c>
      <c r="CI6" s="32" t="n">
        <v>0.02</v>
      </c>
      <c r="CJ6" s="32" t="n">
        <v>0.02</v>
      </c>
      <c r="CK6" s="32" t="n">
        <v>0.02</v>
      </c>
      <c r="CL6" s="32" t="n">
        <v>0.02</v>
      </c>
      <c r="CM6" s="32" t="n">
        <v>0.02</v>
      </c>
    </row>
    <row r="8">
      <c r="A8" s="19" t="inlineStr">
        <is>
          <t>Doanh thu TGDD</t>
        </is>
      </c>
      <c r="B8" s="33">
        <f>B$2*B$3</f>
        <v/>
      </c>
      <c r="C8" s="33">
        <f>C$2*C$3</f>
        <v/>
      </c>
      <c r="D8" s="33">
        <f>D$2*D$3</f>
        <v/>
      </c>
      <c r="E8" s="33">
        <f>E$2*E$3</f>
        <v/>
      </c>
      <c r="F8" s="33">
        <f>F$2*F$3</f>
        <v/>
      </c>
      <c r="G8" s="33">
        <f>G$2*G$3</f>
        <v/>
      </c>
      <c r="H8" s="33">
        <f>H$2*H$3</f>
        <v/>
      </c>
      <c r="I8" s="33">
        <f>I$2*I$3</f>
        <v/>
      </c>
      <c r="J8" s="33">
        <f>J$2*J$3</f>
        <v/>
      </c>
      <c r="K8" s="33">
        <f>K$2*K$3</f>
        <v/>
      </c>
      <c r="L8" s="33">
        <f>L$2*L$3</f>
        <v/>
      </c>
      <c r="M8" s="33">
        <f>M$2*M$3</f>
        <v/>
      </c>
      <c r="N8" s="33" t="n"/>
      <c r="O8" s="33" t="n"/>
      <c r="P8" s="33" t="n"/>
      <c r="Q8" s="33">
        <f>Q$2*Q$3</f>
        <v/>
      </c>
      <c r="R8" s="33">
        <f>R$2*R$3</f>
        <v/>
      </c>
      <c r="S8" s="33">
        <f>S$2*S$3</f>
        <v/>
      </c>
      <c r="T8" s="33">
        <f>T$2*T$3</f>
        <v/>
      </c>
      <c r="U8" s="33">
        <f>U$2*U$3</f>
        <v/>
      </c>
      <c r="V8" s="33">
        <f>V$2*V$3</f>
        <v/>
      </c>
      <c r="W8" s="33">
        <f>W$2*W$3</f>
        <v/>
      </c>
      <c r="X8" s="33">
        <f>X$2*X$3</f>
        <v/>
      </c>
      <c r="Y8" s="33">
        <f>Y$2*Y$3</f>
        <v/>
      </c>
      <c r="Z8" s="33">
        <f>Z$2*Z$3</f>
        <v/>
      </c>
      <c r="AA8" s="33">
        <f>AA$2*AA$3</f>
        <v/>
      </c>
      <c r="AB8" s="33">
        <f>AB$2*AB$3</f>
        <v/>
      </c>
      <c r="AC8" s="33">
        <f>AC$2*AC$3</f>
        <v/>
      </c>
      <c r="AD8" s="33">
        <f>AD$2*AD$3</f>
        <v/>
      </c>
      <c r="AE8" s="33">
        <f>AE$2*AE$3</f>
        <v/>
      </c>
      <c r="AF8" s="33">
        <f>AF$2*AF$3</f>
        <v/>
      </c>
      <c r="AG8" s="33">
        <f>AG$2*AG$3</f>
        <v/>
      </c>
      <c r="AH8" s="33">
        <f>AH$2*AH$3</f>
        <v/>
      </c>
      <c r="AI8" s="33">
        <f>AI$2*AI$3</f>
        <v/>
      </c>
      <c r="AJ8" s="33">
        <f>AJ$2*AJ$3</f>
        <v/>
      </c>
      <c r="AK8" s="33">
        <f>AK$2*AK$3</f>
        <v/>
      </c>
      <c r="AL8" s="33">
        <f>AL$2*AL$3</f>
        <v/>
      </c>
      <c r="AM8" s="33">
        <f>AM$2*AM$3</f>
        <v/>
      </c>
      <c r="AN8" s="33">
        <f>AN$2*AN$3</f>
        <v/>
      </c>
      <c r="AO8" s="33">
        <f>AO$2*AO$3</f>
        <v/>
      </c>
      <c r="AP8" s="33">
        <f>AP$2*AP$3</f>
        <v/>
      </c>
      <c r="AQ8" s="33">
        <f>AQ$2*AQ$3</f>
        <v/>
      </c>
      <c r="AR8" s="33">
        <f>AR$2*AR$3</f>
        <v/>
      </c>
      <c r="AS8" s="33">
        <f>AS$2*AS$3</f>
        <v/>
      </c>
      <c r="AT8" s="33">
        <f>AT$2*AT$3</f>
        <v/>
      </c>
      <c r="AU8" s="33">
        <f>AU$2*AU$3</f>
        <v/>
      </c>
      <c r="AV8" s="33">
        <f>AV$2*AV$3</f>
        <v/>
      </c>
      <c r="AW8" s="33">
        <f>AW$2*AW$3</f>
        <v/>
      </c>
      <c r="AX8" s="33">
        <f>AX$2*AX$3</f>
        <v/>
      </c>
      <c r="AY8" s="33">
        <f>AY$2*AY$3</f>
        <v/>
      </c>
      <c r="AZ8" s="33">
        <f>AZ$2*AZ$3</f>
        <v/>
      </c>
      <c r="BA8" s="33">
        <f>BA$2*BA$3</f>
        <v/>
      </c>
      <c r="BB8" s="33">
        <f>BB$2*BB$3</f>
        <v/>
      </c>
      <c r="BC8" s="33">
        <f>BC$2*BC$3</f>
        <v/>
      </c>
      <c r="BD8" s="33">
        <f>BD$2*BD$3</f>
        <v/>
      </c>
      <c r="BE8" s="33">
        <f>BE$2*BE$3</f>
        <v/>
      </c>
      <c r="BF8" s="33">
        <f>BF$2*BF$3</f>
        <v/>
      </c>
      <c r="BG8" s="33">
        <f>BG$2*BG$3</f>
        <v/>
      </c>
      <c r="BH8" s="33">
        <f>BH$2*BH$3</f>
        <v/>
      </c>
      <c r="BI8" s="33">
        <f>BI$2*BI$3</f>
        <v/>
      </c>
      <c r="BJ8" s="33">
        <f>BJ$2*BJ$3</f>
        <v/>
      </c>
      <c r="BK8" s="33">
        <f>BK$2*BK$3</f>
        <v/>
      </c>
      <c r="BL8" s="33">
        <f>BL$2*BL$3</f>
        <v/>
      </c>
      <c r="BM8" s="33">
        <f>BM$2*BM$3</f>
        <v/>
      </c>
      <c r="BN8" s="33">
        <f>BN$2*BN$3</f>
        <v/>
      </c>
      <c r="BO8" s="33">
        <f>BO$2*BO$3</f>
        <v/>
      </c>
      <c r="BP8" s="33">
        <f>BP$2*BP$3</f>
        <v/>
      </c>
      <c r="BQ8" s="33">
        <f>BQ$2*BQ$3</f>
        <v/>
      </c>
      <c r="BR8" s="33">
        <f>BR$2*BR$3</f>
        <v/>
      </c>
      <c r="BS8" s="33">
        <f>BS$2*BS$3</f>
        <v/>
      </c>
      <c r="BT8" s="33">
        <f>BT$2*BT$3</f>
        <v/>
      </c>
      <c r="BU8" s="33">
        <f>BU$2*BU$3</f>
        <v/>
      </c>
      <c r="BV8" s="33">
        <f>BV$2*BV$3</f>
        <v/>
      </c>
      <c r="BW8" s="33">
        <f>BW$2*BW$3</f>
        <v/>
      </c>
      <c r="BX8" s="33">
        <f>BX$2*BX$3</f>
        <v/>
      </c>
      <c r="BY8" s="33">
        <f>BY$2*BY$3</f>
        <v/>
      </c>
      <c r="BZ8" s="33">
        <f>BZ$2*BZ$3</f>
        <v/>
      </c>
      <c r="CA8" s="33">
        <f>CA$2*CA$3</f>
        <v/>
      </c>
      <c r="CB8" s="33">
        <f>CB$2*CB$3</f>
        <v/>
      </c>
      <c r="CC8" s="33">
        <f>CC$2*CC$3</f>
        <v/>
      </c>
      <c r="CD8" s="33">
        <f>CD$2*CD$3</f>
        <v/>
      </c>
      <c r="CE8" s="33">
        <f>CE$2*CE$3</f>
        <v/>
      </c>
      <c r="CF8" s="33">
        <f>CF$2*CF$3</f>
        <v/>
      </c>
      <c r="CG8" s="33">
        <f>CG$2*CG$3</f>
        <v/>
      </c>
      <c r="CH8" s="33">
        <f>CH$2*CH$3</f>
        <v/>
      </c>
      <c r="CI8" s="33">
        <f>CI$2*CI$3</f>
        <v/>
      </c>
      <c r="CJ8" s="33">
        <f>CJ$2*CJ$3</f>
        <v/>
      </c>
      <c r="CK8" s="33">
        <f>CK$2*CK$3</f>
        <v/>
      </c>
      <c r="CL8" s="33">
        <f>CL$2*CL$3</f>
        <v/>
      </c>
      <c r="CM8" s="33">
        <f>CM$2*CM$3</f>
        <v/>
      </c>
      <c r="CN8" s="34">
        <f>CN13*CN18*6+(CH8+CI8+CJ8+CK8+CL8+CM8)</f>
        <v/>
      </c>
      <c r="CO8" s="34">
        <f>CO13*CO18*12</f>
        <v/>
      </c>
      <c r="CP8" s="34">
        <f>CP13*CP18*12</f>
        <v/>
      </c>
    </row>
    <row r="9">
      <c r="A9" s="19" t="inlineStr">
        <is>
          <t>Doanh thu DMX</t>
        </is>
      </c>
      <c r="B9" s="33">
        <f>B$2*B$4</f>
        <v/>
      </c>
      <c r="C9" s="33">
        <f>C$2*C$4</f>
        <v/>
      </c>
      <c r="D9" s="33">
        <f>D$2*D$4</f>
        <v/>
      </c>
      <c r="E9" s="33">
        <f>E$2*E$4</f>
        <v/>
      </c>
      <c r="F9" s="33">
        <f>F$2*F$4</f>
        <v/>
      </c>
      <c r="G9" s="33">
        <f>G$2*G$4</f>
        <v/>
      </c>
      <c r="H9" s="33">
        <f>H$2*H$4</f>
        <v/>
      </c>
      <c r="I9" s="33">
        <f>I$2*I$4</f>
        <v/>
      </c>
      <c r="J9" s="33">
        <f>J$2*J$4</f>
        <v/>
      </c>
      <c r="K9" s="33">
        <f>K$2*K$4</f>
        <v/>
      </c>
      <c r="L9" s="33">
        <f>L$2*L$4</f>
        <v/>
      </c>
      <c r="M9" s="33">
        <f>M$2*M$4</f>
        <v/>
      </c>
      <c r="N9" s="33">
        <f>N$2*N$4</f>
        <v/>
      </c>
      <c r="O9" s="33">
        <f>O$2*O$4</f>
        <v/>
      </c>
      <c r="P9" s="33">
        <f>P$2*P$4</f>
        <v/>
      </c>
      <c r="Q9" s="33">
        <f>Q$2*Q$4</f>
        <v/>
      </c>
      <c r="R9" s="33">
        <f>R$2*R$4</f>
        <v/>
      </c>
      <c r="S9" s="33">
        <f>S$2*S$4</f>
        <v/>
      </c>
      <c r="T9" s="33">
        <f>T$2*T$4</f>
        <v/>
      </c>
      <c r="U9" s="33">
        <f>U$2*U$4</f>
        <v/>
      </c>
      <c r="V9" s="33">
        <f>V$2*V$4</f>
        <v/>
      </c>
      <c r="W9" s="33">
        <f>W$2*W$4</f>
        <v/>
      </c>
      <c r="X9" s="33">
        <f>X$2*X$4</f>
        <v/>
      </c>
      <c r="Y9" s="33">
        <f>Y$2*Y$4</f>
        <v/>
      </c>
      <c r="Z9" s="33">
        <f>Z$2*Z$4</f>
        <v/>
      </c>
      <c r="AA9" s="33">
        <f>AA$2*AA$4</f>
        <v/>
      </c>
      <c r="AB9" s="33">
        <f>AB$2*AB$4</f>
        <v/>
      </c>
      <c r="AC9" s="33">
        <f>AC$2*AC$4</f>
        <v/>
      </c>
      <c r="AD9" s="33">
        <f>AD$2*AD$4</f>
        <v/>
      </c>
      <c r="AE9" s="33">
        <f>AE$2*AE$4</f>
        <v/>
      </c>
      <c r="AF9" s="33">
        <f>AF$2*AF$4</f>
        <v/>
      </c>
      <c r="AG9" s="33">
        <f>AG$2*AG$4</f>
        <v/>
      </c>
      <c r="AH9" s="33">
        <f>AH$2*AH$4</f>
        <v/>
      </c>
      <c r="AI9" s="33">
        <f>AI$2*AI$4</f>
        <v/>
      </c>
      <c r="AJ9" s="33">
        <f>AJ$2*AJ$4</f>
        <v/>
      </c>
      <c r="AK9" s="33">
        <f>AK$2*AK$4</f>
        <v/>
      </c>
      <c r="AL9" s="33">
        <f>AL$2*AL$4</f>
        <v/>
      </c>
      <c r="AM9" s="33">
        <f>AM$2*AM$4</f>
        <v/>
      </c>
      <c r="AN9" s="33">
        <f>AN$2*AN$4</f>
        <v/>
      </c>
      <c r="AO9" s="33">
        <f>AO$2*AO$4</f>
        <v/>
      </c>
      <c r="AP9" s="33">
        <f>AP$2*AP$4</f>
        <v/>
      </c>
      <c r="AQ9" s="33">
        <f>AQ$2*AQ$4</f>
        <v/>
      </c>
      <c r="AR9" s="33">
        <f>AR$2*AR$4</f>
        <v/>
      </c>
      <c r="AS9" s="33">
        <f>AS$2*AS$4</f>
        <v/>
      </c>
      <c r="AT9" s="33">
        <f>AT$2*AT$4</f>
        <v/>
      </c>
      <c r="AU9" s="33">
        <f>AU$2*AU$4</f>
        <v/>
      </c>
      <c r="AV9" s="33">
        <f>AV$2*AV$4</f>
        <v/>
      </c>
      <c r="AW9" s="33">
        <f>AW$2*AW$4</f>
        <v/>
      </c>
      <c r="AX9" s="33">
        <f>AX$2*AX$4</f>
        <v/>
      </c>
      <c r="AY9" s="33">
        <f>AY$2*AY$4</f>
        <v/>
      </c>
      <c r="AZ9" s="33">
        <f>AZ$2*AZ$4</f>
        <v/>
      </c>
      <c r="BA9" s="33">
        <f>BA$2*BA$4</f>
        <v/>
      </c>
      <c r="BB9" s="33">
        <f>BB$2*BB$4</f>
        <v/>
      </c>
      <c r="BC9" s="33">
        <f>BC$2*BC$4</f>
        <v/>
      </c>
      <c r="BD9" s="33">
        <f>BD$2*BD$4</f>
        <v/>
      </c>
      <c r="BE9" s="33">
        <f>BE$2*BE$4</f>
        <v/>
      </c>
      <c r="BF9" s="33">
        <f>BF$2*BF$4</f>
        <v/>
      </c>
      <c r="BG9" s="33">
        <f>BG$2*BG$4</f>
        <v/>
      </c>
      <c r="BH9" s="33">
        <f>BH$2*BH$4</f>
        <v/>
      </c>
      <c r="BI9" s="33">
        <f>BI$2*BI$4</f>
        <v/>
      </c>
      <c r="BJ9" s="33">
        <f>BJ$2*BJ$4</f>
        <v/>
      </c>
      <c r="BK9" s="33">
        <f>BK$2*BK$4</f>
        <v/>
      </c>
      <c r="BL9" s="33">
        <f>BL$2*BL$4</f>
        <v/>
      </c>
      <c r="BM9" s="33">
        <f>BM$2*BM$4</f>
        <v/>
      </c>
      <c r="BN9" s="33">
        <f>BN$2*BN$4</f>
        <v/>
      </c>
      <c r="BO9" s="33">
        <f>BO$2*BO$4</f>
        <v/>
      </c>
      <c r="BP9" s="33">
        <f>BP$2*BP$4</f>
        <v/>
      </c>
      <c r="BQ9" s="33">
        <f>BQ$2*BQ$4</f>
        <v/>
      </c>
      <c r="BR9" s="33">
        <f>BR$2*BR$4</f>
        <v/>
      </c>
      <c r="BS9" s="33">
        <f>BS$2*BS$4</f>
        <v/>
      </c>
      <c r="BT9" s="33">
        <f>BT$2*BT$4</f>
        <v/>
      </c>
      <c r="BU9" s="33">
        <f>BU$2*BU$4</f>
        <v/>
      </c>
      <c r="BV9" s="33">
        <f>BV$2*BV$4</f>
        <v/>
      </c>
      <c r="BW9" s="33">
        <f>BW$2*BW$4</f>
        <v/>
      </c>
      <c r="BX9" s="33">
        <f>BX$2*BX$4</f>
        <v/>
      </c>
      <c r="BY9" s="33">
        <f>BY$2*BY$4</f>
        <v/>
      </c>
      <c r="BZ9" s="33">
        <f>BZ$2*BZ$4</f>
        <v/>
      </c>
      <c r="CA9" s="33">
        <f>CA$2*CA$4</f>
        <v/>
      </c>
      <c r="CB9" s="33">
        <f>CB$2*CB$4</f>
        <v/>
      </c>
      <c r="CC9" s="33">
        <f>CC$2*CC$4</f>
        <v/>
      </c>
      <c r="CD9" s="33">
        <f>CD$2*CD$4</f>
        <v/>
      </c>
      <c r="CE9" s="33">
        <f>CE$2*CE$4</f>
        <v/>
      </c>
      <c r="CF9" s="33">
        <f>CF$2*CF$4</f>
        <v/>
      </c>
      <c r="CG9" s="33">
        <f>CG$2*CG$4</f>
        <v/>
      </c>
      <c r="CH9" s="33">
        <f>CH$2*CH$4</f>
        <v/>
      </c>
      <c r="CI9" s="33">
        <f>CI$2*CI$4</f>
        <v/>
      </c>
      <c r="CJ9" s="33">
        <f>CJ$2*CJ$4</f>
        <v/>
      </c>
      <c r="CK9" s="33">
        <f>CK$2*CK$4</f>
        <v/>
      </c>
      <c r="CL9" s="33">
        <f>CL$2*CL$4</f>
        <v/>
      </c>
      <c r="CM9" s="33">
        <f>CM$2*CM$4</f>
        <v/>
      </c>
      <c r="CN9" s="34">
        <f>CN14*CN19*6+(CH9+CI9+CJ9+CK9+CL9+CM9)</f>
        <v/>
      </c>
      <c r="CO9" s="34">
        <f>CO14*CO19*12</f>
        <v/>
      </c>
      <c r="CP9" s="34">
        <f>CP14*CP19*12</f>
        <v/>
      </c>
    </row>
    <row r="10">
      <c r="A10" s="19" t="inlineStr">
        <is>
          <t>Doanh thu BHX</t>
        </is>
      </c>
      <c r="B10" s="33">
        <f>B$2*B$5</f>
        <v/>
      </c>
      <c r="C10" s="33">
        <f>C$2*C$5</f>
        <v/>
      </c>
      <c r="D10" s="33">
        <f>D$2*D$5</f>
        <v/>
      </c>
      <c r="E10" s="33">
        <f>E$2*E$5</f>
        <v/>
      </c>
      <c r="F10" s="33">
        <f>F$2*F$5</f>
        <v/>
      </c>
      <c r="G10" s="33">
        <f>G$2*G$5</f>
        <v/>
      </c>
      <c r="H10" s="33">
        <f>H$2*H$5</f>
        <v/>
      </c>
      <c r="I10" s="33">
        <f>I$2*I$5</f>
        <v/>
      </c>
      <c r="J10" s="33">
        <f>J$2*J$5</f>
        <v/>
      </c>
      <c r="K10" s="33">
        <f>K$2*K$5</f>
        <v/>
      </c>
      <c r="L10" s="33">
        <f>L$2*L$5</f>
        <v/>
      </c>
      <c r="M10" s="33">
        <f>M$2*M$5</f>
        <v/>
      </c>
      <c r="N10" s="33">
        <f>N$2*N$5</f>
        <v/>
      </c>
      <c r="O10" s="33">
        <f>O$2*O$5</f>
        <v/>
      </c>
      <c r="P10" s="33">
        <f>P$2*P$5</f>
        <v/>
      </c>
      <c r="Q10" s="33">
        <f>Q$2*Q$5</f>
        <v/>
      </c>
      <c r="R10" s="33">
        <f>R$2*R$5</f>
        <v/>
      </c>
      <c r="S10" s="33">
        <f>S$2*S$5</f>
        <v/>
      </c>
      <c r="T10" s="33">
        <f>T$2*T$5</f>
        <v/>
      </c>
      <c r="U10" s="33">
        <f>U$2*U$5</f>
        <v/>
      </c>
      <c r="V10" s="33">
        <f>V$2*V$5</f>
        <v/>
      </c>
      <c r="W10" s="33">
        <f>W$2*W$5</f>
        <v/>
      </c>
      <c r="X10" s="33">
        <f>X$2*X$5</f>
        <v/>
      </c>
      <c r="Y10" s="33">
        <f>Y$2*Y$5</f>
        <v/>
      </c>
      <c r="Z10" s="33">
        <f>Z$2*Z$5</f>
        <v/>
      </c>
      <c r="AA10" s="33">
        <f>AA$2*AA$5</f>
        <v/>
      </c>
      <c r="AB10" s="33">
        <f>AB$2*AB$5</f>
        <v/>
      </c>
      <c r="AC10" s="33">
        <f>AC$2*AC$5</f>
        <v/>
      </c>
      <c r="AD10" s="33">
        <f>AD$2*AD$5</f>
        <v/>
      </c>
      <c r="AE10" s="33">
        <f>AE$2*AE$5</f>
        <v/>
      </c>
      <c r="AF10" s="33">
        <f>AF$2*AF$5</f>
        <v/>
      </c>
      <c r="AG10" s="33">
        <f>AG$2*AG$5</f>
        <v/>
      </c>
      <c r="AH10" s="33">
        <f>AH$2*AH$5</f>
        <v/>
      </c>
      <c r="AI10" s="33">
        <f>AI$2*AI$5</f>
        <v/>
      </c>
      <c r="AJ10" s="33">
        <f>AJ$2*AJ$5</f>
        <v/>
      </c>
      <c r="AK10" s="33">
        <f>AK$2*AK$5</f>
        <v/>
      </c>
      <c r="AL10" s="33">
        <f>AL$2*AL$5</f>
        <v/>
      </c>
      <c r="AM10" s="33">
        <f>AM$2*AM$5</f>
        <v/>
      </c>
      <c r="AN10" s="33">
        <f>AN$2*AN$5</f>
        <v/>
      </c>
      <c r="AO10" s="33">
        <f>AO$2*AO$5</f>
        <v/>
      </c>
      <c r="AP10" s="33">
        <f>AP$2*AP$5</f>
        <v/>
      </c>
      <c r="AQ10" s="33">
        <f>AQ$2*AQ$5</f>
        <v/>
      </c>
      <c r="AR10" s="33">
        <f>AR$2*AR$5</f>
        <v/>
      </c>
      <c r="AS10" s="33">
        <f>AS$2*AS$5</f>
        <v/>
      </c>
      <c r="AT10" s="33">
        <f>AT$2*AT$5</f>
        <v/>
      </c>
      <c r="AU10" s="33">
        <f>AU$2*AU$5</f>
        <v/>
      </c>
      <c r="AV10" s="33">
        <f>AV$2*AV$5</f>
        <v/>
      </c>
      <c r="AW10" s="33">
        <f>AW$2*AW$5</f>
        <v/>
      </c>
      <c r="AX10" s="33">
        <f>AX$2*AX$5</f>
        <v/>
      </c>
      <c r="AY10" s="33">
        <f>AY$2*AY$5</f>
        <v/>
      </c>
      <c r="AZ10" s="33">
        <f>AZ$2*AZ$5</f>
        <v/>
      </c>
      <c r="BA10" s="33">
        <f>BA$2*BA$5</f>
        <v/>
      </c>
      <c r="BB10" s="33">
        <f>BB$2*BB$5</f>
        <v/>
      </c>
      <c r="BC10" s="33">
        <f>BC$2*BC$5</f>
        <v/>
      </c>
      <c r="BD10" s="33">
        <f>BD$2*BD$5</f>
        <v/>
      </c>
      <c r="BE10" s="33">
        <f>BE$2*BE$5</f>
        <v/>
      </c>
      <c r="BF10" s="33">
        <f>BF$2*BF$5</f>
        <v/>
      </c>
      <c r="BG10" s="33">
        <f>BG$2*BG$5</f>
        <v/>
      </c>
      <c r="BH10" s="33">
        <f>BH$2*BH$5</f>
        <v/>
      </c>
      <c r="BI10" s="33">
        <f>BI$2*BI$5</f>
        <v/>
      </c>
      <c r="BJ10" s="33">
        <f>BJ$2*BJ$5</f>
        <v/>
      </c>
      <c r="BK10" s="33">
        <f>BK$2*BK$5</f>
        <v/>
      </c>
      <c r="BL10" s="33">
        <f>BL$2*BL$5</f>
        <v/>
      </c>
      <c r="BM10" s="33">
        <f>BM$2*BM$5</f>
        <v/>
      </c>
      <c r="BN10" s="33">
        <f>BN$2*BN$5</f>
        <v/>
      </c>
      <c r="BO10" s="33">
        <f>BO$2*BO$5</f>
        <v/>
      </c>
      <c r="BP10" s="33">
        <f>BP$2*BP$5</f>
        <v/>
      </c>
      <c r="BQ10" s="33">
        <f>BQ$2*BQ$5</f>
        <v/>
      </c>
      <c r="BR10" s="33">
        <f>BR$2*BR$5</f>
        <v/>
      </c>
      <c r="BS10" s="33">
        <f>BS$2*BS$5</f>
        <v/>
      </c>
      <c r="BT10" s="33">
        <f>BT$2*BT$5</f>
        <v/>
      </c>
      <c r="BU10" s="33">
        <f>BU$2*BU$5</f>
        <v/>
      </c>
      <c r="BV10" s="33">
        <f>BV$2*BV$5</f>
        <v/>
      </c>
      <c r="BW10" s="33">
        <f>BW$2*BW$5</f>
        <v/>
      </c>
      <c r="BX10" s="33">
        <f>BX$2*BX$5</f>
        <v/>
      </c>
      <c r="BY10" s="33">
        <f>BY$2*BY$5</f>
        <v/>
      </c>
      <c r="BZ10" s="33">
        <f>BZ$2*BZ$5</f>
        <v/>
      </c>
      <c r="CA10" s="33">
        <f>CA$2*CA$5</f>
        <v/>
      </c>
      <c r="CB10" s="33">
        <f>CB$2*CB$5</f>
        <v/>
      </c>
      <c r="CC10" s="33">
        <f>CC$2*CC$5</f>
        <v/>
      </c>
      <c r="CD10" s="33">
        <f>CD$2*CD$5</f>
        <v/>
      </c>
      <c r="CE10" s="33">
        <f>CE$2*CE$5</f>
        <v/>
      </c>
      <c r="CF10" s="33">
        <f>CF$2*CF$5</f>
        <v/>
      </c>
      <c r="CG10" s="33">
        <f>CG$2*CG$5</f>
        <v/>
      </c>
      <c r="CH10" s="33">
        <f>CH$2*CH$5</f>
        <v/>
      </c>
      <c r="CI10" s="33">
        <f>CI$2*CI$5</f>
        <v/>
      </c>
      <c r="CJ10" s="33">
        <f>CJ$2*CJ$5</f>
        <v/>
      </c>
      <c r="CK10" s="33">
        <f>CK$2*CK$5</f>
        <v/>
      </c>
      <c r="CL10" s="33">
        <f>CL$2*CL$5</f>
        <v/>
      </c>
      <c r="CM10" s="33">
        <f>CM$2*CM$5</f>
        <v/>
      </c>
      <c r="CN10" s="34">
        <f>CN15*CN20*6+(CH10+CI10+CJ10+CK10+CL10+CM10)</f>
        <v/>
      </c>
      <c r="CO10" s="34">
        <f>CO15*CO20*12</f>
        <v/>
      </c>
      <c r="CP10" s="34">
        <f>CP15*CP20*12</f>
        <v/>
      </c>
    </row>
    <row r="11">
      <c r="A11" s="19" t="inlineStr">
        <is>
          <t>Doanh thu Khac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>
        <f>AW$2*AW$6</f>
        <v/>
      </c>
      <c r="AX11" s="33">
        <f>AX$2*AX$6</f>
        <v/>
      </c>
      <c r="AY11" s="33">
        <f>AY$2*AY$6</f>
        <v/>
      </c>
      <c r="AZ11" s="33">
        <f>AZ$2*AZ$6</f>
        <v/>
      </c>
      <c r="BA11" s="33">
        <f>BA$2*BA$6</f>
        <v/>
      </c>
      <c r="BB11" s="33">
        <f>BB$2*BB$6</f>
        <v/>
      </c>
      <c r="BC11" s="33">
        <f>BC$2*BC$6</f>
        <v/>
      </c>
      <c r="BD11" s="33">
        <f>BD$2*BD$6</f>
        <v/>
      </c>
      <c r="BE11" s="33">
        <f>BE$2*BE$6</f>
        <v/>
      </c>
      <c r="BF11" s="33">
        <f>BF$2*BF$6</f>
        <v/>
      </c>
      <c r="BG11" s="33">
        <f>BG$2*BG$6</f>
        <v/>
      </c>
      <c r="BH11" s="33">
        <f>BH$2*BH$6</f>
        <v/>
      </c>
      <c r="BI11" s="33">
        <f>BI$2*BI$6</f>
        <v/>
      </c>
      <c r="BJ11" s="33" t="n"/>
      <c r="BK11" s="33" t="n"/>
      <c r="BL11" s="33">
        <f>BL$2*BL$6</f>
        <v/>
      </c>
      <c r="BM11" s="33">
        <f>BM$2*BM$6</f>
        <v/>
      </c>
      <c r="BN11" s="33">
        <f>BN$2*BN$6</f>
        <v/>
      </c>
      <c r="BO11" s="33">
        <f>BO$2*BO$6</f>
        <v/>
      </c>
      <c r="BP11" s="33">
        <f>BP$2*BP$6</f>
        <v/>
      </c>
      <c r="BQ11" s="33">
        <f>BQ$2*BQ$6</f>
        <v/>
      </c>
      <c r="BR11" s="33">
        <f>BR$2*BR$6</f>
        <v/>
      </c>
      <c r="BS11" s="33">
        <f>BS$2*BS$6</f>
        <v/>
      </c>
      <c r="BT11" s="33">
        <f>BT$2*BT$6</f>
        <v/>
      </c>
      <c r="BU11" s="33">
        <f>BU$2*BU$6</f>
        <v/>
      </c>
      <c r="BV11" s="33">
        <f>BV$2*BV$6</f>
        <v/>
      </c>
      <c r="BW11" s="33">
        <f>BW$2*BW$6</f>
        <v/>
      </c>
      <c r="BX11" s="33">
        <f>BX$2*BX$6</f>
        <v/>
      </c>
      <c r="BY11" s="33">
        <f>BY$2*BY$6</f>
        <v/>
      </c>
      <c r="BZ11" s="33">
        <f>BZ$2*BZ$6</f>
        <v/>
      </c>
      <c r="CA11" s="33">
        <f>CA$2*CA$6</f>
        <v/>
      </c>
      <c r="CB11" s="33">
        <f>CB$2*CB$6</f>
        <v/>
      </c>
      <c r="CC11" s="33">
        <f>CC$2*CC$6</f>
        <v/>
      </c>
      <c r="CD11" s="33">
        <f>CD$2*CD$6</f>
        <v/>
      </c>
      <c r="CE11" s="33">
        <f>CE$2*CE$6</f>
        <v/>
      </c>
      <c r="CF11" s="33">
        <f>CF$2*CF$6</f>
        <v/>
      </c>
      <c r="CG11" s="33">
        <f>CG$2*CG$6</f>
        <v/>
      </c>
      <c r="CH11" s="33">
        <f>CH$2*CH$6</f>
        <v/>
      </c>
      <c r="CI11" s="33">
        <f>CI$2*CI$6</f>
        <v/>
      </c>
      <c r="CJ11" s="33">
        <f>CJ$2*CJ$6</f>
        <v/>
      </c>
      <c r="CK11" s="33">
        <f>CK$2*CK$6</f>
        <v/>
      </c>
      <c r="CL11" s="33">
        <f>CL$2*CL$6</f>
        <v/>
      </c>
      <c r="CM11" s="33">
        <f>CM$2*CM$6</f>
        <v/>
      </c>
      <c r="CN11" s="34">
        <f>CN16*CN21*6+(CH11+CI11+CJ11+CK11+CL11+CM11)</f>
        <v/>
      </c>
      <c r="CO11" s="34">
        <f>CO16*CO21*12</f>
        <v/>
      </c>
      <c r="CP11" s="34">
        <f>CP16*CP21*12</f>
        <v/>
      </c>
    </row>
    <row r="13">
      <c r="A13" s="19" t="inlineStr">
        <is>
          <t>SL TGDD</t>
        </is>
      </c>
      <c r="B13" s="30" t="n">
        <v>1029</v>
      </c>
      <c r="C13" s="30" t="n">
        <v>1027</v>
      </c>
      <c r="D13" s="30" t="n">
        <v>1023</v>
      </c>
      <c r="E13" s="30" t="n">
        <v>1021</v>
      </c>
      <c r="F13" s="30" t="n">
        <v>1017</v>
      </c>
      <c r="G13" s="30" t="n">
        <v>1011</v>
      </c>
      <c r="H13" s="30" t="n">
        <v>1006</v>
      </c>
      <c r="I13" s="30" t="n">
        <v>1000</v>
      </c>
      <c r="J13" s="30" t="n">
        <v>1011</v>
      </c>
      <c r="K13" s="30" t="n">
        <v>1009</v>
      </c>
      <c r="L13" s="30" t="n">
        <v>1008</v>
      </c>
      <c r="M13" s="30" t="n">
        <v>996</v>
      </c>
      <c r="N13" s="30" t="n"/>
      <c r="O13" s="30" t="n"/>
      <c r="P13" s="30" t="n"/>
      <c r="Q13" s="30" t="n">
        <v>1003</v>
      </c>
      <c r="R13" s="30" t="n">
        <v>998</v>
      </c>
      <c r="S13" s="30" t="n"/>
      <c r="T13" s="30" t="n">
        <v>966</v>
      </c>
      <c r="U13" s="30" t="n">
        <v>964</v>
      </c>
      <c r="V13" s="30" t="n">
        <v>962</v>
      </c>
      <c r="W13" s="30" t="n">
        <v>948</v>
      </c>
      <c r="X13" s="30" t="n">
        <v>933</v>
      </c>
      <c r="Y13" s="30" t="n"/>
      <c r="Z13" s="30" t="n"/>
      <c r="AA13" s="30" t="n">
        <v>908</v>
      </c>
      <c r="AB13" s="30" t="n">
        <v>909</v>
      </c>
      <c r="AC13" s="30" t="n">
        <v>923</v>
      </c>
      <c r="AD13" s="30" t="n">
        <v>927</v>
      </c>
      <c r="AE13" s="30" t="n">
        <v>936</v>
      </c>
      <c r="AF13" s="30" t="n">
        <v>949</v>
      </c>
      <c r="AG13" s="30" t="n">
        <v>949</v>
      </c>
      <c r="AH13" s="30" t="n">
        <v>950</v>
      </c>
      <c r="AI13" s="30" t="n">
        <v>958</v>
      </c>
      <c r="AJ13" s="30" t="n">
        <v>966</v>
      </c>
      <c r="AK13" s="30" t="n"/>
      <c r="AL13" s="30" t="n">
        <v>976</v>
      </c>
      <c r="AM13" s="30" t="n">
        <v>976</v>
      </c>
      <c r="AN13" s="30" t="n">
        <v>985</v>
      </c>
      <c r="AO13" s="30" t="n">
        <v>1012</v>
      </c>
      <c r="AP13" s="30" t="n">
        <v>1040</v>
      </c>
      <c r="AQ13" s="30" t="n">
        <v>1067</v>
      </c>
      <c r="AR13" s="30" t="n">
        <v>1070</v>
      </c>
      <c r="AS13" s="30" t="n">
        <v>1086</v>
      </c>
      <c r="AT13" s="30" t="n">
        <v>1116</v>
      </c>
      <c r="AU13" s="30" t="n">
        <v>1163</v>
      </c>
      <c r="AV13" s="30" t="n">
        <v>1169</v>
      </c>
      <c r="AW13" s="30" t="n">
        <v>1190</v>
      </c>
      <c r="AX13" s="30" t="n">
        <v>1189</v>
      </c>
      <c r="AY13" s="30" t="n">
        <v>1189</v>
      </c>
      <c r="AZ13" s="30" t="n">
        <v>1188</v>
      </c>
      <c r="BA13" s="30" t="n">
        <v>1188</v>
      </c>
      <c r="BB13" s="30" t="n">
        <v>1185</v>
      </c>
      <c r="BC13" s="30" t="n">
        <v>1180</v>
      </c>
      <c r="BD13" s="30" t="n">
        <v>1172</v>
      </c>
      <c r="BE13" s="30" t="n">
        <v>1171</v>
      </c>
      <c r="BF13" s="30" t="n">
        <v>1165</v>
      </c>
      <c r="BG13" s="30" t="n">
        <v>1158</v>
      </c>
      <c r="BH13" s="30" t="n">
        <v>1100</v>
      </c>
      <c r="BI13" s="30" t="n">
        <v>1078</v>
      </c>
      <c r="BJ13" s="30" t="n">
        <v>1077</v>
      </c>
      <c r="BK13" s="30" t="n">
        <v>1077</v>
      </c>
      <c r="BL13" s="30" t="n">
        <v>1071</v>
      </c>
      <c r="BM13" s="30" t="n">
        <v>1071</v>
      </c>
      <c r="BN13" s="30" t="n">
        <v>1070</v>
      </c>
      <c r="BO13" s="30" t="n">
        <v>1046</v>
      </c>
      <c r="BP13" s="30" t="n">
        <v>1028</v>
      </c>
      <c r="BQ13" s="30" t="n">
        <v>1023</v>
      </c>
      <c r="BR13" s="30" t="n">
        <v>1023</v>
      </c>
      <c r="BS13" s="30" t="n">
        <v>1022</v>
      </c>
      <c r="BT13" s="30" t="n">
        <v>1022</v>
      </c>
      <c r="BU13" s="30" t="n">
        <v>1021</v>
      </c>
      <c r="BV13" s="30" t="n">
        <v>1018</v>
      </c>
      <c r="BW13" s="30" t="n">
        <v>1018</v>
      </c>
      <c r="BX13" s="30" t="n">
        <v>1017</v>
      </c>
      <c r="BY13" s="30" t="n">
        <v>1017</v>
      </c>
      <c r="BZ13" s="30" t="n">
        <v>1015</v>
      </c>
      <c r="CA13" s="30" t="n">
        <v>1015</v>
      </c>
      <c r="CB13" s="30" t="n">
        <v>1014</v>
      </c>
      <c r="CC13" s="30" t="n">
        <v>1014</v>
      </c>
      <c r="CD13" s="30" t="n">
        <v>1013</v>
      </c>
      <c r="CE13" s="30" t="n">
        <v>1012</v>
      </c>
      <c r="CF13" s="30" t="n">
        <v>1012</v>
      </c>
      <c r="CG13" s="30" t="n">
        <v>1012</v>
      </c>
      <c r="CH13" s="30" t="n">
        <v>1014</v>
      </c>
      <c r="CI13" s="30" t="n">
        <v>1014</v>
      </c>
      <c r="CJ13" s="30" t="n">
        <v>1014</v>
      </c>
      <c r="CK13" s="30" t="n">
        <v>1012</v>
      </c>
      <c r="CL13" s="30" t="n">
        <v>1012</v>
      </c>
      <c r="CM13" s="30" t="n">
        <v>1008</v>
      </c>
      <c r="CN13" s="30">
        <f>'02_Assumptions'!G7</f>
        <v/>
      </c>
      <c r="CO13" s="30">
        <f>'02_Assumptions'!H7</f>
        <v/>
      </c>
      <c r="CP13" s="30">
        <f>'02_Assumptions'!I7</f>
        <v/>
      </c>
    </row>
    <row r="14">
      <c r="A14" s="19" t="inlineStr">
        <is>
          <t>SL DMX</t>
        </is>
      </c>
      <c r="B14" s="30" t="n">
        <v>764</v>
      </c>
      <c r="C14" s="30" t="n">
        <v>766</v>
      </c>
      <c r="D14" s="30" t="n">
        <v>774</v>
      </c>
      <c r="E14" s="30" t="n">
        <v>791</v>
      </c>
      <c r="F14" s="30" t="n">
        <v>809</v>
      </c>
      <c r="G14" s="30" t="n">
        <v>838</v>
      </c>
      <c r="H14" s="30" t="n">
        <v>865</v>
      </c>
      <c r="I14" s="30" t="n">
        <v>886</v>
      </c>
      <c r="J14" s="30" t="n">
        <v>907</v>
      </c>
      <c r="K14" s="30" t="n">
        <v>937</v>
      </c>
      <c r="L14" s="30" t="n">
        <v>983</v>
      </c>
      <c r="M14" s="30" t="n">
        <v>1018</v>
      </c>
      <c r="N14" s="30" t="n">
        <v>1028</v>
      </c>
      <c r="O14" s="30" t="n">
        <v>1028</v>
      </c>
      <c r="P14" s="30" t="n">
        <v>1030</v>
      </c>
      <c r="Q14" s="30" t="n">
        <v>1031</v>
      </c>
      <c r="R14" s="30" t="n">
        <v>1038</v>
      </c>
      <c r="S14" s="30" t="n"/>
      <c r="T14" s="30" t="n">
        <v>1065</v>
      </c>
      <c r="U14" s="30" t="n">
        <v>1083</v>
      </c>
      <c r="V14" s="30" t="n">
        <v>1124</v>
      </c>
      <c r="W14" s="30" t="n">
        <v>1198</v>
      </c>
      <c r="X14" s="30" t="n"/>
      <c r="Y14" s="30" t="n">
        <v>1400</v>
      </c>
      <c r="Z14" s="30" t="n"/>
      <c r="AA14" s="30" t="n">
        <v>1531</v>
      </c>
      <c r="AB14" s="30" t="n">
        <v>1553</v>
      </c>
      <c r="AC14" s="30" t="n">
        <v>1628</v>
      </c>
      <c r="AD14" s="30" t="n">
        <v>1699</v>
      </c>
      <c r="AE14" s="30" t="n">
        <v>1731</v>
      </c>
      <c r="AF14" s="30" t="n">
        <v>1763</v>
      </c>
      <c r="AG14" s="30" t="n">
        <v>1768</v>
      </c>
      <c r="AH14" s="30" t="n">
        <v>1781</v>
      </c>
      <c r="AI14" s="30" t="n">
        <v>1802</v>
      </c>
      <c r="AJ14" s="30" t="n">
        <v>1863</v>
      </c>
      <c r="AK14" s="30" t="n"/>
      <c r="AL14" s="30" t="n">
        <v>2038</v>
      </c>
      <c r="AM14" s="30" t="n">
        <v>2038</v>
      </c>
      <c r="AN14" s="30" t="n">
        <v>2077</v>
      </c>
      <c r="AO14" s="30" t="n">
        <v>2095</v>
      </c>
      <c r="AP14" s="30" t="n">
        <v>2113</v>
      </c>
      <c r="AQ14" s="30" t="n">
        <v>2131</v>
      </c>
      <c r="AR14" s="30" t="n">
        <v>2185</v>
      </c>
      <c r="AS14" s="30" t="n">
        <v>2222</v>
      </c>
      <c r="AT14" s="30" t="n">
        <v>2246</v>
      </c>
      <c r="AU14" s="30" t="n">
        <v>2269</v>
      </c>
      <c r="AV14" s="30" t="n">
        <v>2277</v>
      </c>
      <c r="AW14" s="30" t="n">
        <v>2284</v>
      </c>
      <c r="AX14" s="30" t="n">
        <v>2287</v>
      </c>
      <c r="AY14" s="30" t="n">
        <v>2287</v>
      </c>
      <c r="AZ14" s="30" t="n">
        <v>2291</v>
      </c>
      <c r="BA14" s="30" t="n">
        <v>2292</v>
      </c>
      <c r="BB14" s="30" t="n">
        <v>2290</v>
      </c>
      <c r="BC14" s="30" t="n">
        <v>2289</v>
      </c>
      <c r="BD14" s="30" t="n">
        <v>2287</v>
      </c>
      <c r="BE14" s="30" t="n">
        <v>2286</v>
      </c>
      <c r="BF14" s="30" t="n">
        <v>2286</v>
      </c>
      <c r="BG14" s="30" t="n">
        <v>2281</v>
      </c>
      <c r="BH14" s="30" t="n">
        <v>2210</v>
      </c>
      <c r="BI14" s="30" t="n">
        <v>2190</v>
      </c>
      <c r="BJ14" s="30" t="n">
        <v>2189</v>
      </c>
      <c r="BK14" s="30" t="n">
        <v>2189</v>
      </c>
      <c r="BL14" s="30" t="n">
        <v>2184</v>
      </c>
      <c r="BM14" s="30" t="n">
        <v>2184</v>
      </c>
      <c r="BN14" s="30" t="n">
        <v>2180</v>
      </c>
      <c r="BO14" s="30" t="n">
        <v>2093</v>
      </c>
      <c r="BP14" s="30" t="n">
        <v>2034</v>
      </c>
      <c r="BQ14" s="30" t="n">
        <v>2031</v>
      </c>
      <c r="BR14" s="30" t="n">
        <v>2030</v>
      </c>
      <c r="BS14" s="30" t="n">
        <v>2030</v>
      </c>
      <c r="BT14" s="30" t="n">
        <v>2030</v>
      </c>
      <c r="BU14" s="30" t="n">
        <v>2026</v>
      </c>
      <c r="BV14" s="30" t="n">
        <v>2027</v>
      </c>
      <c r="BW14" s="30" t="n">
        <v>2027</v>
      </c>
      <c r="BX14" s="30" t="n">
        <v>2027</v>
      </c>
      <c r="BY14" s="30" t="n">
        <v>2025</v>
      </c>
      <c r="BZ14" s="30" t="n">
        <v>2025</v>
      </c>
      <c r="CA14" s="30" t="n">
        <v>2023</v>
      </c>
      <c r="CB14" s="30" t="n">
        <v>2022</v>
      </c>
      <c r="CC14" s="30" t="n">
        <v>2023</v>
      </c>
      <c r="CD14" s="30" t="n">
        <v>2018</v>
      </c>
      <c r="CE14" s="30" t="n">
        <v>2017</v>
      </c>
      <c r="CF14" s="30" t="n">
        <v>2017</v>
      </c>
      <c r="CG14" s="30" t="n">
        <v>2008</v>
      </c>
      <c r="CH14" s="30" t="n">
        <v>2008</v>
      </c>
      <c r="CI14" s="30" t="n">
        <v>2008</v>
      </c>
      <c r="CJ14" s="30" t="n">
        <v>2006</v>
      </c>
      <c r="CK14" s="30" t="n">
        <v>2005</v>
      </c>
      <c r="CL14" s="30" t="n">
        <v>2004</v>
      </c>
      <c r="CM14" s="30" t="n">
        <v>2005</v>
      </c>
      <c r="CN14" s="30">
        <f>'02_Assumptions'!G8</f>
        <v/>
      </c>
      <c r="CO14" s="30">
        <f>'02_Assumptions'!H8</f>
        <v/>
      </c>
      <c r="CP14" s="30">
        <f>'02_Assumptions'!I8</f>
        <v/>
      </c>
    </row>
    <row r="15">
      <c r="A15" s="19" t="inlineStr">
        <is>
          <t>SL BHX</t>
        </is>
      </c>
      <c r="B15" s="30" t="n">
        <v>421</v>
      </c>
      <c r="C15" s="30" t="n">
        <v>423</v>
      </c>
      <c r="D15" s="30" t="n">
        <v>469</v>
      </c>
      <c r="E15" s="30" t="n">
        <v>512</v>
      </c>
      <c r="F15" s="30" t="n">
        <v>545</v>
      </c>
      <c r="G15" s="30" t="n">
        <v>600</v>
      </c>
      <c r="H15" s="30" t="n">
        <v>659</v>
      </c>
      <c r="I15" s="30" t="n">
        <v>725</v>
      </c>
      <c r="J15" s="30" t="n">
        <v>788</v>
      </c>
      <c r="K15" s="30" t="n">
        <v>866</v>
      </c>
      <c r="L15" s="30" t="n">
        <v>938</v>
      </c>
      <c r="M15" s="30" t="n">
        <v>1008</v>
      </c>
      <c r="N15" s="30" t="n">
        <v>1041</v>
      </c>
      <c r="O15" s="30" t="n">
        <v>1068</v>
      </c>
      <c r="P15" s="30" t="n">
        <v>1158</v>
      </c>
      <c r="Q15" s="30" t="n">
        <v>1234</v>
      </c>
      <c r="R15" s="30" t="n">
        <v>1365</v>
      </c>
      <c r="S15" s="30" t="n"/>
      <c r="T15" s="30" t="n">
        <v>1561</v>
      </c>
      <c r="U15" s="30" t="n">
        <v>1595</v>
      </c>
      <c r="V15" s="30" t="n">
        <v>1623</v>
      </c>
      <c r="W15" s="30" t="n">
        <v>1656</v>
      </c>
      <c r="X15" s="30" t="n">
        <v>1687</v>
      </c>
      <c r="Y15" s="30" t="n"/>
      <c r="Z15" s="30" t="n"/>
      <c r="AA15" s="30" t="n">
        <v>1756</v>
      </c>
      <c r="AB15" s="30" t="n">
        <v>1767</v>
      </c>
      <c r="AC15" s="30" t="n">
        <v>1803</v>
      </c>
      <c r="AD15" s="30" t="n">
        <v>1851</v>
      </c>
      <c r="AE15" s="30" t="n">
        <v>1888</v>
      </c>
      <c r="AF15" s="30" t="n">
        <v>1919</v>
      </c>
      <c r="AG15" s="30" t="n">
        <v>1928</v>
      </c>
      <c r="AH15" s="30" t="n">
        <v>1934</v>
      </c>
      <c r="AI15" s="30" t="n">
        <v>1976</v>
      </c>
      <c r="AJ15" s="30" t="n">
        <v>2026</v>
      </c>
      <c r="AK15" s="30" t="n"/>
      <c r="AL15" s="30" t="n">
        <v>2122</v>
      </c>
      <c r="AM15" s="30" t="n">
        <v>2122</v>
      </c>
      <c r="AN15" s="30" t="n">
        <v>2127</v>
      </c>
      <c r="AO15" s="30" t="n">
        <v>2140</v>
      </c>
      <c r="AP15" s="30" t="n">
        <v>2014</v>
      </c>
      <c r="AQ15" s="30" t="n">
        <v>1889</v>
      </c>
      <c r="AR15" s="30" t="n">
        <v>1735</v>
      </c>
      <c r="AS15" s="30" t="n">
        <v>1726</v>
      </c>
      <c r="AT15" s="30" t="n">
        <v>1727</v>
      </c>
      <c r="AU15" s="30" t="n">
        <v>1729</v>
      </c>
      <c r="AV15" s="30" t="n">
        <v>1729</v>
      </c>
      <c r="AW15" s="30" t="n">
        <v>1728</v>
      </c>
      <c r="AX15" s="30" t="n">
        <v>1729</v>
      </c>
      <c r="AY15" s="30" t="n">
        <v>1729</v>
      </c>
      <c r="AZ15" s="30" t="n">
        <v>1710</v>
      </c>
      <c r="BA15" s="30" t="n">
        <v>1708</v>
      </c>
      <c r="BB15" s="30" t="n">
        <v>1704</v>
      </c>
      <c r="BC15" s="30" t="n">
        <v>1706</v>
      </c>
      <c r="BD15" s="30" t="n">
        <v>1706</v>
      </c>
      <c r="BE15" s="30" t="n">
        <v>1706</v>
      </c>
      <c r="BF15" s="30" t="n">
        <v>1706</v>
      </c>
      <c r="BG15" s="30" t="n">
        <v>1706</v>
      </c>
      <c r="BH15" s="30" t="n">
        <v>1697</v>
      </c>
      <c r="BI15" s="30" t="n">
        <v>1698</v>
      </c>
      <c r="BJ15" s="30" t="n">
        <v>1698</v>
      </c>
      <c r="BK15" s="30" t="n">
        <v>1698</v>
      </c>
      <c r="BL15" s="30" t="n">
        <v>1696</v>
      </c>
      <c r="BM15" s="30" t="n">
        <v>1696</v>
      </c>
      <c r="BN15" s="30" t="n">
        <v>1698</v>
      </c>
      <c r="BO15" s="30" t="n">
        <v>1701</v>
      </c>
      <c r="BP15" s="30" t="n">
        <v>1704</v>
      </c>
      <c r="BQ15" s="30" t="n">
        <v>1721</v>
      </c>
      <c r="BR15" s="30" t="n">
        <v>1726</v>
      </c>
      <c r="BS15" s="30" t="n">
        <v>1735</v>
      </c>
      <c r="BT15" s="30" t="n">
        <v>1735</v>
      </c>
      <c r="BU15" s="30" t="n">
        <v>1770</v>
      </c>
      <c r="BV15" s="30" t="n">
        <v>1864</v>
      </c>
      <c r="BW15" s="30" t="n">
        <v>1864</v>
      </c>
      <c r="BX15" s="30" t="n">
        <v>2002</v>
      </c>
      <c r="BY15" s="30" t="n">
        <v>2129</v>
      </c>
      <c r="BZ15" s="30" t="n">
        <v>2180</v>
      </c>
      <c r="CA15" s="30" t="n">
        <v>2184</v>
      </c>
      <c r="CB15" s="30" t="n">
        <v>2204</v>
      </c>
      <c r="CC15" s="30" t="n">
        <v>2233</v>
      </c>
      <c r="CD15" s="30" t="n">
        <v>2290</v>
      </c>
      <c r="CE15" s="30" t="n">
        <v>2370</v>
      </c>
      <c r="CF15" s="30" t="n">
        <v>2482</v>
      </c>
      <c r="CG15" s="30" t="n">
        <v>2559</v>
      </c>
      <c r="CH15" s="30" t="n">
        <v>2758</v>
      </c>
      <c r="CI15" s="30" t="n">
        <v>2758</v>
      </c>
      <c r="CJ15" s="30" t="n">
        <v>2839</v>
      </c>
      <c r="CK15" s="30" t="n">
        <v>2962</v>
      </c>
      <c r="CL15" s="30" t="n">
        <v>3051</v>
      </c>
      <c r="CM15" s="30" t="n">
        <v>3191</v>
      </c>
      <c r="CN15" s="30">
        <f>'02_Assumptions'!G9</f>
        <v/>
      </c>
      <c r="CO15" s="30">
        <f>'02_Assumptions'!H9</f>
        <v/>
      </c>
      <c r="CP15" s="30">
        <f>'02_Assumptions'!I9</f>
        <v/>
      </c>
    </row>
    <row r="16">
      <c r="A16" s="19" t="inlineStr">
        <is>
          <t>SL Khac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>
        <v>255</v>
      </c>
      <c r="AM16" s="30" t="n">
        <v>255</v>
      </c>
      <c r="AN16" s="30" t="n">
        <v>261</v>
      </c>
      <c r="AO16" s="30" t="n">
        <v>550</v>
      </c>
      <c r="AP16" s="30" t="n"/>
      <c r="AQ16" s="30" t="n">
        <v>418</v>
      </c>
      <c r="AR16" s="30" t="n"/>
      <c r="AS16" s="30" t="n">
        <v>589</v>
      </c>
      <c r="AT16" s="30" t="n">
        <v>600</v>
      </c>
      <c r="AU16" s="30" t="n">
        <v>600</v>
      </c>
      <c r="AV16" s="30" t="n">
        <v>573</v>
      </c>
      <c r="AW16" s="30" t="n">
        <v>564</v>
      </c>
      <c r="AX16" s="30" t="n">
        <v>568</v>
      </c>
      <c r="AY16" s="30" t="n">
        <v>568</v>
      </c>
      <c r="AZ16" s="30" t="n">
        <v>574</v>
      </c>
      <c r="BA16" s="30" t="n">
        <v>587</v>
      </c>
      <c r="BB16" s="30" t="n">
        <v>599</v>
      </c>
      <c r="BC16" s="30" t="n">
        <v>603</v>
      </c>
      <c r="BD16" s="30" t="n">
        <v>604</v>
      </c>
      <c r="BE16" s="30" t="n">
        <v>607</v>
      </c>
      <c r="BF16" s="30" t="n">
        <v>607</v>
      </c>
      <c r="BG16" s="30" t="n">
        <v>606</v>
      </c>
      <c r="BH16" s="30" t="n">
        <v>591</v>
      </c>
      <c r="BI16" s="30" t="n">
        <v>629</v>
      </c>
      <c r="BJ16" s="30" t="n">
        <v>643</v>
      </c>
      <c r="BK16" s="30" t="n">
        <v>643</v>
      </c>
      <c r="BL16" s="30" t="n">
        <v>645</v>
      </c>
      <c r="BM16" s="30" t="n">
        <v>646</v>
      </c>
      <c r="BN16" s="30" t="n">
        <v>649</v>
      </c>
      <c r="BO16" s="30" t="n">
        <v>606</v>
      </c>
      <c r="BP16" s="30" t="n">
        <v>516</v>
      </c>
      <c r="BQ16" s="30" t="n">
        <v>460</v>
      </c>
      <c r="BR16" s="30" t="n">
        <v>464</v>
      </c>
      <c r="BS16" s="30" t="n">
        <v>468</v>
      </c>
      <c r="BT16" s="30" t="n">
        <v>470</v>
      </c>
      <c r="BU16" s="30" t="n">
        <v>475</v>
      </c>
      <c r="BV16" s="30" t="n">
        <v>483</v>
      </c>
      <c r="BW16" s="30" t="n">
        <v>483</v>
      </c>
      <c r="BX16" s="30" t="n">
        <v>483</v>
      </c>
      <c r="BY16" s="30" t="n">
        <v>487</v>
      </c>
      <c r="BZ16" s="30" t="n">
        <v>495</v>
      </c>
      <c r="CA16" s="30" t="n">
        <v>503</v>
      </c>
      <c r="CB16" s="30" t="n">
        <v>514</v>
      </c>
      <c r="CC16" s="30" t="n">
        <v>523</v>
      </c>
      <c r="CD16" s="30" t="n">
        <v>558</v>
      </c>
      <c r="CE16" s="30" t="n">
        <v>586</v>
      </c>
      <c r="CF16" s="30" t="n">
        <v>619</v>
      </c>
      <c r="CG16" s="30" t="n">
        <v>646</v>
      </c>
      <c r="CH16" s="30" t="n">
        <v>995</v>
      </c>
      <c r="CI16" s="30" t="n">
        <v>995</v>
      </c>
      <c r="CJ16" s="30" t="n">
        <v>621</v>
      </c>
      <c r="CK16" s="30" t="n">
        <v>559</v>
      </c>
      <c r="CL16" s="30" t="n">
        <v>756</v>
      </c>
      <c r="CM16" s="30" t="n">
        <v>590</v>
      </c>
      <c r="CN16" s="30">
        <f>'02_Assumptions'!G10</f>
        <v/>
      </c>
      <c r="CO16" s="30">
        <f>'02_Assumptions'!H10</f>
        <v/>
      </c>
      <c r="CP16" s="30">
        <f>'02_Assumptions'!I10</f>
        <v/>
      </c>
    </row>
    <row r="18">
      <c r="A18" s="19" t="inlineStr">
        <is>
          <t>DT/CH/th TGDD</t>
        </is>
      </c>
      <c r="B18" s="35">
        <f>B$8/B$13</f>
        <v/>
      </c>
      <c r="C18" s="35">
        <f>C$8/C$13</f>
        <v/>
      </c>
      <c r="D18" s="35">
        <f>D$8/D$13</f>
        <v/>
      </c>
      <c r="E18" s="35">
        <f>E$8/E$13</f>
        <v/>
      </c>
      <c r="F18" s="35">
        <f>F$8/F$13</f>
        <v/>
      </c>
      <c r="G18" s="35">
        <f>G$8/G$13</f>
        <v/>
      </c>
      <c r="H18" s="35">
        <f>H$8/H$13</f>
        <v/>
      </c>
      <c r="I18" s="35">
        <f>I$8/I$13</f>
        <v/>
      </c>
      <c r="J18" s="35">
        <f>J$8/J$13</f>
        <v/>
      </c>
      <c r="K18" s="35">
        <f>K$8/K$13</f>
        <v/>
      </c>
      <c r="L18" s="35">
        <f>L$8/L$13</f>
        <v/>
      </c>
      <c r="M18" s="35">
        <f>M$8/M$13</f>
        <v/>
      </c>
      <c r="N18" s="35" t="n"/>
      <c r="O18" s="35" t="n"/>
      <c r="P18" s="35" t="n"/>
      <c r="Q18" s="35">
        <f>Q$8/Q$13</f>
        <v/>
      </c>
      <c r="R18" s="35">
        <f>R$8/R$13</f>
        <v/>
      </c>
      <c r="S18" s="35" t="n"/>
      <c r="T18" s="35">
        <f>T$8/T$13</f>
        <v/>
      </c>
      <c r="U18" s="35">
        <f>U$8/U$13</f>
        <v/>
      </c>
      <c r="V18" s="35">
        <f>V$8/V$13</f>
        <v/>
      </c>
      <c r="W18" s="35">
        <f>W$8/W$13</f>
        <v/>
      </c>
      <c r="X18" s="35">
        <f>X$8/X$13</f>
        <v/>
      </c>
      <c r="Y18" s="35" t="n"/>
      <c r="Z18" s="35" t="n"/>
      <c r="AA18" s="35">
        <f>AA$8/AA$13</f>
        <v/>
      </c>
      <c r="AB18" s="35">
        <f>AB$8/AB$13</f>
        <v/>
      </c>
      <c r="AC18" s="35">
        <f>AC$8/AC$13</f>
        <v/>
      </c>
      <c r="AD18" s="35">
        <f>AD$8/AD$13</f>
        <v/>
      </c>
      <c r="AE18" s="35">
        <f>AE$8/AE$13</f>
        <v/>
      </c>
      <c r="AF18" s="35">
        <f>AF$8/AF$13</f>
        <v/>
      </c>
      <c r="AG18" s="35">
        <f>AG$8/AG$13</f>
        <v/>
      </c>
      <c r="AH18" s="35">
        <f>AH$8/AH$13</f>
        <v/>
      </c>
      <c r="AI18" s="35">
        <f>AI$8/AI$13</f>
        <v/>
      </c>
      <c r="AJ18" s="35">
        <f>AJ$8/AJ$13</f>
        <v/>
      </c>
      <c r="AK18" s="35" t="n"/>
      <c r="AL18" s="35">
        <f>AL$8/AL$13</f>
        <v/>
      </c>
      <c r="AM18" s="35">
        <f>AM$8/AM$13</f>
        <v/>
      </c>
      <c r="AN18" s="35">
        <f>AN$8/AN$13</f>
        <v/>
      </c>
      <c r="AO18" s="35">
        <f>AO$8/AO$13</f>
        <v/>
      </c>
      <c r="AP18" s="35">
        <f>AP$8/AP$13</f>
        <v/>
      </c>
      <c r="AQ18" s="35">
        <f>AQ$8/AQ$13</f>
        <v/>
      </c>
      <c r="AR18" s="35">
        <f>AR$8/AR$13</f>
        <v/>
      </c>
      <c r="AS18" s="35">
        <f>AS$8/AS$13</f>
        <v/>
      </c>
      <c r="AT18" s="35">
        <f>AT$8/AT$13</f>
        <v/>
      </c>
      <c r="AU18" s="35">
        <f>AU$8/AU$13</f>
        <v/>
      </c>
      <c r="AV18" s="35">
        <f>AV$8/AV$13</f>
        <v/>
      </c>
      <c r="AW18" s="35">
        <f>AW$8/AW$13</f>
        <v/>
      </c>
      <c r="AX18" s="35">
        <f>AX$8/AX$13</f>
        <v/>
      </c>
      <c r="AY18" s="35">
        <f>AY$8/AY$13</f>
        <v/>
      </c>
      <c r="AZ18" s="35">
        <f>AZ$8/AZ$13</f>
        <v/>
      </c>
      <c r="BA18" s="35">
        <f>BA$8/BA$13</f>
        <v/>
      </c>
      <c r="BB18" s="35">
        <f>BB$8/BB$13</f>
        <v/>
      </c>
      <c r="BC18" s="35">
        <f>BC$8/BC$13</f>
        <v/>
      </c>
      <c r="BD18" s="35">
        <f>BD$8/BD$13</f>
        <v/>
      </c>
      <c r="BE18" s="35">
        <f>BE$8/BE$13</f>
        <v/>
      </c>
      <c r="BF18" s="35">
        <f>BF$8/BF$13</f>
        <v/>
      </c>
      <c r="BG18" s="35">
        <f>BG$8/BG$13</f>
        <v/>
      </c>
      <c r="BH18" s="35">
        <f>BH$8/BH$13</f>
        <v/>
      </c>
      <c r="BI18" s="35">
        <f>BI$8/BI$13</f>
        <v/>
      </c>
      <c r="BJ18" s="35">
        <f>BJ$8/BJ$13</f>
        <v/>
      </c>
      <c r="BK18" s="35">
        <f>BK$8/BK$13</f>
        <v/>
      </c>
      <c r="BL18" s="35">
        <f>BL$8/BL$13</f>
        <v/>
      </c>
      <c r="BM18" s="35">
        <f>BM$8/BM$13</f>
        <v/>
      </c>
      <c r="BN18" s="35">
        <f>BN$8/BN$13</f>
        <v/>
      </c>
      <c r="BO18" s="35">
        <f>BO$8/BO$13</f>
        <v/>
      </c>
      <c r="BP18" s="35">
        <f>BP$8/BP$13</f>
        <v/>
      </c>
      <c r="BQ18" s="35">
        <f>BQ$8/BQ$13</f>
        <v/>
      </c>
      <c r="BR18" s="35">
        <f>BR$8/BR$13</f>
        <v/>
      </c>
      <c r="BS18" s="35">
        <f>BS$8/BS$13</f>
        <v/>
      </c>
      <c r="BT18" s="35">
        <f>BT$8/BT$13</f>
        <v/>
      </c>
      <c r="BU18" s="35">
        <f>BU$8/BU$13</f>
        <v/>
      </c>
      <c r="BV18" s="35">
        <f>BV$8/BV$13</f>
        <v/>
      </c>
      <c r="BW18" s="35">
        <f>BW$8/BW$13</f>
        <v/>
      </c>
      <c r="BX18" s="35">
        <f>BX$8/BX$13</f>
        <v/>
      </c>
      <c r="BY18" s="35">
        <f>BY$8/BY$13</f>
        <v/>
      </c>
      <c r="BZ18" s="35">
        <f>BZ$8/BZ$13</f>
        <v/>
      </c>
      <c r="CA18" s="35">
        <f>CA$8/CA$13</f>
        <v/>
      </c>
      <c r="CB18" s="35">
        <f>CB$8/CB$13</f>
        <v/>
      </c>
      <c r="CC18" s="35">
        <f>CC$8/CC$13</f>
        <v/>
      </c>
      <c r="CD18" s="35">
        <f>CD$8/CD$13</f>
        <v/>
      </c>
      <c r="CE18" s="35">
        <f>CE$8/CE$13</f>
        <v/>
      </c>
      <c r="CF18" s="35">
        <f>CF$8/CF$13</f>
        <v/>
      </c>
      <c r="CG18" s="35">
        <f>CG$8/CG$13</f>
        <v/>
      </c>
      <c r="CH18" s="35">
        <f>CH$8/CH$13</f>
        <v/>
      </c>
      <c r="CI18" s="35">
        <f>CI$8/CI$13</f>
        <v/>
      </c>
      <c r="CJ18" s="35">
        <f>CJ$8/CJ$13</f>
        <v/>
      </c>
      <c r="CK18" s="35">
        <f>CK$8/CK$13</f>
        <v/>
      </c>
      <c r="CL18" s="35">
        <f>CL$8/CL$13</f>
        <v/>
      </c>
      <c r="CM18" s="35">
        <f>CM$8/CM$13</f>
        <v/>
      </c>
      <c r="CN18" s="36">
        <f>AVERAGE(CK18,CL18,CM18)</f>
        <v/>
      </c>
      <c r="CO18" s="36">
        <f>CN18*(1+'02_Assumptions'!$B$17)</f>
        <v/>
      </c>
      <c r="CP18" s="36">
        <f>CO18*(1+'02_Assumptions'!$B$17)</f>
        <v/>
      </c>
    </row>
    <row r="19">
      <c r="A19" s="19" t="inlineStr">
        <is>
          <t>DT/CH/th DMX</t>
        </is>
      </c>
      <c r="B19" s="35">
        <f>B$9/B$14</f>
        <v/>
      </c>
      <c r="C19" s="35">
        <f>C$9/C$14</f>
        <v/>
      </c>
      <c r="D19" s="35">
        <f>D$9/D$14</f>
        <v/>
      </c>
      <c r="E19" s="35">
        <f>E$9/E$14</f>
        <v/>
      </c>
      <c r="F19" s="35">
        <f>F$9/F$14</f>
        <v/>
      </c>
      <c r="G19" s="35">
        <f>G$9/G$14</f>
        <v/>
      </c>
      <c r="H19" s="35">
        <f>H$9/H$14</f>
        <v/>
      </c>
      <c r="I19" s="35">
        <f>I$9/I$14</f>
        <v/>
      </c>
      <c r="J19" s="35">
        <f>J$9/J$14</f>
        <v/>
      </c>
      <c r="K19" s="35">
        <f>K$9/K$14</f>
        <v/>
      </c>
      <c r="L19" s="35">
        <f>L$9/L$14</f>
        <v/>
      </c>
      <c r="M19" s="35">
        <f>M$9/M$14</f>
        <v/>
      </c>
      <c r="N19" s="35">
        <f>N$9/N$14</f>
        <v/>
      </c>
      <c r="O19" s="35">
        <f>O$9/O$14</f>
        <v/>
      </c>
      <c r="P19" s="35">
        <f>P$9/P$14</f>
        <v/>
      </c>
      <c r="Q19" s="35">
        <f>Q$9/Q$14</f>
        <v/>
      </c>
      <c r="R19" s="35">
        <f>R$9/R$14</f>
        <v/>
      </c>
      <c r="S19" s="35" t="n"/>
      <c r="T19" s="35">
        <f>T$9/T$14</f>
        <v/>
      </c>
      <c r="U19" s="35">
        <f>U$9/U$14</f>
        <v/>
      </c>
      <c r="V19" s="35">
        <f>V$9/V$14</f>
        <v/>
      </c>
      <c r="W19" s="35">
        <f>W$9/W$14</f>
        <v/>
      </c>
      <c r="X19" s="35" t="n"/>
      <c r="Y19" s="35">
        <f>Y$9/Y$14</f>
        <v/>
      </c>
      <c r="Z19" s="35" t="n"/>
      <c r="AA19" s="35">
        <f>AA$9/AA$14</f>
        <v/>
      </c>
      <c r="AB19" s="35">
        <f>AB$9/AB$14</f>
        <v/>
      </c>
      <c r="AC19" s="35">
        <f>AC$9/AC$14</f>
        <v/>
      </c>
      <c r="AD19" s="35">
        <f>AD$9/AD$14</f>
        <v/>
      </c>
      <c r="AE19" s="35">
        <f>AE$9/AE$14</f>
        <v/>
      </c>
      <c r="AF19" s="35">
        <f>AF$9/AF$14</f>
        <v/>
      </c>
      <c r="AG19" s="35">
        <f>AG$9/AG$14</f>
        <v/>
      </c>
      <c r="AH19" s="35">
        <f>AH$9/AH$14</f>
        <v/>
      </c>
      <c r="AI19" s="35">
        <f>AI$9/AI$14</f>
        <v/>
      </c>
      <c r="AJ19" s="35">
        <f>AJ$9/AJ$14</f>
        <v/>
      </c>
      <c r="AK19" s="35" t="n"/>
      <c r="AL19" s="35">
        <f>AL$9/AL$14</f>
        <v/>
      </c>
      <c r="AM19" s="35">
        <f>AM$9/AM$14</f>
        <v/>
      </c>
      <c r="AN19" s="35">
        <f>AN$9/AN$14</f>
        <v/>
      </c>
      <c r="AO19" s="35">
        <f>AO$9/AO$14</f>
        <v/>
      </c>
      <c r="AP19" s="35">
        <f>AP$9/AP$14</f>
        <v/>
      </c>
      <c r="AQ19" s="35">
        <f>AQ$9/AQ$14</f>
        <v/>
      </c>
      <c r="AR19" s="35">
        <f>AR$9/AR$14</f>
        <v/>
      </c>
      <c r="AS19" s="35">
        <f>AS$9/AS$14</f>
        <v/>
      </c>
      <c r="AT19" s="35">
        <f>AT$9/AT$14</f>
        <v/>
      </c>
      <c r="AU19" s="35">
        <f>AU$9/AU$14</f>
        <v/>
      </c>
      <c r="AV19" s="35">
        <f>AV$9/AV$14</f>
        <v/>
      </c>
      <c r="AW19" s="35">
        <f>AW$9/AW$14</f>
        <v/>
      </c>
      <c r="AX19" s="35">
        <f>AX$9/AX$14</f>
        <v/>
      </c>
      <c r="AY19" s="35">
        <f>AY$9/AY$14</f>
        <v/>
      </c>
      <c r="AZ19" s="35">
        <f>AZ$9/AZ$14</f>
        <v/>
      </c>
      <c r="BA19" s="35">
        <f>BA$9/BA$14</f>
        <v/>
      </c>
      <c r="BB19" s="35">
        <f>BB$9/BB$14</f>
        <v/>
      </c>
      <c r="BC19" s="35">
        <f>BC$9/BC$14</f>
        <v/>
      </c>
      <c r="BD19" s="35">
        <f>BD$9/BD$14</f>
        <v/>
      </c>
      <c r="BE19" s="35">
        <f>BE$9/BE$14</f>
        <v/>
      </c>
      <c r="BF19" s="35">
        <f>BF$9/BF$14</f>
        <v/>
      </c>
      <c r="BG19" s="35">
        <f>BG$9/BG$14</f>
        <v/>
      </c>
      <c r="BH19" s="35">
        <f>BH$9/BH$14</f>
        <v/>
      </c>
      <c r="BI19" s="35">
        <f>BI$9/BI$14</f>
        <v/>
      </c>
      <c r="BJ19" s="35">
        <f>BJ$9/BJ$14</f>
        <v/>
      </c>
      <c r="BK19" s="35">
        <f>BK$9/BK$14</f>
        <v/>
      </c>
      <c r="BL19" s="35">
        <f>BL$9/BL$14</f>
        <v/>
      </c>
      <c r="BM19" s="35">
        <f>BM$9/BM$14</f>
        <v/>
      </c>
      <c r="BN19" s="35">
        <f>BN$9/BN$14</f>
        <v/>
      </c>
      <c r="BO19" s="35">
        <f>BO$9/BO$14</f>
        <v/>
      </c>
      <c r="BP19" s="35">
        <f>BP$9/BP$14</f>
        <v/>
      </c>
      <c r="BQ19" s="35">
        <f>BQ$9/BQ$14</f>
        <v/>
      </c>
      <c r="BR19" s="35">
        <f>BR$9/BR$14</f>
        <v/>
      </c>
      <c r="BS19" s="35">
        <f>BS$9/BS$14</f>
        <v/>
      </c>
      <c r="BT19" s="35">
        <f>BT$9/BT$14</f>
        <v/>
      </c>
      <c r="BU19" s="35">
        <f>BU$9/BU$14</f>
        <v/>
      </c>
      <c r="BV19" s="35">
        <f>BV$9/BV$14</f>
        <v/>
      </c>
      <c r="BW19" s="35">
        <f>BW$9/BW$14</f>
        <v/>
      </c>
      <c r="BX19" s="35">
        <f>BX$9/BX$14</f>
        <v/>
      </c>
      <c r="BY19" s="35">
        <f>BY$9/BY$14</f>
        <v/>
      </c>
      <c r="BZ19" s="35">
        <f>BZ$9/BZ$14</f>
        <v/>
      </c>
      <c r="CA19" s="35">
        <f>CA$9/CA$14</f>
        <v/>
      </c>
      <c r="CB19" s="35">
        <f>CB$9/CB$14</f>
        <v/>
      </c>
      <c r="CC19" s="35">
        <f>CC$9/CC$14</f>
        <v/>
      </c>
      <c r="CD19" s="35">
        <f>CD$9/CD$14</f>
        <v/>
      </c>
      <c r="CE19" s="35">
        <f>CE$9/CE$14</f>
        <v/>
      </c>
      <c r="CF19" s="35">
        <f>CF$9/CF$14</f>
        <v/>
      </c>
      <c r="CG19" s="35">
        <f>CG$9/CG$14</f>
        <v/>
      </c>
      <c r="CH19" s="35">
        <f>CH$9/CH$14</f>
        <v/>
      </c>
      <c r="CI19" s="35">
        <f>CI$9/CI$14</f>
        <v/>
      </c>
      <c r="CJ19" s="35">
        <f>CJ$9/CJ$14</f>
        <v/>
      </c>
      <c r="CK19" s="35">
        <f>CK$9/CK$14</f>
        <v/>
      </c>
      <c r="CL19" s="35">
        <f>CL$9/CL$14</f>
        <v/>
      </c>
      <c r="CM19" s="35">
        <f>CM$9/CM$14</f>
        <v/>
      </c>
      <c r="CN19" s="36">
        <f>AVERAGE(CK19,CL19,CM19)</f>
        <v/>
      </c>
      <c r="CO19" s="36">
        <f>CN19*(1+'02_Assumptions'!$B$18)</f>
        <v/>
      </c>
      <c r="CP19" s="36">
        <f>CO19*(1+'02_Assumptions'!$B$18)</f>
        <v/>
      </c>
    </row>
    <row r="20">
      <c r="A20" s="19" t="inlineStr">
        <is>
          <t>DT/CH/th BHX</t>
        </is>
      </c>
      <c r="B20" s="35">
        <f>B$10/B$15</f>
        <v/>
      </c>
      <c r="C20" s="35">
        <f>C$10/C$15</f>
        <v/>
      </c>
      <c r="D20" s="35">
        <f>D$10/D$15</f>
        <v/>
      </c>
      <c r="E20" s="35">
        <f>E$10/E$15</f>
        <v/>
      </c>
      <c r="F20" s="35">
        <f>F$10/F$15</f>
        <v/>
      </c>
      <c r="G20" s="35">
        <f>G$10/G$15</f>
        <v/>
      </c>
      <c r="H20" s="35">
        <f>H$10/H$15</f>
        <v/>
      </c>
      <c r="I20" s="35">
        <f>I$10/I$15</f>
        <v/>
      </c>
      <c r="J20" s="35">
        <f>J$10/J$15</f>
        <v/>
      </c>
      <c r="K20" s="35">
        <f>K$10/K$15</f>
        <v/>
      </c>
      <c r="L20" s="35">
        <f>L$10/L$15</f>
        <v/>
      </c>
      <c r="M20" s="35">
        <f>M$10/M$15</f>
        <v/>
      </c>
      <c r="N20" s="35">
        <f>N$10/N$15</f>
        <v/>
      </c>
      <c r="O20" s="35">
        <f>O$10/O$15</f>
        <v/>
      </c>
      <c r="P20" s="35">
        <f>P$10/P$15</f>
        <v/>
      </c>
      <c r="Q20" s="35">
        <f>Q$10/Q$15</f>
        <v/>
      </c>
      <c r="R20" s="35">
        <f>R$10/R$15</f>
        <v/>
      </c>
      <c r="S20" s="35" t="n"/>
      <c r="T20" s="35">
        <f>T$10/T$15</f>
        <v/>
      </c>
      <c r="U20" s="35">
        <f>U$10/U$15</f>
        <v/>
      </c>
      <c r="V20" s="35">
        <f>V$10/V$15</f>
        <v/>
      </c>
      <c r="W20" s="35">
        <f>W$10/W$15</f>
        <v/>
      </c>
      <c r="X20" s="35">
        <f>X$10/X$15</f>
        <v/>
      </c>
      <c r="Y20" s="35" t="n"/>
      <c r="Z20" s="35" t="n"/>
      <c r="AA20" s="35">
        <f>AA$10/AA$15</f>
        <v/>
      </c>
      <c r="AB20" s="35">
        <f>AB$10/AB$15</f>
        <v/>
      </c>
      <c r="AC20" s="35">
        <f>AC$10/AC$15</f>
        <v/>
      </c>
      <c r="AD20" s="35">
        <f>AD$10/AD$15</f>
        <v/>
      </c>
      <c r="AE20" s="35">
        <f>AE$10/AE$15</f>
        <v/>
      </c>
      <c r="AF20" s="35">
        <f>AF$10/AF$15</f>
        <v/>
      </c>
      <c r="AG20" s="35">
        <f>AG$10/AG$15</f>
        <v/>
      </c>
      <c r="AH20" s="35">
        <f>AH$10/AH$15</f>
        <v/>
      </c>
      <c r="AI20" s="35">
        <f>AI$10/AI$15</f>
        <v/>
      </c>
      <c r="AJ20" s="35">
        <f>AJ$10/AJ$15</f>
        <v/>
      </c>
      <c r="AK20" s="35" t="n"/>
      <c r="AL20" s="35">
        <f>AL$10/AL$15</f>
        <v/>
      </c>
      <c r="AM20" s="35">
        <f>AM$10/AM$15</f>
        <v/>
      </c>
      <c r="AN20" s="35">
        <f>AN$10/AN$15</f>
        <v/>
      </c>
      <c r="AO20" s="35">
        <f>AO$10/AO$15</f>
        <v/>
      </c>
      <c r="AP20" s="35">
        <f>AP$10/AP$15</f>
        <v/>
      </c>
      <c r="AQ20" s="35">
        <f>AQ$10/AQ$15</f>
        <v/>
      </c>
      <c r="AR20" s="35">
        <f>AR$10/AR$15</f>
        <v/>
      </c>
      <c r="AS20" s="35">
        <f>AS$10/AS$15</f>
        <v/>
      </c>
      <c r="AT20" s="35">
        <f>AT$10/AT$15</f>
        <v/>
      </c>
      <c r="AU20" s="35">
        <f>AU$10/AU$15</f>
        <v/>
      </c>
      <c r="AV20" s="35">
        <f>AV$10/AV$15</f>
        <v/>
      </c>
      <c r="AW20" s="35">
        <f>AW$10/AW$15</f>
        <v/>
      </c>
      <c r="AX20" s="35">
        <f>AX$10/AX$15</f>
        <v/>
      </c>
      <c r="AY20" s="35">
        <f>AY$10/AY$15</f>
        <v/>
      </c>
      <c r="AZ20" s="35">
        <f>AZ$10/AZ$15</f>
        <v/>
      </c>
      <c r="BA20" s="35">
        <f>BA$10/BA$15</f>
        <v/>
      </c>
      <c r="BB20" s="35">
        <f>BB$10/BB$15</f>
        <v/>
      </c>
      <c r="BC20" s="35">
        <f>BC$10/BC$15</f>
        <v/>
      </c>
      <c r="BD20" s="35">
        <f>BD$10/BD$15</f>
        <v/>
      </c>
      <c r="BE20" s="35">
        <f>BE$10/BE$15</f>
        <v/>
      </c>
      <c r="BF20" s="35">
        <f>BF$10/BF$15</f>
        <v/>
      </c>
      <c r="BG20" s="35">
        <f>BG$10/BG$15</f>
        <v/>
      </c>
      <c r="BH20" s="35">
        <f>BH$10/BH$15</f>
        <v/>
      </c>
      <c r="BI20" s="35">
        <f>BI$10/BI$15</f>
        <v/>
      </c>
      <c r="BJ20" s="35">
        <f>BJ$10/BJ$15</f>
        <v/>
      </c>
      <c r="BK20" s="35">
        <f>BK$10/BK$15</f>
        <v/>
      </c>
      <c r="BL20" s="35">
        <f>BL$10/BL$15</f>
        <v/>
      </c>
      <c r="BM20" s="35">
        <f>BM$10/BM$15</f>
        <v/>
      </c>
      <c r="BN20" s="35">
        <f>BN$10/BN$15</f>
        <v/>
      </c>
      <c r="BO20" s="35">
        <f>BO$10/BO$15</f>
        <v/>
      </c>
      <c r="BP20" s="35">
        <f>BP$10/BP$15</f>
        <v/>
      </c>
      <c r="BQ20" s="35">
        <f>BQ$10/BQ$15</f>
        <v/>
      </c>
      <c r="BR20" s="35">
        <f>BR$10/BR$15</f>
        <v/>
      </c>
      <c r="BS20" s="35">
        <f>BS$10/BS$15</f>
        <v/>
      </c>
      <c r="BT20" s="35">
        <f>BT$10/BT$15</f>
        <v/>
      </c>
      <c r="BU20" s="35">
        <f>BU$10/BU$15</f>
        <v/>
      </c>
      <c r="BV20" s="35">
        <f>BV$10/BV$15</f>
        <v/>
      </c>
      <c r="BW20" s="35">
        <f>BW$10/BW$15</f>
        <v/>
      </c>
      <c r="BX20" s="35">
        <f>BX$10/BX$15</f>
        <v/>
      </c>
      <c r="BY20" s="35">
        <f>BY$10/BY$15</f>
        <v/>
      </c>
      <c r="BZ20" s="35">
        <f>BZ$10/BZ$15</f>
        <v/>
      </c>
      <c r="CA20" s="35">
        <f>CA$10/CA$15</f>
        <v/>
      </c>
      <c r="CB20" s="35">
        <f>CB$10/CB$15</f>
        <v/>
      </c>
      <c r="CC20" s="35">
        <f>CC$10/CC$15</f>
        <v/>
      </c>
      <c r="CD20" s="35">
        <f>CD$10/CD$15</f>
        <v/>
      </c>
      <c r="CE20" s="35">
        <f>CE$10/CE$15</f>
        <v/>
      </c>
      <c r="CF20" s="35">
        <f>CF$10/CF$15</f>
        <v/>
      </c>
      <c r="CG20" s="35">
        <f>CG$10/CG$15</f>
        <v/>
      </c>
      <c r="CH20" s="35">
        <f>CH$10/CH$15</f>
        <v/>
      </c>
      <c r="CI20" s="35">
        <f>CI$10/CI$15</f>
        <v/>
      </c>
      <c r="CJ20" s="35">
        <f>CJ$10/CJ$15</f>
        <v/>
      </c>
      <c r="CK20" s="35">
        <f>CK$10/CK$15</f>
        <v/>
      </c>
      <c r="CL20" s="35">
        <f>CL$10/CL$15</f>
        <v/>
      </c>
      <c r="CM20" s="35">
        <f>CM$10/CM$15</f>
        <v/>
      </c>
      <c r="CN20" s="36">
        <f>AVERAGE(CK20,CL20,CM20)</f>
        <v/>
      </c>
      <c r="CO20" s="36">
        <f>CN20*(1+'02_Assumptions'!$B$19)</f>
        <v/>
      </c>
      <c r="CP20" s="36">
        <f>CO20*(1+'02_Assumptions'!$B$19)</f>
        <v/>
      </c>
    </row>
    <row r="21">
      <c r="A21" s="19" t="inlineStr">
        <is>
          <t>DT/CH/th Khac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>
        <f>AW$11/AW$16</f>
        <v/>
      </c>
      <c r="AX21" s="35">
        <f>AX$11/AX$16</f>
        <v/>
      </c>
      <c r="AY21" s="35">
        <f>AY$11/AY$16</f>
        <v/>
      </c>
      <c r="AZ21" s="35">
        <f>AZ$11/AZ$16</f>
        <v/>
      </c>
      <c r="BA21" s="35">
        <f>BA$11/BA$16</f>
        <v/>
      </c>
      <c r="BB21" s="35">
        <f>BB$11/BB$16</f>
        <v/>
      </c>
      <c r="BC21" s="35">
        <f>BC$11/BC$16</f>
        <v/>
      </c>
      <c r="BD21" s="35">
        <f>BD$11/BD$16</f>
        <v/>
      </c>
      <c r="BE21" s="35">
        <f>BE$11/BE$16</f>
        <v/>
      </c>
      <c r="BF21" s="35">
        <f>BF$11/BF$16</f>
        <v/>
      </c>
      <c r="BG21" s="35">
        <f>BG$11/BG$16</f>
        <v/>
      </c>
      <c r="BH21" s="35">
        <f>BH$11/BH$16</f>
        <v/>
      </c>
      <c r="BI21" s="35">
        <f>BI$11/BI$16</f>
        <v/>
      </c>
      <c r="BJ21" s="35" t="n"/>
      <c r="BK21" s="35" t="n"/>
      <c r="BL21" s="35">
        <f>BL$11/BL$16</f>
        <v/>
      </c>
      <c r="BM21" s="35">
        <f>BM$11/BM$16</f>
        <v/>
      </c>
      <c r="BN21" s="35">
        <f>BN$11/BN$16</f>
        <v/>
      </c>
      <c r="BO21" s="35">
        <f>BO$11/BO$16</f>
        <v/>
      </c>
      <c r="BP21" s="35">
        <f>BP$11/BP$16</f>
        <v/>
      </c>
      <c r="BQ21" s="35">
        <f>BQ$11/BQ$16</f>
        <v/>
      </c>
      <c r="BR21" s="35">
        <f>BR$11/BR$16</f>
        <v/>
      </c>
      <c r="BS21" s="35">
        <f>BS$11/BS$16</f>
        <v/>
      </c>
      <c r="BT21" s="35">
        <f>BT$11/BT$16</f>
        <v/>
      </c>
      <c r="BU21" s="35">
        <f>BU$11/BU$16</f>
        <v/>
      </c>
      <c r="BV21" s="35">
        <f>BV$11/BV$16</f>
        <v/>
      </c>
      <c r="BW21" s="35">
        <f>BW$11/BW$16</f>
        <v/>
      </c>
      <c r="BX21" s="35">
        <f>BX$11/BX$16</f>
        <v/>
      </c>
      <c r="BY21" s="35">
        <f>BY$11/BY$16</f>
        <v/>
      </c>
      <c r="BZ21" s="35">
        <f>BZ$11/BZ$16</f>
        <v/>
      </c>
      <c r="CA21" s="35">
        <f>CA$11/CA$16</f>
        <v/>
      </c>
      <c r="CB21" s="35">
        <f>CB$11/CB$16</f>
        <v/>
      </c>
      <c r="CC21" s="35">
        <f>CC$11/CC$16</f>
        <v/>
      </c>
      <c r="CD21" s="35">
        <f>CD$11/CD$16</f>
        <v/>
      </c>
      <c r="CE21" s="35">
        <f>CE$11/CE$16</f>
        <v/>
      </c>
      <c r="CF21" s="35">
        <f>CF$11/CF$16</f>
        <v/>
      </c>
      <c r="CG21" s="35">
        <f>CG$11/CG$16</f>
        <v/>
      </c>
      <c r="CH21" s="35">
        <f>CH$11/CH$16</f>
        <v/>
      </c>
      <c r="CI21" s="35">
        <f>CI$11/CI$16</f>
        <v/>
      </c>
      <c r="CJ21" s="35">
        <f>CJ$11/CJ$16</f>
        <v/>
      </c>
      <c r="CK21" s="35">
        <f>CK$11/CK$16</f>
        <v/>
      </c>
      <c r="CL21" s="35">
        <f>CL$11/CL$16</f>
        <v/>
      </c>
      <c r="CM21" s="35">
        <f>CM$11/CM$16</f>
        <v/>
      </c>
      <c r="CN21" s="36">
        <f>AVERAGE(CK21,CL21,CM21)</f>
        <v/>
      </c>
      <c r="CO21" s="36">
        <f>CN21*(1+'02_Assumptions'!$B$20)</f>
        <v/>
      </c>
      <c r="CP21" s="36">
        <f>CO21*(1+'02_Assumptions'!$B$20)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Doanh thu theo mảng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── TGDD ──</t>
        </is>
      </c>
    </row>
    <row r="3">
      <c r="A3" s="37" t="inlineStr">
        <is>
          <t xml:space="preserve">  Số cửa hàng cuối kỳ</t>
        </is>
      </c>
      <c r="B3" s="21" t="n"/>
      <c r="C3" s="21" t="n"/>
      <c r="D3" s="21" t="n"/>
      <c r="E3" s="21" t="n">
        <v>1021</v>
      </c>
      <c r="F3" s="21" t="n">
        <v>1012</v>
      </c>
      <c r="G3" s="21">
        <f>'02_Assumptions'!G7</f>
        <v/>
      </c>
      <c r="H3" s="21">
        <f>'02_Assumptions'!H7</f>
        <v/>
      </c>
      <c r="I3" s="21">
        <f>'02_Assumptions'!I7</f>
        <v/>
      </c>
    </row>
    <row r="4">
      <c r="A4" s="37" t="inlineStr">
        <is>
          <t xml:space="preserve">  Hiệu quả DT/CH/tháng (tỷ VND)</t>
        </is>
      </c>
      <c r="B4" s="23" t="n"/>
      <c r="C4" s="23" t="n"/>
      <c r="D4" s="23" t="n"/>
      <c r="E4" s="23" t="n"/>
      <c r="F4" s="23" t="n"/>
      <c r="G4" s="23">
        <f>'03a_Monthly_Data'!CN18</f>
        <v/>
      </c>
      <c r="H4" s="23">
        <f>'03a_Monthly_Data'!CO18</f>
        <v/>
      </c>
      <c r="I4" s="23">
        <f>'03a_Monthly_Data'!CP18</f>
        <v/>
      </c>
    </row>
    <row r="5">
      <c r="A5" s="1" t="inlineStr">
        <is>
          <t xml:space="preserve">  Doanh thu mảng</t>
        </is>
      </c>
      <c r="B5" s="38" t="n"/>
      <c r="C5" s="38" t="n"/>
      <c r="D5" s="38" t="n">
        <v>28037</v>
      </c>
      <c r="E5" s="38" t="n">
        <v>30000</v>
      </c>
      <c r="F5" s="38" t="n">
        <v>37300</v>
      </c>
      <c r="G5" s="38">
        <f>'03a_Monthly_Data'!CN8</f>
        <v/>
      </c>
      <c r="H5" s="38">
        <f>'03a_Monthly_Data'!CO8</f>
        <v/>
      </c>
      <c r="I5" s="38">
        <f>'03a_Monthly_Data'!CP8</f>
        <v/>
      </c>
    </row>
    <row r="6">
      <c r="A6" s="1" t="inlineStr">
        <is>
          <t>── DMX ──</t>
        </is>
      </c>
    </row>
    <row r="7">
      <c r="A7" s="37" t="inlineStr">
        <is>
          <t xml:space="preserve">  Số cửa hàng cuối kỳ</t>
        </is>
      </c>
      <c r="B7" s="21" t="n"/>
      <c r="C7" s="21" t="n"/>
      <c r="D7" s="21" t="n"/>
      <c r="E7" s="21" t="n">
        <v>2026</v>
      </c>
      <c r="F7" s="21" t="n">
        <v>2008</v>
      </c>
      <c r="G7" s="21">
        <f>'02_Assumptions'!G8</f>
        <v/>
      </c>
      <c r="H7" s="21">
        <f>'02_Assumptions'!H8</f>
        <v/>
      </c>
      <c r="I7" s="21">
        <f>'02_Assumptions'!I8</f>
        <v/>
      </c>
    </row>
    <row r="8">
      <c r="A8" s="37" t="inlineStr">
        <is>
          <t xml:space="preserve">  Hiệu quả DT/CH/tháng (tỷ VND)</t>
        </is>
      </c>
      <c r="B8" s="23" t="n"/>
      <c r="C8" s="23" t="n"/>
      <c r="D8" s="23" t="n"/>
      <c r="E8" s="23" t="n"/>
      <c r="F8" s="23" t="n"/>
      <c r="G8" s="23">
        <f>'03a_Monthly_Data'!CN19</f>
        <v/>
      </c>
      <c r="H8" s="23">
        <f>'03a_Monthly_Data'!CO19</f>
        <v/>
      </c>
      <c r="I8" s="23">
        <f>'03a_Monthly_Data'!CP19</f>
        <v/>
      </c>
    </row>
    <row r="9">
      <c r="A9" s="1" t="inlineStr">
        <is>
          <t xml:space="preserve">  Doanh thu mảng</t>
        </is>
      </c>
      <c r="B9" s="38" t="n"/>
      <c r="C9" s="38" t="n"/>
      <c r="D9" s="38" t="n">
        <v>55607</v>
      </c>
      <c r="E9" s="38" t="n">
        <v>59500</v>
      </c>
      <c r="F9" s="38" t="n">
        <v>68400</v>
      </c>
      <c r="G9" s="38">
        <f>'03a_Monthly_Data'!CN9</f>
        <v/>
      </c>
      <c r="H9" s="38">
        <f>'03a_Monthly_Data'!CO9</f>
        <v/>
      </c>
      <c r="I9" s="38">
        <f>'03a_Monthly_Data'!CP9</f>
        <v/>
      </c>
    </row>
    <row r="10">
      <c r="A10" s="1" t="inlineStr">
        <is>
          <t>── BHX ──</t>
        </is>
      </c>
    </row>
    <row r="11">
      <c r="A11" s="37" t="inlineStr">
        <is>
          <t xml:space="preserve">  Số cửa hàng cuối kỳ</t>
        </is>
      </c>
      <c r="B11" s="21" t="n"/>
      <c r="C11" s="21" t="n"/>
      <c r="D11" s="21" t="n"/>
      <c r="E11" s="21" t="n">
        <v>1770</v>
      </c>
      <c r="F11" s="21" t="n">
        <v>2559</v>
      </c>
      <c r="G11" s="21">
        <f>'02_Assumptions'!G9</f>
        <v/>
      </c>
      <c r="H11" s="21">
        <f>'02_Assumptions'!H9</f>
        <v/>
      </c>
      <c r="I11" s="21">
        <f>'02_Assumptions'!I9</f>
        <v/>
      </c>
    </row>
    <row r="12">
      <c r="A12" s="37" t="inlineStr">
        <is>
          <t xml:space="preserve">  Hiệu quả DT/CH/tháng (tỷ VND)</t>
        </is>
      </c>
      <c r="B12" s="23" t="n"/>
      <c r="C12" s="23" t="n"/>
      <c r="D12" s="23" t="n"/>
      <c r="E12" s="23" t="n"/>
      <c r="F12" s="23" t="n"/>
      <c r="G12" s="23">
        <f>'03a_Monthly_Data'!CN20</f>
        <v/>
      </c>
      <c r="H12" s="23">
        <f>'03a_Monthly_Data'!CO20</f>
        <v/>
      </c>
      <c r="I12" s="23">
        <f>'03a_Monthly_Data'!CP20</f>
        <v/>
      </c>
    </row>
    <row r="13">
      <c r="A13" s="1" t="inlineStr">
        <is>
          <t xml:space="preserve">  Doanh thu mảng</t>
        </is>
      </c>
      <c r="B13" s="38" t="n"/>
      <c r="C13" s="38" t="n"/>
      <c r="D13" s="38" t="n">
        <v>31538</v>
      </c>
      <c r="E13" s="38" t="n">
        <v>41000</v>
      </c>
      <c r="F13" s="38" t="n">
        <v>46900</v>
      </c>
      <c r="G13" s="38">
        <f>'03a_Monthly_Data'!CN10</f>
        <v/>
      </c>
      <c r="H13" s="38">
        <f>'03a_Monthly_Data'!CO10</f>
        <v/>
      </c>
      <c r="I13" s="38">
        <f>'03a_Monthly_Data'!CP10</f>
        <v/>
      </c>
    </row>
    <row r="14">
      <c r="A14" s="1" t="inlineStr">
        <is>
          <t>── Khac ──</t>
        </is>
      </c>
    </row>
    <row r="15">
      <c r="A15" s="37" t="inlineStr">
        <is>
          <t xml:space="preserve">  Số cửa hàng cuối kỳ</t>
        </is>
      </c>
      <c r="B15" s="21" t="n"/>
      <c r="C15" s="21" t="n"/>
      <c r="D15" s="21" t="n"/>
      <c r="E15" s="21" t="n"/>
      <c r="F15" s="21" t="n"/>
      <c r="G15" s="21">
        <f>'02_Assumptions'!G10</f>
        <v/>
      </c>
      <c r="H15" s="21">
        <f>'02_Assumptions'!H10</f>
        <v/>
      </c>
      <c r="I15" s="21">
        <f>'02_Assumptions'!I10</f>
        <v/>
      </c>
    </row>
    <row r="16">
      <c r="A16" s="37" t="inlineStr">
        <is>
          <t xml:space="preserve">  Hiệu quả DT/CH/tháng (tỷ VND)</t>
        </is>
      </c>
      <c r="B16" s="23" t="n"/>
      <c r="C16" s="23" t="n"/>
      <c r="D16" s="23" t="n"/>
      <c r="E16" s="23" t="n"/>
      <c r="F16" s="23" t="n"/>
      <c r="G16" s="23">
        <f>'03a_Monthly_Data'!CN21</f>
        <v/>
      </c>
      <c r="H16" s="23">
        <f>'03a_Monthly_Data'!CO21</f>
        <v/>
      </c>
      <c r="I16" s="23">
        <f>'03a_Monthly_Data'!CP21</f>
        <v/>
      </c>
    </row>
    <row r="17">
      <c r="A17" s="1" t="inlineStr">
        <is>
          <t xml:space="preserve">  Doanh thu mảng</t>
        </is>
      </c>
      <c r="B17" s="38" t="n"/>
      <c r="C17" s="38" t="n"/>
      <c r="D17" s="38" t="n">
        <v>3098</v>
      </c>
      <c r="E17" s="38" t="n">
        <v>3841.2</v>
      </c>
      <c r="F17" s="38" t="n">
        <v>3566</v>
      </c>
      <c r="G17" s="38">
        <f>'03a_Monthly_Data'!CN11</f>
        <v/>
      </c>
      <c r="H17" s="38">
        <f>'03a_Monthly_Data'!CO11</f>
        <v/>
      </c>
      <c r="I17" s="38">
        <f>'03a_Monthly_Data'!CP11</f>
        <v/>
      </c>
    </row>
    <row r="18">
      <c r="A18" s="1" t="inlineStr">
        <is>
          <t>TỔNG DOANH THU</t>
        </is>
      </c>
      <c r="B18" s="39">
        <f>B5+B9+B13+B17</f>
        <v/>
      </c>
      <c r="C18" s="39">
        <f>C5+C9+C13+C17</f>
        <v/>
      </c>
      <c r="D18" s="39">
        <f>D5+D9+D13+D17</f>
        <v/>
      </c>
      <c r="E18" s="39">
        <f>E5+E9+E13+E17</f>
        <v/>
      </c>
      <c r="F18" s="39">
        <f>F5+F9+F13+F17</f>
        <v/>
      </c>
      <c r="G18" s="39">
        <f>G5+G9+G13+G17</f>
        <v/>
      </c>
      <c r="H18" s="39">
        <f>H5+H9+H13+H17</f>
        <v/>
      </c>
      <c r="I18" s="39">
        <f>I5+I9+I13+I17</f>
        <v/>
      </c>
    </row>
    <row r="19">
      <c r="A19" s="37" t="inlineStr">
        <is>
          <t>Tăng trưởng DT YoY (%)</t>
        </is>
      </c>
      <c r="C19" s="40">
        <f>IFERROR(C18/B18-1,"")</f>
        <v/>
      </c>
      <c r="D19" s="40">
        <f>IFERROR(D18/C18-1,"")</f>
        <v/>
      </c>
      <c r="E19" s="40">
        <f>IFERROR(E18/D18-1,"")</f>
        <v/>
      </c>
      <c r="F19" s="40">
        <f>IFERROR(F18/E18-1,"")</f>
        <v/>
      </c>
      <c r="G19" s="40">
        <f>IFERROR(G18/F18-1,"")</f>
        <v/>
      </c>
      <c r="H19" s="40">
        <f>IFERROR(H18/G18-1,"")</f>
        <v/>
      </c>
      <c r="I19" s="40">
        <f>IFERROR(I18/H18-1,"")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22" customWidth="1" min="11" max="11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  <c r="K1" s="20" t="inlineStr">
        <is>
          <t>2026 Base (chưa blend quý thực tế)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'02_Assumptions'!$B$54+K2*(4-'02_Assumptions'!$B$53)/4</f>
        <v/>
      </c>
      <c r="H2" s="41">
        <f>'03_Revenue_Model'!H18</f>
        <v/>
      </c>
      <c r="I2" s="41">
        <f>'03_Revenue_Model'!I18</f>
        <v/>
      </c>
      <c r="J2" s="42" t="inlineStr">
        <is>
          <t>2026: đã blend lũy kế quý thực tế + Base (cột bên phải)</t>
        </is>
      </c>
      <c r="K2" s="43">
        <f>'03_Revenue_Model'!G18</f>
        <v/>
      </c>
    </row>
    <row r="3">
      <c r="A3" s="19" t="inlineStr">
        <is>
          <t xml:space="preserve">  Tăng trưởng YoY (%)</t>
        </is>
      </c>
      <c r="B3" s="40" t="n"/>
      <c r="C3" s="40" t="n">
        <v>0.08500000000000001</v>
      </c>
      <c r="D3" s="40" t="n">
        <v>-0.1134</v>
      </c>
      <c r="E3" s="40" t="n">
        <v>0.1358</v>
      </c>
      <c r="F3" s="40" t="n">
        <v>0.1607</v>
      </c>
      <c r="G3" s="40">
        <f>G2/F2-1</f>
        <v/>
      </c>
      <c r="H3" s="40">
        <f>H2/G2-1</f>
        <v/>
      </c>
      <c r="I3" s="40">
        <f>I2/H2-1</f>
        <v/>
      </c>
      <c r="J3" s="42" t="inlineStr"/>
    </row>
    <row r="4">
      <c r="A4" s="19" t="inlineStr">
        <is>
          <t>Giá vốn hàng bán</t>
        </is>
      </c>
      <c r="B4" s="21" t="n">
        <v>-95326</v>
      </c>
      <c r="C4" s="21" t="n">
        <v>-102542.7</v>
      </c>
      <c r="D4" s="21" t="n">
        <v>-95759.2</v>
      </c>
      <c r="E4" s="21" t="n">
        <v>-106841.9</v>
      </c>
      <c r="F4" s="21" t="n">
        <v>-124926.3</v>
      </c>
      <c r="G4" s="21">
        <f>'02_Assumptions'!$B$55+K4*(4-'02_Assumptions'!$B$53)/4</f>
        <v/>
      </c>
      <c r="H4" s="21">
        <f>-H2*(1-'02_Assumptions'!H23)</f>
        <v/>
      </c>
      <c r="I4" s="21">
        <f>-I2*(1-'02_Assumptions'!I23)</f>
        <v/>
      </c>
      <c r="J4" s="42" t="inlineStr"/>
      <c r="K4" s="43">
        <f>-K2*(1-'02_Assumptions'!G23)</f>
        <v/>
      </c>
    </row>
    <row r="5">
      <c r="A5" s="10" t="inlineStr">
        <is>
          <t>Lợi nhuận gộp</t>
        </is>
      </c>
      <c r="B5" s="38" t="n">
        <v>27632.10000000001</v>
      </c>
      <c r="C5" s="38" t="n">
        <v>30862.09999999999</v>
      </c>
      <c r="D5" s="38" t="n">
        <v>22520.60000000001</v>
      </c>
      <c r="E5" s="38" t="n">
        <v>27499.30000000002</v>
      </c>
      <c r="F5" s="38" t="n">
        <v>31001.8</v>
      </c>
      <c r="G5" s="38">
        <f>G2+G4</f>
        <v/>
      </c>
      <c r="H5" s="38">
        <f>H2+H4</f>
        <v/>
      </c>
      <c r="I5" s="38">
        <f>I2+I4</f>
        <v/>
      </c>
      <c r="J5" s="42" t="inlineStr"/>
      <c r="K5" s="43">
        <f>K2+K4</f>
        <v/>
      </c>
    </row>
    <row r="6">
      <c r="A6" s="19" t="inlineStr">
        <is>
          <t xml:space="preserve">  Biên LNG (%)</t>
        </is>
      </c>
      <c r="B6" s="28" t="n">
        <v>0.2247</v>
      </c>
      <c r="C6" s="28" t="n">
        <v>0.2313</v>
      </c>
      <c r="D6" s="28" t="n">
        <v>0.1904</v>
      </c>
      <c r="E6" s="28" t="n">
        <v>0.2047</v>
      </c>
      <c r="F6" s="28" t="n">
        <v>0.1988</v>
      </c>
      <c r="G6" s="28">
        <f>G5/G2</f>
        <v/>
      </c>
      <c r="H6" s="28">
        <f>H5/H2</f>
        <v/>
      </c>
      <c r="I6" s="28">
        <f>I5/I2</f>
        <v/>
      </c>
      <c r="J6" s="42" t="inlineStr"/>
    </row>
    <row r="7">
      <c r="A7" s="19" t="inlineStr">
        <is>
          <t>Chi phí bán hàng &amp; QLDN</t>
        </is>
      </c>
      <c r="B7" s="21" t="n">
        <v>-21737.6</v>
      </c>
      <c r="C7" s="21" t="n">
        <v>-24217.8</v>
      </c>
      <c r="D7" s="21" t="n">
        <v>-22084.4</v>
      </c>
      <c r="E7" s="21" t="n">
        <v>-23415.6</v>
      </c>
      <c r="F7" s="21" t="n">
        <v>-23927</v>
      </c>
      <c r="G7" s="21">
        <f>'02_Assumptions'!$B$56+K7*(4-'02_Assumptions'!$B$53)/4</f>
        <v/>
      </c>
      <c r="H7" s="21">
        <f>-H2*'02_Assumptions'!H24</f>
        <v/>
      </c>
      <c r="I7" s="21">
        <f>-I2*'02_Assumptions'!I24</f>
        <v/>
      </c>
      <c r="J7" s="42" t="inlineStr"/>
      <c r="K7" s="43">
        <f>-K2*'02_Assumptions'!G24</f>
        <v/>
      </c>
    </row>
    <row r="8">
      <c r="A8" s="10" t="inlineStr">
        <is>
          <t>EBIT</t>
        </is>
      </c>
      <c r="B8" s="38" t="n">
        <v>5894.500000000004</v>
      </c>
      <c r="C8" s="38" t="n">
        <v>6644.299999999992</v>
      </c>
      <c r="D8" s="38" t="n">
        <v>436.2000000000044</v>
      </c>
      <c r="E8" s="38" t="n">
        <v>4083.700000000019</v>
      </c>
      <c r="F8" s="38" t="n">
        <v>7074.800000000003</v>
      </c>
      <c r="G8" s="38">
        <f>G5+G7</f>
        <v/>
      </c>
      <c r="H8" s="38">
        <f>H5+H7</f>
        <v/>
      </c>
      <c r="I8" s="38">
        <f>I5+I7</f>
        <v/>
      </c>
      <c r="J8" s="42" t="inlineStr"/>
      <c r="K8" s="43">
        <f>K5+K7</f>
        <v/>
      </c>
    </row>
    <row r="9">
      <c r="A9" s="19" t="inlineStr">
        <is>
          <t xml:space="preserve">  Biên EBIT (%)</t>
        </is>
      </c>
      <c r="B9" s="28" t="n">
        <v>0.0479</v>
      </c>
      <c r="C9" s="28" t="n">
        <v>0.0498</v>
      </c>
      <c r="D9" s="28" t="n">
        <v>0.0037</v>
      </c>
      <c r="E9" s="28" t="n">
        <v>0.0304</v>
      </c>
      <c r="F9" s="28" t="n">
        <v>0.0454</v>
      </c>
      <c r="G9" s="28">
        <f>G8/G2</f>
        <v/>
      </c>
      <c r="H9" s="28">
        <f>H8/H2</f>
        <v/>
      </c>
      <c r="I9" s="28">
        <f>I8/I2</f>
        <v/>
      </c>
      <c r="J9" s="42" t="inlineStr"/>
    </row>
    <row r="10">
      <c r="A10" s="19" t="inlineStr">
        <is>
          <t>D&amp;A</t>
        </is>
      </c>
      <c r="B10" s="21" t="n">
        <v>2920.7</v>
      </c>
      <c r="C10" s="21" t="n">
        <v>3540.3</v>
      </c>
      <c r="D10" s="21" t="n">
        <v>3351.3</v>
      </c>
      <c r="E10" s="21" t="n">
        <v>2913.4</v>
      </c>
      <c r="F10" s="21" t="n">
        <v>1890.9</v>
      </c>
      <c r="G10" s="21">
        <f>G2*'02_Assumptions'!$B$33</f>
        <v/>
      </c>
      <c r="H10" s="21">
        <f>H2*'02_Assumptions'!$B$33</f>
        <v/>
      </c>
      <c r="I10" s="21">
        <f>I2*'02_Assumptions'!$B$33</f>
        <v/>
      </c>
      <c r="J10" s="42" t="inlineStr"/>
    </row>
    <row r="11">
      <c r="A11" s="10" t="inlineStr">
        <is>
          <t>EBITDA</t>
        </is>
      </c>
      <c r="B11" s="38" t="n">
        <v>8815.200000000004</v>
      </c>
      <c r="C11" s="38" t="n">
        <v>10184.59999999999</v>
      </c>
      <c r="D11" s="38" t="n">
        <v>3787.500000000005</v>
      </c>
      <c r="E11" s="38" t="n">
        <v>6997.100000000019</v>
      </c>
      <c r="F11" s="38" t="n">
        <v>8965.700000000003</v>
      </c>
      <c r="G11" s="38">
        <f>G8+G10</f>
        <v/>
      </c>
      <c r="H11" s="38">
        <f>H8+H10</f>
        <v/>
      </c>
      <c r="I11" s="38">
        <f>I8+I10</f>
        <v/>
      </c>
      <c r="J11" s="42" t="inlineStr"/>
    </row>
    <row r="12">
      <c r="A12" s="19" t="inlineStr">
        <is>
          <t>DT/CP tài chính ròng</t>
        </is>
      </c>
      <c r="B12" s="21" t="n">
        <v>573.3</v>
      </c>
      <c r="C12" s="21" t="n">
        <v>-69.5</v>
      </c>
      <c r="D12" s="21" t="n">
        <v>610.9</v>
      </c>
      <c r="E12" s="21" t="n">
        <v>1188</v>
      </c>
      <c r="F12" s="21" t="n">
        <v>1564.8</v>
      </c>
      <c r="G12" s="21">
        <f>'02_Assumptions'!$B$57+K12*(4-'02_Assumptions'!$B$53)/4</f>
        <v/>
      </c>
      <c r="H12" s="21">
        <f>H2*'02_Assumptions'!$B$26</f>
        <v/>
      </c>
      <c r="I12" s="21">
        <f>I2*'02_Assumptions'!$B$26</f>
        <v/>
      </c>
      <c r="J12" s="42" t="inlineStr"/>
      <c r="K12" s="43">
        <f>K2*'02_Assumptions'!$B$26</f>
        <v/>
      </c>
    </row>
    <row r="13">
      <c r="A13" s="10" t="inlineStr">
        <is>
          <t>Lợi nhuận trước thuế (EBT)</t>
        </is>
      </c>
      <c r="B13" s="41" t="n">
        <v>6471.6</v>
      </c>
      <c r="C13" s="41" t="n">
        <v>6056.4</v>
      </c>
      <c r="D13" s="41" t="n">
        <v>689.7</v>
      </c>
      <c r="E13" s="41" t="n">
        <v>4825.8</v>
      </c>
      <c r="F13" s="41" t="n">
        <v>8633.1</v>
      </c>
      <c r="G13" s="41">
        <f>G8+G12</f>
        <v/>
      </c>
      <c r="H13" s="41">
        <f>H8+H12</f>
        <v/>
      </c>
      <c r="I13" s="41">
        <f>I8+I12</f>
        <v/>
      </c>
      <c r="J13" s="42" t="inlineStr"/>
      <c r="K13" s="43">
        <f>K8+K12</f>
        <v/>
      </c>
    </row>
    <row r="14">
      <c r="A14" s="19" t="inlineStr">
        <is>
          <t>Thuế TNDN</t>
        </is>
      </c>
      <c r="B14" s="21" t="n">
        <v>1570.2</v>
      </c>
      <c r="C14" s="21" t="n">
        <v>1954.7</v>
      </c>
      <c r="D14" s="21" t="n">
        <v>521.9</v>
      </c>
      <c r="E14" s="21" t="n">
        <v>1092.5</v>
      </c>
      <c r="F14" s="21" t="n">
        <v>1560.5</v>
      </c>
      <c r="G14" s="21">
        <f>'02_Assumptions'!$B$59+K14*(4-'02_Assumptions'!$B$53)/4</f>
        <v/>
      </c>
      <c r="H14" s="21">
        <f>H13*'02_Assumptions'!$B$25</f>
        <v/>
      </c>
      <c r="I14" s="21">
        <f>I13*'02_Assumptions'!$B$25</f>
        <v/>
      </c>
      <c r="J14" s="42" t="inlineStr"/>
      <c r="K14" s="43">
        <f>K13*'02_Assumptions'!$B$25</f>
        <v/>
      </c>
    </row>
    <row r="15">
      <c r="A15" s="10" t="inlineStr">
        <is>
          <t>LNST hợp nhất</t>
        </is>
      </c>
      <c r="B15" s="38" t="n">
        <v>4901.4</v>
      </c>
      <c r="C15" s="38" t="n">
        <v>4101.7</v>
      </c>
      <c r="D15" s="38" t="n">
        <v>167.8</v>
      </c>
      <c r="E15" s="38" t="n">
        <v>3733.3</v>
      </c>
      <c r="F15" s="38" t="n">
        <v>7072.6</v>
      </c>
      <c r="G15" s="38">
        <f>G13-G14</f>
        <v/>
      </c>
      <c r="H15" s="38">
        <f>H13-H14</f>
        <v/>
      </c>
      <c r="I15" s="38">
        <f>I13-I14</f>
        <v/>
      </c>
      <c r="J15" s="42" t="inlineStr"/>
      <c r="K15" s="43">
        <f>K13-K14</f>
        <v/>
      </c>
    </row>
    <row r="16">
      <c r="A16" s="10" t="inlineStr">
        <is>
          <t>LNST Cổ đông Công ty mẹ</t>
        </is>
      </c>
      <c r="B16" s="38" t="n">
        <v>4898.9</v>
      </c>
      <c r="C16" s="38" t="n">
        <v>4099.8</v>
      </c>
      <c r="D16" s="38" t="n">
        <v>167.7</v>
      </c>
      <c r="E16" s="38" t="n">
        <v>3721.9</v>
      </c>
      <c r="F16" s="38" t="n">
        <v>7033.7</v>
      </c>
      <c r="G16" s="38">
        <f>'02_Assumptions'!$B$61+K16*(4-'02_Assumptions'!$B$53)/4</f>
        <v/>
      </c>
      <c r="H16" s="38">
        <f>H15*0.9957</f>
        <v/>
      </c>
      <c r="I16" s="38">
        <f>I15*0.9957</f>
        <v/>
      </c>
      <c r="J16" s="42" t="inlineStr">
        <is>
          <t>Tỷ lệ phân bổ cổ đông mẹ ~99.6% (TB 2 năm gần nhất); 2026 blend trực tiếp theo LNST mẹ thực tế</t>
        </is>
      </c>
      <c r="K16" s="43">
        <f>K15*0.9957</f>
        <v/>
      </c>
    </row>
    <row r="17">
      <c r="A17" s="10" t="inlineStr">
        <is>
          <t>EPS (VND/CP)</t>
        </is>
      </c>
      <c r="B17" s="41" t="n">
        <v>6871</v>
      </c>
      <c r="C17" s="41" t="n">
        <v>2800</v>
      </c>
      <c r="D17" s="41" t="n">
        <v>115</v>
      </c>
      <c r="E17" s="41" t="n">
        <v>2546</v>
      </c>
      <c r="F17" s="41" t="n">
        <v>4785</v>
      </c>
      <c r="G17" s="41">
        <f>G16*1e9/('02_Assumptions'!$B$3*1e6)</f>
        <v/>
      </c>
      <c r="H17" s="41">
        <f>H16*1e9/('02_Assumptions'!$B$3*1e6)</f>
        <v/>
      </c>
      <c r="I17" s="41">
        <f>I16*1e9/('02_Assumptions'!$B$3*1e6)</f>
        <v/>
      </c>
      <c r="J17" s="4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TÀI SẢN</t>
        </is>
      </c>
    </row>
    <row r="3">
      <c r="A3" s="19" t="inlineStr">
        <is>
          <t>Tiền &amp; tương đương tiền</t>
        </is>
      </c>
      <c r="B3" s="21" t="n">
        <v>18378.6</v>
      </c>
      <c r="C3" s="21" t="n">
        <v>15130.2</v>
      </c>
      <c r="D3" s="21" t="n">
        <v>24302.7</v>
      </c>
      <c r="E3" s="21" t="n">
        <v>34221.7</v>
      </c>
      <c r="F3" s="21" t="n">
        <v>38874.2</v>
      </c>
      <c r="G3" s="21">
        <f>F3*(1+'02_Assumptions'!$B$36)</f>
        <v/>
      </c>
      <c r="H3" s="21">
        <f>G3*(1+'02_Assumptions'!$B$36)</f>
        <v/>
      </c>
      <c r="I3" s="21">
        <f>H3*(1+'02_Assumptions'!$B$36)</f>
        <v/>
      </c>
      <c r="J3" s="42" t="inlineStr"/>
    </row>
    <row r="4">
      <c r="A4" s="19" t="inlineStr">
        <is>
          <t>Hàng tồn kho</t>
        </is>
      </c>
      <c r="B4" s="21" t="n">
        <v>29167.2</v>
      </c>
      <c r="C4" s="21" t="n">
        <v>25696.1</v>
      </c>
      <c r="D4" s="21" t="n">
        <v>21824.2</v>
      </c>
      <c r="E4" s="21" t="n">
        <v>22244.7</v>
      </c>
      <c r="F4" s="21" t="n">
        <v>27266.9</v>
      </c>
      <c r="G4" s="21">
        <f>-'04_PnL'!G4*'02_Assumptions'!$B$30/365</f>
        <v/>
      </c>
      <c r="H4" s="21">
        <f>-'04_PnL'!H4*'02_Assumptions'!$B$30/365</f>
        <v/>
      </c>
      <c r="I4" s="21">
        <f>-'04_PnL'!I4*'02_Assumptions'!$B$30/365</f>
        <v/>
      </c>
      <c r="J4" s="42" t="inlineStr"/>
    </row>
    <row r="5">
      <c r="A5" s="19" t="inlineStr">
        <is>
          <t>Phải thu khách hàng</t>
        </is>
      </c>
      <c r="B5" s="21" t="n">
        <v>3162.1</v>
      </c>
      <c r="C5" s="21" t="n">
        <v>3000.8</v>
      </c>
      <c r="D5" s="21" t="n">
        <v>5158.9</v>
      </c>
      <c r="E5" s="21" t="n">
        <v>8825.9</v>
      </c>
      <c r="F5" s="21" t="n">
        <v>10182.8</v>
      </c>
      <c r="G5" s="21">
        <f>'04_PnL'!G2*'02_Assumptions'!$B$31/365</f>
        <v/>
      </c>
      <c r="H5" s="21">
        <f>'04_PnL'!H2*'02_Assumptions'!$B$31/365</f>
        <v/>
      </c>
      <c r="I5" s="21">
        <f>'04_PnL'!I2*'02_Assumptions'!$B$31/365</f>
        <v/>
      </c>
      <c r="J5" s="42" t="inlineStr"/>
    </row>
    <row r="6">
      <c r="A6" s="19" t="inlineStr">
        <is>
          <t>Tài sản khác</t>
        </is>
      </c>
      <c r="B6" s="21" t="n">
        <v>12263.5</v>
      </c>
      <c r="C6" s="21" t="n">
        <v>12007</v>
      </c>
      <c r="D6" s="21" t="n">
        <v>8825.4</v>
      </c>
      <c r="E6" s="21" t="n">
        <v>5145.5</v>
      </c>
      <c r="F6" s="21" t="n">
        <v>7621.7</v>
      </c>
      <c r="G6" s="21">
        <f>'04_PnL'!G2*0.043590653499396254</f>
        <v/>
      </c>
      <c r="H6" s="21">
        <f>'04_PnL'!H2*0.043590653499396254</f>
        <v/>
      </c>
      <c r="I6" s="21">
        <f>'04_PnL'!I2*0.043590653499396254</f>
        <v/>
      </c>
      <c r="J6" s="42" t="inlineStr"/>
    </row>
    <row r="7">
      <c r="A7" s="10" t="inlineStr">
        <is>
          <t>TỔNG TÀI SẢN</t>
        </is>
      </c>
      <c r="B7" s="44" t="n">
        <v>62971.4</v>
      </c>
      <c r="C7" s="44" t="n">
        <v>55834.1</v>
      </c>
      <c r="D7" s="44" t="n">
        <v>60111.2</v>
      </c>
      <c r="E7" s="44" t="n">
        <v>70437.8</v>
      </c>
      <c r="F7" s="44" t="n">
        <v>83945.60000000001</v>
      </c>
      <c r="G7" s="44">
        <f>G3+G4+G5+G6</f>
        <v/>
      </c>
      <c r="H7" s="44">
        <f>H3+H4+H5+H6</f>
        <v/>
      </c>
      <c r="I7" s="44">
        <f>I3+I4+I5+I6</f>
        <v/>
      </c>
      <c r="J7" s="42" t="inlineStr"/>
    </row>
    <row r="9">
      <c r="A9" s="1" t="inlineStr">
        <is>
          <t>NGUỒN VỐN</t>
        </is>
      </c>
    </row>
    <row r="10">
      <c r="A10" s="19" t="inlineStr">
        <is>
          <t>Nợ vay (NH+DH)</t>
        </is>
      </c>
      <c r="B10" s="21" t="n">
        <v>24647.5</v>
      </c>
      <c r="C10" s="21" t="n">
        <v>16589.3</v>
      </c>
      <c r="D10" s="21" t="n">
        <v>25113.7</v>
      </c>
      <c r="E10" s="21" t="n">
        <v>27300.2</v>
      </c>
      <c r="F10" s="21" t="n">
        <v>29930.9</v>
      </c>
      <c r="G10" s="21">
        <f>F10*(1+'02_Assumptions'!$B$35)</f>
        <v/>
      </c>
      <c r="H10" s="21">
        <f>G10*(1+'02_Assumptions'!$B$35)</f>
        <v/>
      </c>
      <c r="I10" s="21">
        <f>H10*(1+'02_Assumptions'!$B$35)</f>
        <v/>
      </c>
      <c r="J10" s="42" t="inlineStr"/>
    </row>
    <row r="11">
      <c r="A11" s="19" t="inlineStr">
        <is>
          <t>Phải trả người bán</t>
        </is>
      </c>
      <c r="B11" s="21" t="n">
        <v>12179.8</v>
      </c>
      <c r="C11" s="21" t="n">
        <v>8745.799999999999</v>
      </c>
      <c r="D11" s="21" t="n">
        <v>7927.1</v>
      </c>
      <c r="E11" s="21" t="n">
        <v>9179.6</v>
      </c>
      <c r="F11" s="21" t="n">
        <v>13113.9</v>
      </c>
      <c r="G11" s="21">
        <f>-'04_PnL'!G4*'02_Assumptions'!$B$32/365</f>
        <v/>
      </c>
      <c r="H11" s="21">
        <f>-'04_PnL'!H4*'02_Assumptions'!$B$32/365</f>
        <v/>
      </c>
      <c r="I11" s="21">
        <f>-'04_PnL'!I4*'02_Assumptions'!$B$32/365</f>
        <v/>
      </c>
      <c r="J11" s="42" t="inlineStr"/>
    </row>
    <row r="12">
      <c r="A12" s="10" t="inlineStr">
        <is>
          <t>Vốn chủ sở hữu</t>
        </is>
      </c>
      <c r="B12" s="41" t="n">
        <v>20378.2</v>
      </c>
      <c r="C12" s="41" t="n">
        <v>23932.6</v>
      </c>
      <c r="D12" s="41" t="n">
        <v>23359.6</v>
      </c>
      <c r="E12" s="41" t="n">
        <v>28121.6</v>
      </c>
      <c r="F12" s="41" t="n">
        <v>33176.1</v>
      </c>
      <c r="G12" s="41">
        <f>F12+'04_PnL'!G15*(1-'02_Assumptions'!$B$27)</f>
        <v/>
      </c>
      <c r="H12" s="41">
        <f>G12+'04_PnL'!H15*(1-'02_Assumptions'!$B$27)</f>
        <v/>
      </c>
      <c r="I12" s="41">
        <f>H12+'04_PnL'!I15*(1-'02_Assumptions'!$B$27)</f>
        <v/>
      </c>
      <c r="J12" s="42" t="inlineStr"/>
    </row>
    <row r="13">
      <c r="A13" s="19" t="inlineStr">
        <is>
          <t>Nợ khác (plug cân bằng)</t>
        </is>
      </c>
      <c r="B13" s="21" t="n">
        <v>5765.9</v>
      </c>
      <c r="C13" s="21" t="n">
        <v>6566.4</v>
      </c>
      <c r="D13" s="21" t="n">
        <v>3710.8</v>
      </c>
      <c r="E13" s="21" t="n">
        <v>5836.4</v>
      </c>
      <c r="F13" s="21" t="n">
        <v>7724.7</v>
      </c>
      <c r="G13" s="21">
        <f>G7-G10-G11-G12</f>
        <v/>
      </c>
      <c r="H13" s="21">
        <f>H7-H10-H11-H12</f>
        <v/>
      </c>
      <c r="I13" s="21">
        <f>I7-I10-I11-I12</f>
        <v/>
      </c>
      <c r="J13" s="42" t="inlineStr"/>
    </row>
    <row r="14">
      <c r="A14" s="10" t="inlineStr">
        <is>
          <t>TỔNG NGUỒN VỐN</t>
        </is>
      </c>
      <c r="B14" s="44" t="n">
        <v>62971.4</v>
      </c>
      <c r="C14" s="44" t="n">
        <v>55834.1</v>
      </c>
      <c r="D14" s="44" t="n">
        <v>60111.2</v>
      </c>
      <c r="E14" s="44" t="n">
        <v>70437.8</v>
      </c>
      <c r="F14" s="44" t="n">
        <v>83945.60000000001</v>
      </c>
      <c r="G14" s="44">
        <f>G10+G11+G13+G12</f>
        <v/>
      </c>
      <c r="H14" s="44">
        <f>H10+H11+H13+H12</f>
        <v/>
      </c>
      <c r="I14" s="44">
        <f>I10+I11+I13+I12</f>
        <v/>
      </c>
      <c r="J14" s="42" t="inlineStr"/>
    </row>
    <row r="16">
      <c r="A16" s="19" t="inlineStr">
        <is>
          <t>Net Debt (Nợ vay - Tiền mặt)</t>
        </is>
      </c>
      <c r="B16" s="21" t="n">
        <v>6268.9</v>
      </c>
      <c r="C16" s="21" t="n">
        <v>1459.1</v>
      </c>
      <c r="D16" s="21" t="n">
        <v>811</v>
      </c>
      <c r="E16" s="21" t="n">
        <v>-6921.5</v>
      </c>
      <c r="F16" s="21" t="n">
        <v>-8943.299999999999</v>
      </c>
      <c r="G16" s="21">
        <f>G10-G3</f>
        <v/>
      </c>
      <c r="H16" s="21">
        <f>H10-H3</f>
        <v/>
      </c>
      <c r="I16" s="21">
        <f>I10-I3</f>
        <v/>
      </c>
      <c r="J16" s="42" t="inlineStr"/>
    </row>
    <row r="17">
      <c r="A17" s="19" t="inlineStr">
        <is>
          <t>D/E (Net Debt/VCSH)</t>
        </is>
      </c>
      <c r="B17" s="26" t="n">
        <v>0.308</v>
      </c>
      <c r="C17" s="26" t="n">
        <v>0.061</v>
      </c>
      <c r="D17" s="26" t="n">
        <v>0.035</v>
      </c>
      <c r="E17" s="26" t="n">
        <v>-0.246</v>
      </c>
      <c r="F17" s="26" t="n">
        <v>-0.27</v>
      </c>
      <c r="G17" s="26">
        <f>G16/G12</f>
        <v/>
      </c>
      <c r="H17" s="26">
        <f>H16/H12</f>
        <v/>
      </c>
      <c r="I17" s="26">
        <f>I16/I12</f>
        <v/>
      </c>
      <c r="J17" s="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0" t="inlineStr">
        <is>
          <t>Chỉ tiêu (tỷ VND)</t>
        </is>
      </c>
      <c r="B1" s="20" t="inlineStr">
        <is>
          <t>2026E</t>
        </is>
      </c>
      <c r="C1" s="20" t="inlineStr">
        <is>
          <t>2027F</t>
        </is>
      </c>
      <c r="D1" s="20" t="inlineStr">
        <is>
          <t>2028F</t>
        </is>
      </c>
      <c r="E1" s="20" t="inlineStr">
        <is>
          <t>Ghi chú</t>
        </is>
      </c>
    </row>
    <row r="2">
      <c r="A2" s="19" t="inlineStr">
        <is>
          <t>LNST hợp nhất</t>
        </is>
      </c>
      <c r="B2" s="21">
        <f>'04_PnL'!G15</f>
        <v/>
      </c>
      <c r="C2" s="21">
        <f>'04_PnL'!H15</f>
        <v/>
      </c>
      <c r="D2" s="21">
        <f>'04_PnL'!I15</f>
        <v/>
      </c>
    </row>
    <row r="3">
      <c r="A3" s="19" t="inlineStr">
        <is>
          <t>+ D&amp;A</t>
        </is>
      </c>
      <c r="B3" s="21">
        <f>'04_PnL'!G10</f>
        <v/>
      </c>
      <c r="C3" s="21">
        <f>'04_PnL'!H10</f>
        <v/>
      </c>
      <c r="D3" s="21">
        <f>'04_PnL'!I10</f>
        <v/>
      </c>
    </row>
    <row r="4">
      <c r="A4" s="19" t="inlineStr">
        <is>
          <t>+/- Thay đổi vốn lưu động</t>
        </is>
      </c>
      <c r="B4" s="21">
        <f>('05_Balance_Sheet'!F4-'05_Balance_Sheet'!G4)+('05_Balance_Sheet'!F5-'05_Balance_Sheet'!G5)+('05_Balance_Sheet'!G11-'05_Balance_Sheet'!F11)</f>
        <v/>
      </c>
      <c r="C4" s="21">
        <f>('05_Balance_Sheet'!G4-'05_Balance_Sheet'!H4)+('05_Balance_Sheet'!G5-'05_Balance_Sheet'!H5)+('05_Balance_Sheet'!H11-'05_Balance_Sheet'!G11)</f>
        <v/>
      </c>
      <c r="D4" s="21">
        <f>('05_Balance_Sheet'!H4-'05_Balance_Sheet'!I4)+('05_Balance_Sheet'!H5-'05_Balance_Sheet'!I5)+('05_Balance_Sheet'!I11-'05_Balance_Sheet'!H11)</f>
        <v/>
      </c>
    </row>
    <row r="5">
      <c r="A5" s="10" t="inlineStr">
        <is>
          <t>Dòng tiền HĐKD (CFO)</t>
        </is>
      </c>
      <c r="B5" s="38">
        <f>B2+B3+B4</f>
        <v/>
      </c>
      <c r="C5" s="38">
        <f>C2+C3+C4</f>
        <v/>
      </c>
      <c r="D5" s="38">
        <f>D2+D3+D4</f>
        <v/>
      </c>
    </row>
    <row r="6">
      <c r="A6" s="19" t="inlineStr">
        <is>
          <t>CAPEX (CFI)</t>
        </is>
      </c>
      <c r="B6" s="21">
        <f>-'04_PnL'!G2*'02_Assumptions'!$B$34</f>
        <v/>
      </c>
      <c r="C6" s="21">
        <f>-'04_PnL'!H2*'02_Assumptions'!$B$34</f>
        <v/>
      </c>
      <c r="D6" s="21">
        <f>-'04_PnL'!I2*'02_Assumptions'!$B$34</f>
        <v/>
      </c>
    </row>
    <row r="7">
      <c r="A7" s="10" t="inlineStr">
        <is>
          <t>FCFF (CFO+CAPEX)</t>
        </is>
      </c>
      <c r="B7" s="38">
        <f>B5+B6</f>
        <v/>
      </c>
      <c r="C7" s="38">
        <f>C5+C6</f>
        <v/>
      </c>
      <c r="D7" s="38">
        <f>D5+D6</f>
        <v/>
      </c>
    </row>
    <row r="8">
      <c r="A8" s="19" t="inlineStr">
        <is>
          <t>FCF Yield (%)</t>
        </is>
      </c>
      <c r="B8" s="28">
        <f>B7/'02_Assumptions'!$B$4</f>
        <v/>
      </c>
      <c r="C8" s="28">
        <f>C7/'02_Assumptions'!$B$4</f>
        <v/>
      </c>
      <c r="D8" s="28">
        <f>D7/'02_Assumptions'!$B$4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45" t="inlineStr">
        <is>
          <t>ĐỊNH GIÁ MWG — 4 PHƯƠNG PHÁP TỔNG HỢP (skill ban-le)</t>
        </is>
      </c>
    </row>
    <row r="2">
      <c r="A2" s="46" t="inlineStr">
        <is>
          <t>Chi phí vốn CSH (COE)</t>
        </is>
      </c>
      <c r="B2" s="47">
        <f>B28</f>
        <v/>
      </c>
    </row>
    <row r="3">
      <c r="A3" s="46" t="inlineStr">
        <is>
          <t>Tăng trưởng dài hạn (g)</t>
        </is>
      </c>
      <c r="B3" s="47">
        <f>B29</f>
        <v/>
      </c>
    </row>
    <row r="5">
      <c r="A5" s="48" t="inlineStr">
        <is>
          <t>Phương pháp</t>
        </is>
      </c>
      <c r="B5" s="48" t="inlineStr">
        <is>
          <t>Trọng số</t>
        </is>
      </c>
      <c r="C5" s="48" t="inlineStr">
        <is>
          <t>Giá mục tiêu (VND)</t>
        </is>
      </c>
    </row>
    <row r="6">
      <c r="A6" s="46" t="inlineStr">
        <is>
          <t>P/E Median</t>
        </is>
      </c>
      <c r="B6" s="18">
        <f>'02_Assumptions'!$B$47</f>
        <v/>
      </c>
      <c r="C6" s="14">
        <f>B20</f>
        <v/>
      </c>
    </row>
    <row r="7">
      <c r="A7" s="46" t="inlineStr">
        <is>
          <t>P/B Median</t>
        </is>
      </c>
      <c r="B7" s="18">
        <f>'02_Assumptions'!$B$48</f>
        <v/>
      </c>
      <c r="C7" s="14">
        <f>B25</f>
        <v/>
      </c>
    </row>
    <row r="8">
      <c r="A8" s="46" t="inlineStr">
        <is>
          <t>Residual Income (cả công ty)</t>
        </is>
      </c>
      <c r="B8" s="18">
        <f>'02_Assumptions'!$B$49</f>
        <v/>
      </c>
      <c r="C8" s="14">
        <f>B39</f>
        <v/>
      </c>
    </row>
    <row r="9">
      <c r="A9" s="46" t="inlineStr">
        <is>
          <t>P/S+P/E theo mảng (cả 4 mảng)</t>
        </is>
      </c>
      <c r="B9" s="18">
        <f>'02_Assumptions'!$B$50</f>
        <v/>
      </c>
      <c r="C9" s="14">
        <f>B47</f>
        <v/>
      </c>
    </row>
    <row r="11">
      <c r="A11" s="49" t="inlineStr">
        <is>
          <t>GIÁ MỤC TIÊU (bình quân trọng số)</t>
        </is>
      </c>
      <c r="C11" s="50">
        <f>SUMPRODUCT(B6:B9,C6:C9)</f>
        <v/>
      </c>
    </row>
    <row r="12">
      <c r="A12" s="46" t="inlineStr">
        <is>
          <t>Giá hiện tại</t>
        </is>
      </c>
      <c r="C12" s="14">
        <f>'02_Assumptions'!$B$2</f>
        <v/>
      </c>
    </row>
    <row r="13">
      <c r="A13" s="49" t="inlineStr">
        <is>
          <t>Upside/Downside</t>
        </is>
      </c>
      <c r="C13" s="51">
        <f>C11/C12-1</f>
        <v/>
      </c>
    </row>
    <row r="17">
      <c r="A17" s="49" t="inlineStr">
        <is>
          <t>1) P/E MEDIAN (trọng số 20%)</t>
        </is>
      </c>
    </row>
    <row r="18">
      <c r="A18" s="46" t="inlineStr">
        <is>
          <t>P/E median lịch sử (x)</t>
        </is>
      </c>
      <c r="B18" s="16">
        <f>'02_Assumptions'!$B$39</f>
        <v/>
      </c>
    </row>
    <row r="19">
      <c r="A19" s="46" t="inlineStr">
        <is>
          <t>EPS 2026E (VND/CP)</t>
        </is>
      </c>
      <c r="B19" s="14">
        <f>'04_PnL'!G17</f>
        <v/>
      </c>
    </row>
    <row r="20">
      <c r="A20" s="49" t="inlineStr">
        <is>
          <t>→ P/E Target Price</t>
        </is>
      </c>
      <c r="B20" s="52">
        <f>B18*B19</f>
        <v/>
      </c>
    </row>
    <row r="22">
      <c r="A22" s="49" t="inlineStr">
        <is>
          <t>2) P/B MEDIAN (trọng số 20%)</t>
        </is>
      </c>
    </row>
    <row r="23">
      <c r="A23" s="46" t="inlineStr">
        <is>
          <t>P/B median lịch sử (x)</t>
        </is>
      </c>
      <c r="B23" s="16">
        <f>'02_Assumptions'!$B$40</f>
        <v/>
      </c>
    </row>
    <row r="24">
      <c r="A24" s="46" t="inlineStr">
        <is>
          <t>BVPS 2026E (VND/CP)</t>
        </is>
      </c>
      <c r="B24" s="14">
        <f>'05_Balance_Sheet'!G12*1e9/('02_Assumptions'!$B$3*1e6)</f>
        <v/>
      </c>
    </row>
    <row r="25">
      <c r="A25" s="49" t="inlineStr">
        <is>
          <t>→ P/B Target Price</t>
        </is>
      </c>
      <c r="B25" s="52">
        <f>B23*B24</f>
        <v/>
      </c>
    </row>
    <row r="27">
      <c r="A27" s="49" t="inlineStr">
        <is>
          <t>3) RESIDUAL INCOME — cả công ty (trọng số 10%)</t>
        </is>
      </c>
    </row>
    <row r="28">
      <c r="A28" s="46" t="inlineStr">
        <is>
          <t>Chi phí vốn CSH (COE)</t>
        </is>
      </c>
      <c r="B28" s="47">
        <f>'02_Assumptions'!$B$45</f>
        <v/>
      </c>
    </row>
    <row r="29">
      <c r="A29" s="46" t="inlineStr">
        <is>
          <t>Tăng trưởng dài hạn (g)</t>
        </is>
      </c>
      <c r="B29" s="47">
        <f>'02_Assumptions'!$B$46</f>
        <v/>
      </c>
    </row>
    <row r="30">
      <c r="A30" s="46" t="inlineStr">
        <is>
          <t>BVPS hiện tại (gốc)</t>
        </is>
      </c>
      <c r="B30" s="14">
        <f>'05_Balance_Sheet'!F12*1e9/('02_Assumptions'!$B$3*1e6)</f>
        <v/>
      </c>
    </row>
    <row r="31">
      <c r="A31" s="46" t="inlineStr">
        <is>
          <t>EPS dự phóng 3 năm (VND)</t>
        </is>
      </c>
      <c r="B31" s="14">
        <f>'04_PnL'!G17</f>
        <v/>
      </c>
      <c r="C31" s="14">
        <f>'04_PnL'!H17</f>
        <v/>
      </c>
      <c r="D31" s="14">
        <f>'04_PnL'!I17</f>
        <v/>
      </c>
    </row>
    <row r="32">
      <c r="A32" s="46" t="inlineStr">
        <is>
          <t>BVPS đầu kỳ mỗi năm (VND)</t>
        </is>
      </c>
      <c r="B32" s="14">
        <f>B30</f>
        <v/>
      </c>
      <c r="C32" s="14">
        <f>B32+B31*(1-'02_Assumptions'!$B$27)</f>
        <v/>
      </c>
      <c r="D32" s="14">
        <f>C32+C31*(1-'02_Assumptions'!$B$27)</f>
        <v/>
      </c>
    </row>
    <row r="33">
      <c r="A33" s="46" t="inlineStr">
        <is>
          <t>Capital Charge (BVPS đầu kỳ × COE)</t>
        </is>
      </c>
      <c r="B33" s="14">
        <f>B32*$B$28</f>
        <v/>
      </c>
      <c r="C33" s="14">
        <f>C32*$B$28</f>
        <v/>
      </c>
      <c r="D33" s="14">
        <f>D32*$B$28</f>
        <v/>
      </c>
    </row>
    <row r="34">
      <c r="A34" s="46" t="inlineStr">
        <is>
          <t>Residual Income (EPS - Capital Charge)</t>
        </is>
      </c>
      <c r="B34" s="14">
        <f>B31-B33</f>
        <v/>
      </c>
      <c r="C34" s="14">
        <f>C31-C33</f>
        <v/>
      </c>
      <c r="D34" s="14">
        <f>D31-D33</f>
        <v/>
      </c>
    </row>
    <row r="35">
      <c r="A35" s="46" t="inlineStr">
        <is>
          <t>PV of RI</t>
        </is>
      </c>
      <c r="B35" s="14">
        <f>B34/(1+$B$28)^1</f>
        <v/>
      </c>
      <c r="C35" s="14">
        <f>C34/(1+$B$28)^2</f>
        <v/>
      </c>
      <c r="D35" s="14">
        <f>D34/(1+$B$28)^3</f>
        <v/>
      </c>
    </row>
    <row r="36">
      <c r="A36" s="46" t="inlineStr">
        <is>
          <t>Tổng PV(RI)</t>
        </is>
      </c>
      <c r="B36" s="14">
        <f>SUM(B35:D35)</f>
        <v/>
      </c>
    </row>
    <row r="37">
      <c r="A37" s="46" t="inlineStr">
        <is>
          <t>Continuing Value (CV)</t>
        </is>
      </c>
      <c r="B37" s="14">
        <f>D34*(1+$B$29)/($B$28-$B$29)</f>
        <v/>
      </c>
    </row>
    <row r="38">
      <c r="A38" s="46" t="inlineStr">
        <is>
          <t>PV of CV</t>
        </is>
      </c>
      <c r="B38" s="14">
        <f>B37/(1+$B$28)^3</f>
        <v/>
      </c>
    </row>
    <row r="39">
      <c r="A39" s="49" t="inlineStr">
        <is>
          <t>→ RI Target Price</t>
        </is>
      </c>
      <c r="B39" s="52">
        <f>B30+B36+B38</f>
        <v/>
      </c>
    </row>
    <row r="41">
      <c r="A41" s="49" t="inlineStr">
        <is>
          <t>4) P/S + P/E theo mảng (trọng số 50%) — P/E: TGDĐ/ĐMX/Khác | P/S: BHX</t>
        </is>
      </c>
    </row>
    <row r="42">
      <c r="A42" s="48" t="inlineStr">
        <is>
          <t>Mảng</t>
        </is>
      </c>
      <c r="B42" s="48" t="inlineStr">
        <is>
          <t>Phương pháp</t>
        </is>
      </c>
      <c r="C42" s="48" t="inlineStr">
        <is>
          <t>DT 2026E (tỷ)</t>
        </is>
      </c>
      <c r="D42" s="48" t="inlineStr">
        <is>
          <t>Biên LNST (%)</t>
        </is>
      </c>
      <c r="E42" s="48" t="inlineStr">
        <is>
          <t>P/E hoặc P/S áp dụng (x)</t>
        </is>
      </c>
      <c r="F42" s="48" t="inlineStr">
        <is>
          <t>Giá trị mảng (tỷ)</t>
        </is>
      </c>
    </row>
    <row r="43">
      <c r="A43" s="46" t="inlineStr">
        <is>
          <t>TGDD</t>
        </is>
      </c>
      <c r="B43" s="46" t="inlineStr">
        <is>
          <t>P/E</t>
        </is>
      </c>
      <c r="C43" s="14">
        <f>'03_Revenue_Model'!G5</f>
        <v/>
      </c>
      <c r="D43" s="47" t="n">
        <v>0.045</v>
      </c>
      <c r="E43" s="16" t="n">
        <v>10</v>
      </c>
      <c r="F43" s="14">
        <f>C43*D43*E43</f>
        <v/>
      </c>
    </row>
    <row r="44">
      <c r="A44" s="46" t="inlineStr">
        <is>
          <t>DMX</t>
        </is>
      </c>
      <c r="B44" s="46" t="inlineStr">
        <is>
          <t>P/E</t>
        </is>
      </c>
      <c r="C44" s="14">
        <f>'03_Revenue_Model'!G9</f>
        <v/>
      </c>
      <c r="D44" s="47" t="n">
        <v>0.04</v>
      </c>
      <c r="E44" s="16" t="n">
        <v>15</v>
      </c>
      <c r="F44" s="14">
        <f>C44*D44*E44</f>
        <v/>
      </c>
    </row>
    <row r="45">
      <c r="A45" s="46" t="inlineStr">
        <is>
          <t>BHX</t>
        </is>
      </c>
      <c r="B45" s="46" t="inlineStr">
        <is>
          <t>P/S</t>
        </is>
      </c>
      <c r="C45" s="14">
        <f>'03_Revenue_Model'!G13</f>
        <v/>
      </c>
      <c r="D45" s="46" t="n"/>
      <c r="E45" s="16" t="n">
        <v>0.85</v>
      </c>
      <c r="F45" s="14">
        <f>C45*E45</f>
        <v/>
      </c>
    </row>
    <row r="46">
      <c r="A46" s="46" t="inlineStr">
        <is>
          <t>Khac</t>
        </is>
      </c>
      <c r="B46" s="46" t="inlineStr">
        <is>
          <t>P/E</t>
        </is>
      </c>
      <c r="C46" s="14">
        <f>'03_Revenue_Model'!G17</f>
        <v/>
      </c>
      <c r="D46" s="47" t="n">
        <v>0.01</v>
      </c>
      <c r="E46" s="16" t="n">
        <v>12</v>
      </c>
      <c r="F46" s="14">
        <f>C46*D46*E46</f>
        <v/>
      </c>
    </row>
    <row r="47">
      <c r="A47" s="49" t="inlineStr">
        <is>
          <t>→ P/S+P/E Target Price (tổng giá trị mảng / SL CP)</t>
        </is>
      </c>
      <c r="B47" s="52">
        <f>(F43+F44+F45+F46)*1e9/('02_Assumptions'!$B$3*1e6)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3" t="inlineStr">
        <is>
          <t>MA TRẬN NHẠY CẢM: P/E × EPS 2026E</t>
        </is>
      </c>
    </row>
    <row r="2">
      <c r="A2" s="54" t="inlineStr">
        <is>
          <t>P/E \ EPS</t>
        </is>
      </c>
      <c r="B2" s="55">
        <f>'07_Valuation'!$B$19*(1+-0.1)</f>
        <v/>
      </c>
      <c r="C2" s="55">
        <f>'07_Valuation'!$B$19*(1+-0.05)</f>
        <v/>
      </c>
      <c r="D2" s="55">
        <f>'07_Valuation'!$B$19*(1+0)</f>
        <v/>
      </c>
      <c r="E2" s="55">
        <f>'07_Valuation'!$B$19*(1+0.05)</f>
        <v/>
      </c>
      <c r="F2" s="55">
        <f>'07_Valuation'!$B$19*(1+0.1)</f>
        <v/>
      </c>
    </row>
    <row r="3">
      <c r="A3" s="56">
        <f>'07_Valuation'!$B$18+-2</f>
        <v/>
      </c>
      <c r="B3" s="30">
        <f>$A3*B$2</f>
        <v/>
      </c>
      <c r="C3" s="30">
        <f>$A3*C$2</f>
        <v/>
      </c>
      <c r="D3" s="30">
        <f>$A3*D$2</f>
        <v/>
      </c>
      <c r="E3" s="30">
        <f>$A3*E$2</f>
        <v/>
      </c>
      <c r="F3" s="30">
        <f>$A3*F$2</f>
        <v/>
      </c>
    </row>
    <row r="4">
      <c r="A4" s="56">
        <f>'07_Valuation'!$B$18+-1</f>
        <v/>
      </c>
      <c r="B4" s="30">
        <f>$A4*B$2</f>
        <v/>
      </c>
      <c r="C4" s="30">
        <f>$A4*C$2</f>
        <v/>
      </c>
      <c r="D4" s="30">
        <f>$A4*D$2</f>
        <v/>
      </c>
      <c r="E4" s="30">
        <f>$A4*E$2</f>
        <v/>
      </c>
      <c r="F4" s="30">
        <f>$A4*F$2</f>
        <v/>
      </c>
    </row>
    <row r="5">
      <c r="A5" s="56">
        <f>'07_Valuation'!$B$18+0</f>
        <v/>
      </c>
      <c r="B5" s="30">
        <f>$A5*B$2</f>
        <v/>
      </c>
      <c r="C5" s="30">
        <f>$A5*C$2</f>
        <v/>
      </c>
      <c r="D5" s="30">
        <f>$A5*D$2</f>
        <v/>
      </c>
      <c r="E5" s="30">
        <f>$A5*E$2</f>
        <v/>
      </c>
      <c r="F5" s="30">
        <f>$A5*F$2</f>
        <v/>
      </c>
    </row>
    <row r="6">
      <c r="A6" s="56">
        <f>'07_Valuation'!$B$18+1</f>
        <v/>
      </c>
      <c r="B6" s="30">
        <f>$A6*B$2</f>
        <v/>
      </c>
      <c r="C6" s="30">
        <f>$A6*C$2</f>
        <v/>
      </c>
      <c r="D6" s="30">
        <f>$A6*D$2</f>
        <v/>
      </c>
      <c r="E6" s="30">
        <f>$A6*E$2</f>
        <v/>
      </c>
      <c r="F6" s="30">
        <f>$A6*F$2</f>
        <v/>
      </c>
    </row>
    <row r="7">
      <c r="A7" s="56">
        <f>'07_Valuation'!$B$18+2</f>
        <v/>
      </c>
      <c r="B7" s="30">
        <f>$A7*B$2</f>
        <v/>
      </c>
      <c r="C7" s="30">
        <f>$A7*C$2</f>
        <v/>
      </c>
      <c r="D7" s="30">
        <f>$A7*D$2</f>
        <v/>
      </c>
      <c r="E7" s="30">
        <f>$A7*E$2</f>
        <v/>
      </c>
      <c r="F7" s="30">
        <f>$A7*F$2</f>
        <v/>
      </c>
    </row>
    <row r="10">
      <c r="A10" s="53" t="inlineStr">
        <is>
          <t>MA TRẬN NHẠY CẢM: P/B × BVPS 2026E</t>
        </is>
      </c>
    </row>
    <row r="11">
      <c r="A11" s="54" t="inlineStr">
        <is>
          <t>P/B \ BVPS</t>
        </is>
      </c>
      <c r="B11" s="55">
        <f>'07_Valuation'!$B$24*(1+-0.1)</f>
        <v/>
      </c>
      <c r="C11" s="55">
        <f>'07_Valuation'!$B$24*(1+-0.05)</f>
        <v/>
      </c>
      <c r="D11" s="55">
        <f>'07_Valuation'!$B$24*(1+0)</f>
        <v/>
      </c>
      <c r="E11" s="55">
        <f>'07_Valuation'!$B$24*(1+0.05)</f>
        <v/>
      </c>
      <c r="F11" s="55">
        <f>'07_Valuation'!$B$24*(1+0.1)</f>
        <v/>
      </c>
    </row>
    <row r="12">
      <c r="A12" s="56">
        <f>'07_Valuation'!$B$23+-0.5</f>
        <v/>
      </c>
      <c r="B12" s="30">
        <f>$A12*B$11</f>
        <v/>
      </c>
      <c r="C12" s="30">
        <f>$A12*C$11</f>
        <v/>
      </c>
      <c r="D12" s="30">
        <f>$A12*D$11</f>
        <v/>
      </c>
      <c r="E12" s="30">
        <f>$A12*E$11</f>
        <v/>
      </c>
      <c r="F12" s="30">
        <f>$A12*F$11</f>
        <v/>
      </c>
    </row>
    <row r="13">
      <c r="A13" s="56">
        <f>'07_Valuation'!$B$23+-0.25</f>
        <v/>
      </c>
      <c r="B13" s="30">
        <f>$A13*B$11</f>
        <v/>
      </c>
      <c r="C13" s="30">
        <f>$A13*C$11</f>
        <v/>
      </c>
      <c r="D13" s="30">
        <f>$A13*D$11</f>
        <v/>
      </c>
      <c r="E13" s="30">
        <f>$A13*E$11</f>
        <v/>
      </c>
      <c r="F13" s="30">
        <f>$A13*F$11</f>
        <v/>
      </c>
    </row>
    <row r="14">
      <c r="A14" s="56">
        <f>'07_Valuation'!$B$23+0</f>
        <v/>
      </c>
      <c r="B14" s="30">
        <f>$A14*B$11</f>
        <v/>
      </c>
      <c r="C14" s="30">
        <f>$A14*C$11</f>
        <v/>
      </c>
      <c r="D14" s="30">
        <f>$A14*D$11</f>
        <v/>
      </c>
      <c r="E14" s="30">
        <f>$A14*E$11</f>
        <v/>
      </c>
      <c r="F14" s="30">
        <f>$A14*F$11</f>
        <v/>
      </c>
    </row>
    <row r="15">
      <c r="A15" s="56">
        <f>'07_Valuation'!$B$23+0.25</f>
        <v/>
      </c>
      <c r="B15" s="30">
        <f>$A15*B$11</f>
        <v/>
      </c>
      <c r="C15" s="30">
        <f>$A15*C$11</f>
        <v/>
      </c>
      <c r="D15" s="30">
        <f>$A15*D$11</f>
        <v/>
      </c>
      <c r="E15" s="30">
        <f>$A15*E$11</f>
        <v/>
      </c>
      <c r="F15" s="30">
        <f>$A15*F$11</f>
        <v/>
      </c>
    </row>
    <row r="16">
      <c r="A16" s="56">
        <f>'07_Valuation'!$B$23+0.5</f>
        <v/>
      </c>
      <c r="B16" s="30">
        <f>$A16*B$11</f>
        <v/>
      </c>
      <c r="C16" s="30">
        <f>$A16*C$11</f>
        <v/>
      </c>
      <c r="D16" s="30">
        <f>$A16*D$11</f>
        <v/>
      </c>
      <c r="E16" s="30">
        <f>$A16*E$11</f>
        <v/>
      </c>
      <c r="F16" s="30">
        <f>$A16*F$11</f>
        <v/>
      </c>
    </row>
  </sheetData>
  <mergeCells count="2">
    <mergeCell ref="A1:F1"/>
    <mergeCell ref="A10:F10"/>
  </mergeCells>
  <conditionalFormatting sqref="B3">
    <cfRule type="cellIs" priority="1" operator="lessThan" dxfId="0">
      <formula>'02_Assumptions'!$B$2</formula>
    </cfRule>
    <cfRule type="cellIs" priority="2" operator="greaterThan" dxfId="1">
      <formula>'07_Valuation'!$C$12</formula>
    </cfRule>
  </conditionalFormatting>
  <conditionalFormatting sqref="C3">
    <cfRule type="cellIs" priority="3" operator="lessThan" dxfId="0">
      <formula>'02_Assumptions'!$B$2</formula>
    </cfRule>
    <cfRule type="cellIs" priority="4" operator="greaterThan" dxfId="1">
      <formula>'07_Valuation'!$C$12</formula>
    </cfRule>
  </conditionalFormatting>
  <conditionalFormatting sqref="D3">
    <cfRule type="cellIs" priority="5" operator="lessThan" dxfId="0">
      <formula>'02_Assumptions'!$B$2</formula>
    </cfRule>
    <cfRule type="cellIs" priority="6" operator="greaterThan" dxfId="1">
      <formula>'07_Valuation'!$C$12</formula>
    </cfRule>
  </conditionalFormatting>
  <conditionalFormatting sqref="E3">
    <cfRule type="cellIs" priority="7" operator="lessThan" dxfId="0">
      <formula>'02_Assumptions'!$B$2</formula>
    </cfRule>
    <cfRule type="cellIs" priority="8" operator="greaterThan" dxfId="1">
      <formula>'07_Valuation'!$C$12</formula>
    </cfRule>
  </conditionalFormatting>
  <conditionalFormatting sqref="F3">
    <cfRule type="cellIs" priority="9" operator="lessThan" dxfId="0">
      <formula>'02_Assumptions'!$B$2</formula>
    </cfRule>
    <cfRule type="cellIs" priority="10" operator="greaterThan" dxfId="1">
      <formula>'07_Valuation'!$C$12</formula>
    </cfRule>
  </conditionalFormatting>
  <conditionalFormatting sqref="B4">
    <cfRule type="cellIs" priority="11" operator="lessThan" dxfId="0">
      <formula>'02_Assumptions'!$B$2</formula>
    </cfRule>
    <cfRule type="cellIs" priority="12" operator="greaterThan" dxfId="1">
      <formula>'07_Valuation'!$C$12</formula>
    </cfRule>
  </conditionalFormatting>
  <conditionalFormatting sqref="C4">
    <cfRule type="cellIs" priority="13" operator="lessThan" dxfId="0">
      <formula>'02_Assumptions'!$B$2</formula>
    </cfRule>
    <cfRule type="cellIs" priority="14" operator="greaterThan" dxfId="1">
      <formula>'07_Valuation'!$C$12</formula>
    </cfRule>
  </conditionalFormatting>
  <conditionalFormatting sqref="D4">
    <cfRule type="cellIs" priority="15" operator="lessThan" dxfId="0">
      <formula>'02_Assumptions'!$B$2</formula>
    </cfRule>
    <cfRule type="cellIs" priority="16" operator="greaterThan" dxfId="1">
      <formula>'07_Valuation'!$C$12</formula>
    </cfRule>
  </conditionalFormatting>
  <conditionalFormatting sqref="E4">
    <cfRule type="cellIs" priority="17" operator="lessThan" dxfId="0">
      <formula>'02_Assumptions'!$B$2</formula>
    </cfRule>
    <cfRule type="cellIs" priority="18" operator="greaterThan" dxfId="1">
      <formula>'07_Valuation'!$C$12</formula>
    </cfRule>
  </conditionalFormatting>
  <conditionalFormatting sqref="F4">
    <cfRule type="cellIs" priority="19" operator="lessThan" dxfId="0">
      <formula>'02_Assumptions'!$B$2</formula>
    </cfRule>
    <cfRule type="cellIs" priority="20" operator="greaterThan" dxfId="1">
      <formula>'07_Valuation'!$C$12</formula>
    </cfRule>
  </conditionalFormatting>
  <conditionalFormatting sqref="B5">
    <cfRule type="cellIs" priority="21" operator="lessThan" dxfId="0">
      <formula>'02_Assumptions'!$B$2</formula>
    </cfRule>
    <cfRule type="cellIs" priority="22" operator="greaterThan" dxfId="1">
      <formula>'07_Valuation'!$C$12</formula>
    </cfRule>
  </conditionalFormatting>
  <conditionalFormatting sqref="C5">
    <cfRule type="cellIs" priority="23" operator="lessThan" dxfId="0">
      <formula>'02_Assumptions'!$B$2</formula>
    </cfRule>
    <cfRule type="cellIs" priority="24" operator="greaterThan" dxfId="1">
      <formula>'07_Valuation'!$C$12</formula>
    </cfRule>
  </conditionalFormatting>
  <conditionalFormatting sqref="D5">
    <cfRule type="cellIs" priority="25" operator="lessThan" dxfId="0">
      <formula>'02_Assumptions'!$B$2</formula>
    </cfRule>
    <cfRule type="cellIs" priority="26" operator="greaterThan" dxfId="1">
      <formula>'07_Valuation'!$C$12</formula>
    </cfRule>
  </conditionalFormatting>
  <conditionalFormatting sqref="E5">
    <cfRule type="cellIs" priority="27" operator="lessThan" dxfId="0">
      <formula>'02_Assumptions'!$B$2</formula>
    </cfRule>
    <cfRule type="cellIs" priority="28" operator="greaterThan" dxfId="1">
      <formula>'07_Valuation'!$C$12</formula>
    </cfRule>
  </conditionalFormatting>
  <conditionalFormatting sqref="F5">
    <cfRule type="cellIs" priority="29" operator="lessThan" dxfId="0">
      <formula>'02_Assumptions'!$B$2</formula>
    </cfRule>
    <cfRule type="cellIs" priority="30" operator="greaterThan" dxfId="1">
      <formula>'07_Valuation'!$C$12</formula>
    </cfRule>
  </conditionalFormatting>
  <conditionalFormatting sqref="B6">
    <cfRule type="cellIs" priority="31" operator="lessThan" dxfId="0">
      <formula>'02_Assumptions'!$B$2</formula>
    </cfRule>
    <cfRule type="cellIs" priority="32" operator="greaterThan" dxfId="1">
      <formula>'07_Valuation'!$C$12</formula>
    </cfRule>
  </conditionalFormatting>
  <conditionalFormatting sqref="C6">
    <cfRule type="cellIs" priority="33" operator="lessThan" dxfId="0">
      <formula>'02_Assumptions'!$B$2</formula>
    </cfRule>
    <cfRule type="cellIs" priority="34" operator="greaterThan" dxfId="1">
      <formula>'07_Valuation'!$C$12</formula>
    </cfRule>
  </conditionalFormatting>
  <conditionalFormatting sqref="D6">
    <cfRule type="cellIs" priority="35" operator="lessThan" dxfId="0">
      <formula>'02_Assumptions'!$B$2</formula>
    </cfRule>
    <cfRule type="cellIs" priority="36" operator="greaterThan" dxfId="1">
      <formula>'07_Valuation'!$C$12</formula>
    </cfRule>
  </conditionalFormatting>
  <conditionalFormatting sqref="E6">
    <cfRule type="cellIs" priority="37" operator="lessThan" dxfId="0">
      <formula>'02_Assumptions'!$B$2</formula>
    </cfRule>
    <cfRule type="cellIs" priority="38" operator="greaterThan" dxfId="1">
      <formula>'07_Valuation'!$C$12</formula>
    </cfRule>
  </conditionalFormatting>
  <conditionalFormatting sqref="F6">
    <cfRule type="cellIs" priority="39" operator="lessThan" dxfId="0">
      <formula>'02_Assumptions'!$B$2</formula>
    </cfRule>
    <cfRule type="cellIs" priority="40" operator="greaterThan" dxfId="1">
      <formula>'07_Valuation'!$C$12</formula>
    </cfRule>
  </conditionalFormatting>
  <conditionalFormatting sqref="B7">
    <cfRule type="cellIs" priority="41" operator="lessThan" dxfId="0">
      <formula>'02_Assumptions'!$B$2</formula>
    </cfRule>
    <cfRule type="cellIs" priority="42" operator="greaterThan" dxfId="1">
      <formula>'07_Valuation'!$C$12</formula>
    </cfRule>
  </conditionalFormatting>
  <conditionalFormatting sqref="C7">
    <cfRule type="cellIs" priority="43" operator="lessThan" dxfId="0">
      <formula>'02_Assumptions'!$B$2</formula>
    </cfRule>
    <cfRule type="cellIs" priority="44" operator="greaterThan" dxfId="1">
      <formula>'07_Valuation'!$C$12</formula>
    </cfRule>
  </conditionalFormatting>
  <conditionalFormatting sqref="D7">
    <cfRule type="cellIs" priority="45" operator="lessThan" dxfId="0">
      <formula>'02_Assumptions'!$B$2</formula>
    </cfRule>
    <cfRule type="cellIs" priority="46" operator="greaterThan" dxfId="1">
      <formula>'07_Valuation'!$C$12</formula>
    </cfRule>
  </conditionalFormatting>
  <conditionalFormatting sqref="E7">
    <cfRule type="cellIs" priority="47" operator="lessThan" dxfId="0">
      <formula>'02_Assumptions'!$B$2</formula>
    </cfRule>
    <cfRule type="cellIs" priority="48" operator="greaterThan" dxfId="1">
      <formula>'07_Valuation'!$C$12</formula>
    </cfRule>
  </conditionalFormatting>
  <conditionalFormatting sqref="F7">
    <cfRule type="cellIs" priority="49" operator="lessThan" dxfId="0">
      <formula>'02_Assumptions'!$B$2</formula>
    </cfRule>
    <cfRule type="cellIs" priority="50" operator="greaterThan" dxfId="1">
      <formula>'07_Valuation'!$C$12</formula>
    </cfRule>
  </conditionalFormatting>
  <conditionalFormatting sqref="B12">
    <cfRule type="cellIs" priority="51" operator="lessThan" dxfId="0">
      <formula>'02_Assumptions'!$B$2</formula>
    </cfRule>
    <cfRule type="cellIs" priority="52" operator="greaterThan" dxfId="1">
      <formula>'07_Valuation'!$C$12</formula>
    </cfRule>
  </conditionalFormatting>
  <conditionalFormatting sqref="C12">
    <cfRule type="cellIs" priority="53" operator="lessThan" dxfId="0">
      <formula>'02_Assumptions'!$B$2</formula>
    </cfRule>
    <cfRule type="cellIs" priority="54" operator="greaterThan" dxfId="1">
      <formula>'07_Valuation'!$C$12</formula>
    </cfRule>
  </conditionalFormatting>
  <conditionalFormatting sqref="D12">
    <cfRule type="cellIs" priority="55" operator="lessThan" dxfId="0">
      <formula>'02_Assumptions'!$B$2</formula>
    </cfRule>
    <cfRule type="cellIs" priority="56" operator="greaterThan" dxfId="1">
      <formula>'07_Valuation'!$C$12</formula>
    </cfRule>
  </conditionalFormatting>
  <conditionalFormatting sqref="E12">
    <cfRule type="cellIs" priority="57" operator="lessThan" dxfId="0">
      <formula>'02_Assumptions'!$B$2</formula>
    </cfRule>
    <cfRule type="cellIs" priority="58" operator="greaterThan" dxfId="1">
      <formula>'07_Valuation'!$C$12</formula>
    </cfRule>
  </conditionalFormatting>
  <conditionalFormatting sqref="F12">
    <cfRule type="cellIs" priority="59" operator="lessThan" dxfId="0">
      <formula>'02_Assumptions'!$B$2</formula>
    </cfRule>
    <cfRule type="cellIs" priority="60" operator="greaterThan" dxfId="1">
      <formula>'07_Valuation'!$C$12</formula>
    </cfRule>
  </conditionalFormatting>
  <conditionalFormatting sqref="B13">
    <cfRule type="cellIs" priority="61" operator="lessThan" dxfId="0">
      <formula>'02_Assumptions'!$B$2</formula>
    </cfRule>
    <cfRule type="cellIs" priority="62" operator="greaterThan" dxfId="1">
      <formula>'07_Valuation'!$C$12</formula>
    </cfRule>
  </conditionalFormatting>
  <conditionalFormatting sqref="C13">
    <cfRule type="cellIs" priority="63" operator="lessThan" dxfId="0">
      <formula>'02_Assumptions'!$B$2</formula>
    </cfRule>
    <cfRule type="cellIs" priority="64" operator="greaterThan" dxfId="1">
      <formula>'07_Valuation'!$C$12</formula>
    </cfRule>
  </conditionalFormatting>
  <conditionalFormatting sqref="D13">
    <cfRule type="cellIs" priority="65" operator="lessThan" dxfId="0">
      <formula>'02_Assumptions'!$B$2</formula>
    </cfRule>
    <cfRule type="cellIs" priority="66" operator="greaterThan" dxfId="1">
      <formula>'07_Valuation'!$C$12</formula>
    </cfRule>
  </conditionalFormatting>
  <conditionalFormatting sqref="E13">
    <cfRule type="cellIs" priority="67" operator="lessThan" dxfId="0">
      <formula>'02_Assumptions'!$B$2</formula>
    </cfRule>
    <cfRule type="cellIs" priority="68" operator="greaterThan" dxfId="1">
      <formula>'07_Valuation'!$C$12</formula>
    </cfRule>
  </conditionalFormatting>
  <conditionalFormatting sqref="F13">
    <cfRule type="cellIs" priority="69" operator="lessThan" dxfId="0">
      <formula>'02_Assumptions'!$B$2</formula>
    </cfRule>
    <cfRule type="cellIs" priority="70" operator="greaterThan" dxfId="1">
      <formula>'07_Valuation'!$C$12</formula>
    </cfRule>
  </conditionalFormatting>
  <conditionalFormatting sqref="B14">
    <cfRule type="cellIs" priority="71" operator="lessThan" dxfId="0">
      <formula>'02_Assumptions'!$B$2</formula>
    </cfRule>
    <cfRule type="cellIs" priority="72" operator="greaterThan" dxfId="1">
      <formula>'07_Valuation'!$C$12</formula>
    </cfRule>
  </conditionalFormatting>
  <conditionalFormatting sqref="C14">
    <cfRule type="cellIs" priority="73" operator="lessThan" dxfId="0">
      <formula>'02_Assumptions'!$B$2</formula>
    </cfRule>
    <cfRule type="cellIs" priority="74" operator="greaterThan" dxfId="1">
      <formula>'07_Valuation'!$C$12</formula>
    </cfRule>
  </conditionalFormatting>
  <conditionalFormatting sqref="D14">
    <cfRule type="cellIs" priority="75" operator="lessThan" dxfId="0">
      <formula>'02_Assumptions'!$B$2</formula>
    </cfRule>
    <cfRule type="cellIs" priority="76" operator="greaterThan" dxfId="1">
      <formula>'07_Valuation'!$C$12</formula>
    </cfRule>
  </conditionalFormatting>
  <conditionalFormatting sqref="E14">
    <cfRule type="cellIs" priority="77" operator="lessThan" dxfId="0">
      <formula>'02_Assumptions'!$B$2</formula>
    </cfRule>
    <cfRule type="cellIs" priority="78" operator="greaterThan" dxfId="1">
      <formula>'07_Valuation'!$C$12</formula>
    </cfRule>
  </conditionalFormatting>
  <conditionalFormatting sqref="F14">
    <cfRule type="cellIs" priority="79" operator="lessThan" dxfId="0">
      <formula>'02_Assumptions'!$B$2</formula>
    </cfRule>
    <cfRule type="cellIs" priority="80" operator="greaterThan" dxfId="1">
      <formula>'07_Valuation'!$C$12</formula>
    </cfRule>
  </conditionalFormatting>
  <conditionalFormatting sqref="B15">
    <cfRule type="cellIs" priority="81" operator="lessThan" dxfId="0">
      <formula>'02_Assumptions'!$B$2</formula>
    </cfRule>
    <cfRule type="cellIs" priority="82" operator="greaterThan" dxfId="1">
      <formula>'07_Valuation'!$C$12</formula>
    </cfRule>
  </conditionalFormatting>
  <conditionalFormatting sqref="C15">
    <cfRule type="cellIs" priority="83" operator="lessThan" dxfId="0">
      <formula>'02_Assumptions'!$B$2</formula>
    </cfRule>
    <cfRule type="cellIs" priority="84" operator="greaterThan" dxfId="1">
      <formula>'07_Valuation'!$C$12</formula>
    </cfRule>
  </conditionalFormatting>
  <conditionalFormatting sqref="D15">
    <cfRule type="cellIs" priority="85" operator="lessThan" dxfId="0">
      <formula>'02_Assumptions'!$B$2</formula>
    </cfRule>
    <cfRule type="cellIs" priority="86" operator="greaterThan" dxfId="1">
      <formula>'07_Valuation'!$C$12</formula>
    </cfRule>
  </conditionalFormatting>
  <conditionalFormatting sqref="E15">
    <cfRule type="cellIs" priority="87" operator="lessThan" dxfId="0">
      <formula>'02_Assumptions'!$B$2</formula>
    </cfRule>
    <cfRule type="cellIs" priority="88" operator="greaterThan" dxfId="1">
      <formula>'07_Valuation'!$C$12</formula>
    </cfRule>
  </conditionalFormatting>
  <conditionalFormatting sqref="F15">
    <cfRule type="cellIs" priority="89" operator="lessThan" dxfId="0">
      <formula>'02_Assumptions'!$B$2</formula>
    </cfRule>
    <cfRule type="cellIs" priority="90" operator="greaterThan" dxfId="1">
      <formula>'07_Valuation'!$C$12</formula>
    </cfRule>
  </conditionalFormatting>
  <conditionalFormatting sqref="B16">
    <cfRule type="cellIs" priority="91" operator="lessThan" dxfId="0">
      <formula>'02_Assumptions'!$B$2</formula>
    </cfRule>
    <cfRule type="cellIs" priority="92" operator="greaterThan" dxfId="1">
      <formula>'07_Valuation'!$C$12</formula>
    </cfRule>
  </conditionalFormatting>
  <conditionalFormatting sqref="C16">
    <cfRule type="cellIs" priority="93" operator="lessThan" dxfId="0">
      <formula>'02_Assumptions'!$B$2</formula>
    </cfRule>
    <cfRule type="cellIs" priority="94" operator="greaterThan" dxfId="1">
      <formula>'07_Valuation'!$C$12</formula>
    </cfRule>
  </conditionalFormatting>
  <conditionalFormatting sqref="D16">
    <cfRule type="cellIs" priority="95" operator="lessThan" dxfId="0">
      <formula>'02_Assumptions'!$B$2</formula>
    </cfRule>
    <cfRule type="cellIs" priority="96" operator="greaterThan" dxfId="1">
      <formula>'07_Valuation'!$C$12</formula>
    </cfRule>
  </conditionalFormatting>
  <conditionalFormatting sqref="E16">
    <cfRule type="cellIs" priority="97" operator="lessThan" dxfId="0">
      <formula>'02_Assumptions'!$B$2</formula>
    </cfRule>
    <cfRule type="cellIs" priority="98" operator="greaterThan" dxfId="1">
      <formula>'07_Valuation'!$C$12</formula>
    </cfRule>
  </conditionalFormatting>
  <conditionalFormatting sqref="F16">
    <cfRule type="cellIs" priority="99" operator="lessThan" dxfId="0">
      <formula>'02_Assumptions'!$B$2</formula>
    </cfRule>
    <cfRule type="cellIs" priority="100" operator="greaterThan" dxfId="1">
      <formula>'07_Valuation'!$C$12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14" customWidth="1" min="4" max="4"/>
  </cols>
  <sheetData>
    <row r="1">
      <c r="A1" s="20" t="inlineStr">
        <is>
          <t>Yếu tố</t>
        </is>
      </c>
      <c r="B1" s="20" t="inlineStr">
        <is>
          <t>Nội dung</t>
        </is>
      </c>
      <c r="C1" s="20" t="inlineStr">
        <is>
          <t>Tác động</t>
        </is>
      </c>
      <c r="D1" s="20" t="inlineStr">
        <is>
          <t>Mức độ</t>
        </is>
      </c>
    </row>
    <row r="2" ht="60" customHeight="1">
      <c r="A2" s="57" t="inlineStr">
        <is>
          <t>Political</t>
        </is>
      </c>
      <c r="B2" s="58" t="inlineStr">
        <is>
          <t>Nhà nước kiểm soát chặt giá thuốc (An Khang) và an toàn thực phẩm (BHX); chính sách thuế VAT hàng điện máy/ICT ổn định, không có thay đổi lớn gần đây.</t>
        </is>
      </c>
      <c r="C2" s="58" t="inlineStr">
        <is>
          <t>Trung tính — không có rủi ro chính sách đột biến trong ngắn hạn.</t>
        </is>
      </c>
      <c r="D2" s="57" t="inlineStr">
        <is>
          <t>Trung tính</t>
        </is>
      </c>
    </row>
    <row r="3" ht="60" customHeight="1">
      <c r="A3" s="57" t="inlineStr">
        <is>
          <t>Economic</t>
        </is>
      </c>
      <c r="B3" s="58" t="inlineStr">
        <is>
          <t>Sức mua hồi phục sau giai đoạn khó khăn 2022-2023 (lãi suất cao, thất nghiệp), CPI ổn định quanh 3-4%/năm hỗ trợ tiêu dùng không thiết yếu (ICT/điện máy) tăng trở lại.</t>
        </is>
      </c>
      <c r="C3" s="58" t="inlineStr">
        <is>
          <t>Tích cực — SSSG TGDĐ/ĐMX +33% (5T2026) phản ánh sức mua phục hồi rõ rệt.</t>
        </is>
      </c>
      <c r="D3" s="57" t="inlineStr">
        <is>
          <t>Tích cực</t>
        </is>
      </c>
    </row>
    <row r="4" ht="60" customHeight="1">
      <c r="A4" s="57" t="inlineStr">
        <is>
          <t>Social</t>
        </is>
      </c>
      <c r="B4" s="58" t="inlineStr">
        <is>
          <t>Xu hướng mua sắm hiện đại hoá (siêu thị mini, tiện lợi) thay thế chợ truyền thống hỗ trợ BHX; tầng lớp trung lưu tăng thúc đẩy nhu cầu điện thoại/laptop cao cấp hơn.</t>
        </is>
      </c>
      <c r="C4" s="58" t="inlineStr">
        <is>
          <t>Tích cực — dư địa dài hạn cho BHX thay thế kênh GT truyền thống.</t>
        </is>
      </c>
      <c r="D4" s="57" t="inlineStr">
        <is>
          <t>Tích cực</t>
        </is>
      </c>
    </row>
    <row r="5" ht="60" customHeight="1">
      <c r="A5" s="57" t="inlineStr">
        <is>
          <t>Technological</t>
        </is>
      </c>
      <c r="B5" s="58" t="inlineStr">
        <is>
          <t>Chu kỳ nâng cấp iPhone/Samsung, xu hướng AI trên thiết bị di động thúc đẩy nhu cầu thay máy; MWG đầu tư Super App/thanh toán trả chậm để tăng biên lợi nhuận dịch vụ tài chính.</t>
        </is>
      </c>
      <c r="C5" s="58" t="inlineStr">
        <is>
          <t>Tích cực — doanh thu Super App/trả chậm tăng trưởng 2 chữ số.</t>
        </is>
      </c>
      <c r="D5" s="57" t="inlineStr">
        <is>
          <t>Tích cực</t>
        </is>
      </c>
    </row>
    <row r="6" ht="60" customHeight="1">
      <c r="A6" s="57" t="inlineStr">
        <is>
          <t>Legal</t>
        </is>
      </c>
      <c r="B6" s="58" t="inlineStr">
        <is>
          <t>Yêu cầu hoá đơn điện tử/truy xuất nguồn gốc thực phẩm ngày càng chặt với BHX/An Khang — chi phí tuân thủ tăng nhưng cũng là rào cản gia nhập với đối thủ nhỏ lẻ.</t>
        </is>
      </c>
      <c r="C6" s="58" t="inlineStr">
        <is>
          <t>Trung tính — chi phí tuân thủ tăng nhẹ, bù lại bằng lợi thế quy mô.</t>
        </is>
      </c>
      <c r="D6" s="57" t="inlineStr">
        <is>
          <t>Trung tính</t>
        </is>
      </c>
    </row>
    <row r="7" ht="60" customHeight="1">
      <c r="A7" s="57" t="inlineStr">
        <is>
          <t>Environmental</t>
        </is>
      </c>
      <c r="B7" s="58" t="inlineStr">
        <is>
          <t>Áp lực giảm rác thải nhựa/bao bì tại chuỗi BHX, yêu cầu chuỗi lạnh (cold chain) tiêu tốn năng lượng cho hàng tươi sống — chi phí vận hành có thể tăng theo quy định môi trường mới.</t>
        </is>
      </c>
      <c r="C7" s="58" t="inlineStr">
        <is>
          <t>Tiêu cực nhẹ — chi phí tuân thủ môi trường tăng dần theo thời gian.</t>
        </is>
      </c>
      <c r="D7" s="57" t="inlineStr">
        <is>
          <t>Tiêu cực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  <col width="16" customWidth="1" min="5" max="5"/>
  </cols>
  <sheetData>
    <row r="1">
      <c r="A1" s="20" t="inlineStr">
        <is>
          <t>Chỉ báo</t>
        </is>
      </c>
      <c r="B1" s="20" t="inlineStr">
        <is>
          <t>Ngưỡng tích cực</t>
        </is>
      </c>
      <c r="C1" s="20" t="inlineStr">
        <is>
          <t>Ngưỡng tiêu cực</t>
        </is>
      </c>
      <c r="D1" s="20" t="inlineStr">
        <is>
          <t>Giá trị hiện tại</t>
        </is>
      </c>
      <c r="E1" s="20" t="inlineStr">
        <is>
          <t>Trạng thái</t>
        </is>
      </c>
    </row>
    <row r="2">
      <c r="A2" s="57" t="inlineStr">
        <is>
          <t>SSSG (tăng trưởng cửa hàng hiện hữu)</t>
        </is>
      </c>
      <c r="B2" s="57" t="inlineStr">
        <is>
          <t>&gt; 10%</t>
        </is>
      </c>
      <c r="C2" s="57" t="inlineStr">
        <is>
          <t>&lt; 0%</t>
        </is>
      </c>
      <c r="D2" s="57" t="inlineStr">
        <is>
          <t>33%</t>
        </is>
      </c>
      <c r="E2" s="59" t="inlineStr">
        <is>
          <t>Tích cực</t>
        </is>
      </c>
    </row>
    <row r="3">
      <c r="A3" s="57" t="inlineStr">
        <is>
          <t>Tăng trưởng DT YoY 5T2026</t>
        </is>
      </c>
      <c r="B3" s="57" t="inlineStr">
        <is>
          <t>&gt; 15%</t>
        </is>
      </c>
      <c r="C3" s="57" t="inlineStr">
        <is>
          <t>&lt; 5%</t>
        </is>
      </c>
      <c r="D3" s="57" t="inlineStr">
        <is>
          <t>29.3%</t>
        </is>
      </c>
      <c r="E3" s="59" t="inlineStr">
        <is>
          <t>Tích cực</t>
        </is>
      </c>
    </row>
    <row r="4">
      <c r="A4" s="57" t="inlineStr">
        <is>
          <t>Số cửa hàng BHX mở mới/năm</t>
        </is>
      </c>
      <c r="B4" s="57" t="inlineStr">
        <is>
          <t>&gt; 800</t>
        </is>
      </c>
      <c r="C4" s="57" t="inlineStr">
        <is>
          <t>&lt; 300</t>
        </is>
      </c>
      <c r="D4" s="57" t="inlineStr">
        <is>
          <t>~632/5T</t>
        </is>
      </c>
      <c r="E4" s="59" t="inlineStr">
        <is>
          <t>Tích cực</t>
        </is>
      </c>
    </row>
    <row r="5">
      <c r="A5" s="57" t="inlineStr">
        <is>
          <t>Biên LNG (%)</t>
        </is>
      </c>
      <c r="B5" s="57" t="inlineStr">
        <is>
          <t>&gt; 20%</t>
        </is>
      </c>
      <c r="C5" s="57" t="inlineStr">
        <is>
          <t>&lt; 17%</t>
        </is>
      </c>
      <c r="D5" s="57" t="inlineStr">
        <is>
          <t>20.8%</t>
        </is>
      </c>
      <c r="E5" s="59" t="inlineStr">
        <is>
          <t>Tích cực</t>
        </is>
      </c>
    </row>
    <row r="6">
      <c r="A6" s="57" t="inlineStr">
        <is>
          <t>SG&amp;A/DT (%)</t>
        </is>
      </c>
      <c r="B6" s="57" t="inlineStr">
        <is>
          <t>&lt; 14%</t>
        </is>
      </c>
      <c r="C6" s="57" t="inlineStr">
        <is>
          <t>&gt; 17%</t>
        </is>
      </c>
      <c r="D6" s="57" t="inlineStr">
        <is>
          <t>14.5%</t>
        </is>
      </c>
      <c r="E6" s="57" t="inlineStr">
        <is>
          <t>Theo dõi</t>
        </is>
      </c>
    </row>
    <row r="7">
      <c r="A7" s="57" t="inlineStr">
        <is>
          <t>Tỷ trọng DT online/tổng</t>
        </is>
      </c>
      <c r="B7" s="57" t="inlineStr">
        <is>
          <t>&gt; 12%</t>
        </is>
      </c>
      <c r="C7" s="57" t="inlineStr">
        <is>
          <t>&lt; 8%</t>
        </is>
      </c>
      <c r="D7" s="57" t="inlineStr">
        <is>
          <t>~11%</t>
        </is>
      </c>
      <c r="E7" s="57" t="inlineStr">
        <is>
          <t>Trung tính</t>
        </is>
      </c>
    </row>
    <row r="8">
      <c r="A8" s="57" t="inlineStr">
        <is>
          <t>Chu kỳ iPhone mới (tháng 9 hàng năm)</t>
        </is>
      </c>
      <c r="B8" s="57" t="inlineStr">
        <is>
          <t>Ra mắt đúng hẹn</t>
        </is>
      </c>
      <c r="C8" s="57" t="inlineStr">
        <is>
          <t>Trì hoãn/thiếu hàng</t>
        </is>
      </c>
      <c r="D8" s="57" t="inlineStr">
        <is>
          <t>Đang chuẩn bị (T9/2026)</t>
        </is>
      </c>
      <c r="E8" s="57" t="inlineStr">
        <is>
          <t>Theo dõi</t>
        </is>
      </c>
    </row>
    <row r="9">
      <c r="A9" s="57" t="inlineStr">
        <is>
          <t>CPI Việt Nam YoY</t>
        </is>
      </c>
      <c r="B9" s="57" t="inlineStr">
        <is>
          <t>2-4%</t>
        </is>
      </c>
      <c r="C9" s="57" t="inlineStr">
        <is>
          <t>&gt; 5% hoặc &lt; 0%</t>
        </is>
      </c>
      <c r="D9" s="57" t="inlineStr">
        <is>
          <t>~3.5%</t>
        </is>
      </c>
      <c r="E9" s="59" t="inlineStr">
        <is>
          <t>Tích cực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20" t="inlineStr">
        <is>
          <t>Tầng đánh giá</t>
        </is>
      </c>
      <c r="B1" s="20" t="inlineStr">
        <is>
          <t>Kết luận</t>
        </is>
      </c>
      <c r="C1" s="20" t="inlineStr">
        <is>
          <t>Rating</t>
        </is>
      </c>
    </row>
    <row r="2" ht="50" customHeight="1">
      <c r="A2" s="57" t="inlineStr">
        <is>
          <t>1. Mô hình kinh doanh</t>
        </is>
      </c>
      <c r="B2" s="58" t="inlineStr">
        <is>
          <t>Nhà bán lẻ đa ngành lớn nhất VN (ICT/điện máy qua TGDĐ+ĐMX, FMCG qua BHX), tận dụng quy mô mạng lưới &gt;6.700 cửa hàng để đàm phán giá tốt với NCC và phủ khắp thị trường.</t>
        </is>
      </c>
      <c r="C2" s="57" t="inlineStr">
        <is>
          <t>Tốt</t>
        </is>
      </c>
    </row>
    <row r="3" ht="50" customHeight="1">
      <c r="A3" s="57" t="inlineStr">
        <is>
          <t>2. Vị thế cạnh tranh</t>
        </is>
      </c>
      <c r="B3" s="58" t="inlineStr">
        <is>
          <t>TGDĐ/ĐMX dẫn đầu thị phần ICT/điện máy VN; BHX đứng đầu chuỗi bán lẻ FMCG hiện đại về quy mô cửa hàng, đang mở rộng nhanh và đã có lãi từ 2023.</t>
        </is>
      </c>
      <c r="C3" s="57" t="inlineStr">
        <is>
          <t>Tốt</t>
        </is>
      </c>
    </row>
    <row r="4" ht="50" customHeight="1">
      <c r="A4" s="57" t="inlineStr">
        <is>
          <t>3. Sức khoẻ tài chính</t>
        </is>
      </c>
      <c r="B4" s="58" t="inlineStr">
        <is>
          <t>Đòn bẩy thấp, xu hướng nợ vay giảm/tiền mặt tăng nhờ FCF chuyển dương khi BHX hoà vốn; biên LNG ổn định quanh 20-21%.</t>
        </is>
      </c>
      <c r="C4" s="57" t="inlineStr">
        <is>
          <t>Tốt</t>
        </is>
      </c>
    </row>
    <row r="5" ht="50" customHeight="1">
      <c r="A5" s="57" t="inlineStr">
        <is>
          <t>4. Định giá</t>
        </is>
      </c>
      <c r="B5" s="58" t="inlineStr">
        <is>
          <t>Giá mục tiêu bình quân trọng số 100,016 VND, upside 33.0% so với giá hiện tại 75,200 VND — định giá hợp lý, không quá đắt so với median lịch sử.</t>
        </is>
      </c>
      <c r="C5" s="57" t="inlineStr">
        <is>
          <t>Trung lập-Tốt</t>
        </is>
      </c>
    </row>
    <row r="6" ht="50" customHeight="1">
      <c r="A6" s="57" t="inlineStr">
        <is>
          <t>5. Chất lượng ban lãnh đạo</t>
        </is>
      </c>
      <c r="B6" s="58" t="inlineStr">
        <is>
          <t>Lịch sử liên tục vượt kế hoạch kinh doanh tự đề ra nhiều năm liền (thận trọng khi đặt mục tiêu đầu năm); minh bạch công bố KQKD hàng tháng qua IR — hiếm có ở DN bán lẻ VN.</t>
        </is>
      </c>
      <c r="C6" s="57" t="inlineStr">
        <is>
          <t>Tốt</t>
        </is>
      </c>
    </row>
    <row r="7" ht="50" customHeight="1">
      <c r="A7" s="57" t="inlineStr">
        <is>
          <t>6. Rủi ro &amp; Catalyst</t>
        </is>
      </c>
      <c r="B7" s="58" t="inlineStr">
        <is>
          <t>Rủi ro: TGDĐ/ĐMX đã bão hòa khó tăng trưởng thêm; BHX vẫn cần chứng minh duy trì lãi bền vững khi mở rộng nhanh. Catalyst: chu kỳ iPhone mới, BHX đạt quy mô lãi ổn định, EraBlue nhân rộng quốc tế.</t>
        </is>
      </c>
      <c r="C7" s="57" t="inlineStr">
        <is>
          <t>Theo dõi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20" t="inlineStr">
        <is>
          <t>Chỉ tiêu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CAGR 3Y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'04_PnL'!G2</f>
        <v/>
      </c>
      <c r="H2" s="41">
        <f>'04_PnL'!H2</f>
        <v/>
      </c>
      <c r="I2" s="41">
        <f>'04_PnL'!I2</f>
        <v/>
      </c>
      <c r="J2" s="40">
        <f>(I2/F2)^(1/2)-1</f>
        <v/>
      </c>
    </row>
    <row r="3">
      <c r="A3" s="19" t="inlineStr">
        <is>
          <t>Lợi nhuận gộp</t>
        </is>
      </c>
      <c r="B3" s="21" t="n">
        <v>27632.10000000001</v>
      </c>
      <c r="C3" s="21" t="n">
        <v>30862.09999999999</v>
      </c>
      <c r="D3" s="21" t="n">
        <v>22520.60000000001</v>
      </c>
      <c r="E3" s="21" t="n">
        <v>27499.30000000002</v>
      </c>
      <c r="F3" s="21" t="n">
        <v>31001.8</v>
      </c>
      <c r="G3" s="21">
        <f>'04_PnL'!G5</f>
        <v/>
      </c>
      <c r="H3" s="21">
        <f>'04_PnL'!H5</f>
        <v/>
      </c>
      <c r="I3" s="21">
        <f>'04_PnL'!I5</f>
        <v/>
      </c>
      <c r="J3" s="40">
        <f>(I3/F3)^(1/2)-1</f>
        <v/>
      </c>
    </row>
    <row r="4">
      <c r="A4" s="19" t="inlineStr">
        <is>
          <t>EBITDA</t>
        </is>
      </c>
      <c r="B4" s="21" t="n">
        <v>8815.200000000004</v>
      </c>
      <c r="C4" s="21" t="n">
        <v>10184.59999999999</v>
      </c>
      <c r="D4" s="21" t="n">
        <v>3787.500000000005</v>
      </c>
      <c r="E4" s="21" t="n">
        <v>6997.100000000019</v>
      </c>
      <c r="F4" s="21" t="n">
        <v>8965.700000000003</v>
      </c>
      <c r="G4" s="21">
        <f>'04_PnL'!G11</f>
        <v/>
      </c>
      <c r="H4" s="21">
        <f>'04_PnL'!H11</f>
        <v/>
      </c>
      <c r="I4" s="21">
        <f>'04_PnL'!I11</f>
        <v/>
      </c>
      <c r="J4" s="40">
        <f>(I4/F4)^(1/2)-1</f>
        <v/>
      </c>
    </row>
    <row r="5">
      <c r="A5" s="10" t="inlineStr">
        <is>
          <t>LNST Cổ đông Công ty mẹ</t>
        </is>
      </c>
      <c r="B5" s="38" t="n">
        <v>4898.9</v>
      </c>
      <c r="C5" s="38" t="n">
        <v>4099.8</v>
      </c>
      <c r="D5" s="38" t="n">
        <v>167.7</v>
      </c>
      <c r="E5" s="38" t="n">
        <v>3721.9</v>
      </c>
      <c r="F5" s="38" t="n">
        <v>7033.7</v>
      </c>
      <c r="G5" s="38">
        <f>'04_PnL'!G16</f>
        <v/>
      </c>
      <c r="H5" s="38">
        <f>'04_PnL'!H16</f>
        <v/>
      </c>
      <c r="I5" s="38">
        <f>'04_PnL'!I16</f>
        <v/>
      </c>
      <c r="J5" s="40">
        <f>(I5/F5)^(1/2)-1</f>
        <v/>
      </c>
    </row>
    <row r="6">
      <c r="A6" s="19" t="inlineStr">
        <is>
          <t>EPS (VND)</t>
        </is>
      </c>
      <c r="B6" s="21" t="n">
        <v>6871</v>
      </c>
      <c r="C6" s="21" t="n">
        <v>2800</v>
      </c>
      <c r="D6" s="21" t="n">
        <v>115</v>
      </c>
      <c r="E6" s="21" t="n">
        <v>2546</v>
      </c>
      <c r="F6" s="21" t="n">
        <v>4785</v>
      </c>
      <c r="G6" s="21">
        <f>'04_PnL'!G17</f>
        <v/>
      </c>
      <c r="H6" s="21">
        <f>'04_PnL'!H17</f>
        <v/>
      </c>
      <c r="I6" s="21">
        <f>'04_PnL'!I17</f>
        <v/>
      </c>
      <c r="J6" s="40">
        <f>(I6/F6)^(1/2)-1</f>
        <v/>
      </c>
    </row>
    <row r="7">
      <c r="A7" s="19" t="inlineStr">
        <is>
          <t>CAPEX</t>
        </is>
      </c>
      <c r="B7" s="21" t="n">
        <v>4976.9</v>
      </c>
      <c r="C7" s="21" t="n">
        <v>4465.4</v>
      </c>
      <c r="D7" s="21" t="n">
        <v>523.4</v>
      </c>
      <c r="E7" s="21" t="n">
        <v>303.7</v>
      </c>
      <c r="F7" s="21" t="n">
        <v>888.5</v>
      </c>
      <c r="G7" s="21">
        <f>-'06_Cash_Flow'!B6</f>
        <v/>
      </c>
      <c r="H7" s="21">
        <f>-'06_Cash_Flow'!C6</f>
        <v/>
      </c>
      <c r="I7" s="21">
        <f>-'06_Cash_Flow'!D6</f>
        <v/>
      </c>
    </row>
    <row r="8">
      <c r="A8" s="19" t="inlineStr">
        <is>
          <t>Net Debt</t>
        </is>
      </c>
      <c r="B8" s="21" t="n">
        <v>6268.9</v>
      </c>
      <c r="C8" s="21" t="n">
        <v>1459.1</v>
      </c>
      <c r="D8" s="21" t="n">
        <v>811</v>
      </c>
      <c r="E8" s="21" t="n">
        <v>-6921.5</v>
      </c>
      <c r="F8" s="21" t="n">
        <v>-8943.299999999999</v>
      </c>
      <c r="G8" s="21">
        <f>'05_Balance_Sheet'!G16</f>
        <v/>
      </c>
      <c r="H8" s="21">
        <f>'05_Balance_Sheet'!H16</f>
        <v/>
      </c>
      <c r="I8" s="21">
        <f>'05_Balance_Sheet'!I16</f>
        <v/>
      </c>
    </row>
    <row r="9">
      <c r="A9" s="19" t="inlineStr">
        <is>
          <t>Vốn chủ sở hữu</t>
        </is>
      </c>
      <c r="B9" s="21" t="n">
        <v>20378.2</v>
      </c>
      <c r="C9" s="21" t="n">
        <v>23932.6</v>
      </c>
      <c r="D9" s="21" t="n">
        <v>23359.6</v>
      </c>
      <c r="E9" s="21" t="n">
        <v>28121.6</v>
      </c>
      <c r="F9" s="21" t="n">
        <v>33176.1</v>
      </c>
      <c r="G9" s="21">
        <f>'05_Balance_Sheet'!G12</f>
        <v/>
      </c>
      <c r="H9" s="21">
        <f>'05_Balance_Sheet'!H12</f>
        <v/>
      </c>
      <c r="I9" s="21">
        <f>'05_Balance_Sheet'!I12</f>
        <v/>
      </c>
      <c r="J9" s="40">
        <f>(I9/F9)^(1/2)-1</f>
        <v/>
      </c>
    </row>
    <row r="11">
      <c r="A11" s="19" t="inlineStr">
        <is>
          <t>ROE (%)</t>
        </is>
      </c>
      <c r="B11" s="28">
        <f>B5/B9</f>
        <v/>
      </c>
      <c r="C11" s="28">
        <f>C5/C9</f>
        <v/>
      </c>
      <c r="D11" s="28">
        <f>D5/D9</f>
        <v/>
      </c>
      <c r="E11" s="28">
        <f>E5/E9</f>
        <v/>
      </c>
      <c r="F11" s="28">
        <f>F5/F9</f>
        <v/>
      </c>
      <c r="G11" s="28">
        <f>G5/G9</f>
        <v/>
      </c>
      <c r="H11" s="28">
        <f>H5/H9</f>
        <v/>
      </c>
      <c r="I11" s="28">
        <f>I5/I9</f>
        <v/>
      </c>
    </row>
    <row r="12">
      <c r="A12" s="19" t="inlineStr">
        <is>
          <t>P/E (x)</t>
        </is>
      </c>
      <c r="B12" s="26">
        <f>'02_Assumptions'!$B$2*'02_Assumptions'!$B$3/(B5*1000)</f>
        <v/>
      </c>
      <c r="C12" s="26">
        <f>'02_Assumptions'!$B$2*'02_Assumptions'!$B$3/(C5*1000)</f>
        <v/>
      </c>
      <c r="D12" s="26">
        <f>'02_Assumptions'!$B$2*'02_Assumptions'!$B$3/(D5*1000)</f>
        <v/>
      </c>
      <c r="E12" s="26">
        <f>'02_Assumptions'!$B$2*'02_Assumptions'!$B$3/(E5*1000)</f>
        <v/>
      </c>
      <c r="F12" s="26">
        <f>'02_Assumptions'!$B$2*'02_Assumptions'!$B$3/(F5*1000)</f>
        <v/>
      </c>
      <c r="G12" s="26">
        <f>'02_Assumptions'!$B$2*'02_Assumptions'!$B$3/(G5*1000)</f>
        <v/>
      </c>
      <c r="H12" s="26">
        <f>'02_Assumptions'!$B$2*'02_Assumptions'!$B$3/(H5*1000)</f>
        <v/>
      </c>
      <c r="I12" s="26">
        <f>'02_Assumptions'!$B$2*'02_Assumptions'!$B$3/(I5*1000)</f>
        <v/>
      </c>
    </row>
    <row r="13">
      <c r="A13" s="19" t="inlineStr">
        <is>
          <t>P/B (x)</t>
        </is>
      </c>
      <c r="B13" s="26">
        <f>('02_Assumptions'!$B$2*'02_Assumptions'!$B$3/1000)/B9</f>
        <v/>
      </c>
      <c r="C13" s="26">
        <f>('02_Assumptions'!$B$2*'02_Assumptions'!$B$3/1000)/C9</f>
        <v/>
      </c>
      <c r="D13" s="26">
        <f>('02_Assumptions'!$B$2*'02_Assumptions'!$B$3/1000)/D9</f>
        <v/>
      </c>
      <c r="E13" s="26">
        <f>('02_Assumptions'!$B$2*'02_Assumptions'!$B$3/1000)/E9</f>
        <v/>
      </c>
      <c r="F13" s="26">
        <f>('02_Assumptions'!$B$2*'02_Assumptions'!$B$3/1000)/F9</f>
        <v/>
      </c>
      <c r="G13" s="26">
        <f>('02_Assumptions'!$B$2*'02_Assumptions'!$B$3/1000)/G9</f>
        <v/>
      </c>
      <c r="H13" s="26">
        <f>('02_Assumptions'!$B$2*'02_Assumptions'!$B$3/1000)/H9</f>
        <v/>
      </c>
      <c r="I13" s="26">
        <f>('02_Assumptions'!$B$2*'02_Assumptions'!$B$3/1000)/I9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20" t="inlineStr">
        <is>
          <t>Quý</t>
        </is>
      </c>
      <c r="B1" s="20" t="inlineStr">
        <is>
          <t>P/E (x)</t>
        </is>
      </c>
      <c r="C1" s="20" t="inlineStr">
        <is>
          <t>P/B (x)</t>
        </is>
      </c>
      <c r="D1" s="20" t="inlineStr">
        <is>
          <t>EV/EBITDA (x)</t>
        </is>
      </c>
    </row>
    <row r="2">
      <c r="A2" s="57" t="inlineStr">
        <is>
          <t>2018Q1</t>
        </is>
      </c>
      <c r="B2" s="57" t="n">
        <v>14.72</v>
      </c>
      <c r="C2" s="57" t="n">
        <v>5.16</v>
      </c>
      <c r="D2" s="57" t="n">
        <v>10.96</v>
      </c>
    </row>
    <row r="3">
      <c r="A3" s="57" t="inlineStr">
        <is>
          <t>2018Q2</t>
        </is>
      </c>
      <c r="B3" s="57" t="n">
        <v>12.62</v>
      </c>
      <c r="C3" s="57" t="n">
        <v>4.6</v>
      </c>
      <c r="D3" s="57" t="n">
        <v>8.960000000000001</v>
      </c>
    </row>
    <row r="4">
      <c r="A4" s="57" t="inlineStr">
        <is>
          <t>2018Q3</t>
        </is>
      </c>
      <c r="B4" s="57" t="n">
        <v>12.97</v>
      </c>
      <c r="C4" s="57" t="n">
        <v>4.54</v>
      </c>
      <c r="D4" s="57" t="n">
        <v>8.57</v>
      </c>
    </row>
    <row r="5">
      <c r="A5" s="57" t="inlineStr">
        <is>
          <t>2018Q4</t>
        </is>
      </c>
      <c r="B5" s="57" t="n">
        <v>13.08</v>
      </c>
      <c r="C5" s="57" t="n">
        <v>4.19</v>
      </c>
      <c r="D5" s="57" t="n">
        <v>8.09</v>
      </c>
    </row>
    <row r="6">
      <c r="A6" s="57" t="inlineStr">
        <is>
          <t>2019Q1</t>
        </is>
      </c>
      <c r="B6" s="57" t="n">
        <v>14.45</v>
      </c>
      <c r="C6" s="57" t="n">
        <v>4.59</v>
      </c>
      <c r="D6" s="57" t="n">
        <v>9.779999999999999</v>
      </c>
    </row>
    <row r="7">
      <c r="A7" s="57" t="inlineStr">
        <is>
          <t>2019Q2</t>
        </is>
      </c>
      <c r="B7" s="57" t="n">
        <v>16.04</v>
      </c>
      <c r="C7" s="57" t="n">
        <v>5.39</v>
      </c>
      <c r="D7" s="57" t="n">
        <v>10.87</v>
      </c>
    </row>
    <row r="8">
      <c r="A8" s="57" t="inlineStr">
        <is>
          <t>2019Q3</t>
        </is>
      </c>
      <c r="B8" s="57" t="n">
        <v>14.32</v>
      </c>
      <c r="C8" s="57" t="n">
        <v>4.75</v>
      </c>
      <c r="D8" s="57" t="n">
        <v>9.91</v>
      </c>
    </row>
    <row r="9">
      <c r="A9" s="57" t="inlineStr">
        <is>
          <t>2019Q4</t>
        </is>
      </c>
      <c r="B9" s="57" t="n">
        <v>9.359999999999999</v>
      </c>
      <c r="C9" s="57" t="n">
        <v>3.02</v>
      </c>
      <c r="D9" s="57" t="n">
        <v>6.69</v>
      </c>
    </row>
    <row r="10">
      <c r="A10" s="57" t="inlineStr">
        <is>
          <t>2020Q1</t>
        </is>
      </c>
      <c r="B10" s="57" t="n">
        <v>8.43</v>
      </c>
      <c r="C10" s="57" t="n">
        <v>2.52</v>
      </c>
      <c r="D10" s="57" t="n">
        <v>6.16</v>
      </c>
    </row>
    <row r="11">
      <c r="A11" s="57" t="inlineStr">
        <is>
          <t>2020Q2</t>
        </is>
      </c>
      <c r="B11" s="57" t="n">
        <v>12.24</v>
      </c>
      <c r="C11" s="57" t="n">
        <v>3.25</v>
      </c>
      <c r="D11" s="57" t="n">
        <v>8.130000000000001</v>
      </c>
    </row>
    <row r="12">
      <c r="A12" s="57" t="inlineStr">
        <is>
          <t>2020Q3</t>
        </is>
      </c>
      <c r="B12" s="57" t="n">
        <v>15.6</v>
      </c>
      <c r="C12" s="57" t="n">
        <v>4.03</v>
      </c>
      <c r="D12" s="57" t="n">
        <v>10.1</v>
      </c>
    </row>
    <row r="13">
      <c r="A13" s="57" t="inlineStr">
        <is>
          <t>2020Q4</t>
        </is>
      </c>
      <c r="B13" s="57" t="n">
        <v>16.3</v>
      </c>
      <c r="C13" s="57" t="n">
        <v>4.3</v>
      </c>
      <c r="D13" s="57" t="n">
        <v>10.44</v>
      </c>
    </row>
    <row r="14">
      <c r="A14" s="57" t="inlineStr">
        <is>
          <t>2021Q1</t>
        </is>
      </c>
      <c r="B14" s="57" t="n">
        <v>19.62</v>
      </c>
      <c r="C14" s="57" t="n">
        <v>4.93</v>
      </c>
      <c r="D14" s="57" t="n">
        <v>13.05</v>
      </c>
    </row>
    <row r="15">
      <c r="A15" s="57" t="inlineStr">
        <is>
          <t>2021Q3</t>
        </is>
      </c>
      <c r="B15" s="57" t="n">
        <v>21.43</v>
      </c>
      <c r="C15" s="57" t="n">
        <v>4.93</v>
      </c>
      <c r="D15" s="57" t="n">
        <v>13.46</v>
      </c>
    </row>
    <row r="16">
      <c r="A16" s="57" t="inlineStr">
        <is>
          <t>2021Q4</t>
        </is>
      </c>
      <c r="B16" s="57" t="n">
        <v>21.7</v>
      </c>
      <c r="C16" s="57" t="n">
        <v>5.36</v>
      </c>
      <c r="D16" s="57" t="n">
        <v>14.08</v>
      </c>
    </row>
    <row r="17">
      <c r="A17" s="57" t="inlineStr">
        <is>
          <t>2022Q1</t>
        </is>
      </c>
      <c r="B17" s="57" t="n">
        <v>18.43</v>
      </c>
      <c r="C17" s="57" t="n">
        <v>4.23</v>
      </c>
      <c r="D17" s="57" t="n">
        <v>12.47</v>
      </c>
    </row>
    <row r="18">
      <c r="A18" s="57" t="inlineStr">
        <is>
          <t>2022Q2</t>
        </is>
      </c>
      <c r="B18" s="57" t="n">
        <v>16.96</v>
      </c>
      <c r="C18" s="57" t="n">
        <v>3.76</v>
      </c>
      <c r="D18" s="57" t="n">
        <v>10.54</v>
      </c>
    </row>
    <row r="19">
      <c r="A19" s="57" t="inlineStr">
        <is>
          <t>2022Q3</t>
        </is>
      </c>
      <c r="B19" s="57" t="n">
        <v>12.13</v>
      </c>
      <c r="C19" s="57" t="n">
        <v>2.64</v>
      </c>
      <c r="D19" s="57" t="n">
        <v>7.13</v>
      </c>
    </row>
    <row r="20">
      <c r="A20" s="57" t="inlineStr">
        <is>
          <t>2022Q4</t>
        </is>
      </c>
      <c r="B20" s="57" t="n">
        <v>14.24</v>
      </c>
      <c r="C20" s="57" t="n">
        <v>2.45</v>
      </c>
      <c r="D20" s="57" t="n">
        <v>7.3</v>
      </c>
    </row>
    <row r="21">
      <c r="A21" s="57" t="inlineStr">
        <is>
          <t>2023Q1</t>
        </is>
      </c>
      <c r="B21" s="57" t="n">
        <v>26.88</v>
      </c>
      <c r="C21" s="57" t="n">
        <v>3</v>
      </c>
      <c r="D21" s="57" t="n">
        <v>10.16</v>
      </c>
    </row>
    <row r="22">
      <c r="A22" s="57" t="inlineStr">
        <is>
          <t>2023Q2</t>
        </is>
      </c>
      <c r="B22" s="57" t="n">
        <v>45.28</v>
      </c>
      <c r="C22" s="57" t="n">
        <v>3.05</v>
      </c>
      <c r="D22" s="57" t="n">
        <v>13.98</v>
      </c>
    </row>
    <row r="23">
      <c r="A23" s="57" t="inlineStr">
        <is>
          <t>2023Q3</t>
        </is>
      </c>
      <c r="B23" s="57" t="n"/>
      <c r="C23" s="57" t="n">
        <v>2.63</v>
      </c>
      <c r="D23" s="57" t="n">
        <v>16.92</v>
      </c>
    </row>
    <row r="24">
      <c r="A24" s="57" t="inlineStr">
        <is>
          <t>2023Q4</t>
        </is>
      </c>
      <c r="B24" s="57" t="n"/>
      <c r="C24" s="57" t="n">
        <v>3.26</v>
      </c>
      <c r="D24" s="57" t="n">
        <v>25.51</v>
      </c>
    </row>
    <row r="25">
      <c r="A25" s="57" t="inlineStr">
        <is>
          <t>2024Q1</t>
        </is>
      </c>
      <c r="B25" s="57" t="n"/>
      <c r="C25" s="57" t="n">
        <v>3.75</v>
      </c>
      <c r="D25" s="57" t="n">
        <v>24.97</v>
      </c>
    </row>
    <row r="26">
      <c r="A26" s="57" t="inlineStr">
        <is>
          <t>2024Q2</t>
        </is>
      </c>
      <c r="B26" s="57" t="n">
        <v>42.21</v>
      </c>
      <c r="C26" s="57" t="n">
        <v>3.56</v>
      </c>
      <c r="D26" s="57" t="n">
        <v>18.84</v>
      </c>
    </row>
    <row r="27">
      <c r="A27" s="57" t="inlineStr">
        <is>
          <t>2024Q3</t>
        </is>
      </c>
      <c r="B27" s="57" t="n">
        <v>28.21</v>
      </c>
      <c r="C27" s="57" t="n">
        <v>3.11</v>
      </c>
      <c r="D27" s="57" t="n">
        <v>14.82</v>
      </c>
    </row>
    <row r="28">
      <c r="A28" s="57" t="inlineStr">
        <is>
          <t>2024Q4</t>
        </is>
      </c>
      <c r="B28" s="57" t="n">
        <v>22.44</v>
      </c>
      <c r="C28" s="57" t="n">
        <v>3.01</v>
      </c>
      <c r="D28" s="57" t="n">
        <v>14.01</v>
      </c>
    </row>
    <row r="29">
      <c r="A29" s="57" t="inlineStr">
        <is>
          <t>2025Q1</t>
        </is>
      </c>
      <c r="B29" s="57" t="n">
        <v>23.18</v>
      </c>
      <c r="C29" s="57" t="n">
        <v>3.46</v>
      </c>
      <c r="D29" s="57" t="n">
        <v>17.14</v>
      </c>
    </row>
    <row r="30">
      <c r="A30" s="57" t="inlineStr">
        <is>
          <t>2025Q2</t>
        </is>
      </c>
      <c r="B30" s="57" t="n">
        <v>25.48</v>
      </c>
      <c r="C30" s="57" t="n">
        <v>4.2</v>
      </c>
      <c r="D30" s="57" t="n">
        <v>20.37</v>
      </c>
    </row>
    <row r="31">
      <c r="A31" s="57" t="inlineStr">
        <is>
          <t>2025Q3</t>
        </is>
      </c>
      <c r="B31" s="57" t="n">
        <v>21.6</v>
      </c>
      <c r="C31" s="57" t="n">
        <v>4.02</v>
      </c>
      <c r="D31" s="57" t="n">
        <v>19.1</v>
      </c>
    </row>
    <row r="32">
      <c r="A32" s="57" t="inlineStr">
        <is>
          <t>2025Q4</t>
        </is>
      </c>
      <c r="B32" s="57" t="n">
        <v>16.75</v>
      </c>
      <c r="C32" s="57" t="n">
        <v>3.6</v>
      </c>
      <c r="D32" s="57" t="n">
        <v>15.73</v>
      </c>
    </row>
    <row r="33">
      <c r="A33" s="57" t="inlineStr">
        <is>
          <t>2026Q1</t>
        </is>
      </c>
      <c r="B33" s="57" t="n">
        <v>13.83</v>
      </c>
      <c r="C33" s="57" t="n">
        <v>3.2</v>
      </c>
      <c r="D33" s="57" t="n">
        <v>13.52</v>
      </c>
    </row>
    <row r="34">
      <c r="A34" s="57" t="inlineStr">
        <is>
          <t>2026Q2</t>
        </is>
      </c>
      <c r="B34" s="57" t="n">
        <v>13.55</v>
      </c>
      <c r="C34" s="57" t="n">
        <v>3.14</v>
      </c>
      <c r="D34" s="57" t="n">
        <v>13.29</v>
      </c>
    </row>
    <row r="36">
      <c r="A36" s="60" t="inlineStr">
        <is>
          <t>MEDIAN (loại quý bất thường P/E&gt;50x hoặc ≤0)</t>
        </is>
      </c>
      <c r="B36" s="61">
        <f>MEDIAN(B2:B34)</f>
        <v/>
      </c>
      <c r="C36" s="61">
        <f>MEDIAN(C2:C34)</f>
        <v/>
      </c>
      <c r="D36" s="61">
        <f>MEDIAN(D2:D34)</f>
        <v/>
      </c>
    </row>
    <row r="38" ht="45" customHeight="1">
      <c r="A38" s="62" t="inlineStr">
        <is>
          <t>Ghi chú: MEDIAN ở dòng trên tính trên TOÀN BỘ quý có dữ liệu (đã loại quý bất thường P/E&gt;50x hoặc ≤0). Đây CHÍNH LÀ số P/E Median/P/B Median dùng để định giá ở 02_Assumptions (liên kết công thức trực tiếp về đúng dòng MEDIAN này) — sửa/thêm dữ liệu quý ở bảng trên sẽ tự động cập nhật giá mục tiêu, không có phép tính nào khác ẩn ở nơi khác.</t>
        </is>
      </c>
    </row>
  </sheetData>
  <mergeCells count="1">
    <mergeCell ref="A38:D3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</cols>
  <sheetData>
    <row r="1">
      <c r="A1" s="20" t="inlineStr">
        <is>
          <t>Quý</t>
        </is>
      </c>
      <c r="B1" s="20" t="inlineStr">
        <is>
          <t>Doanh thu</t>
        </is>
      </c>
      <c r="C1" s="20" t="inlineStr">
        <is>
          <t>LNG</t>
        </is>
      </c>
      <c r="D1" s="20" t="inlineStr">
        <is>
          <t>LNST</t>
        </is>
      </c>
      <c r="E1" s="20" t="inlineStr">
        <is>
          <t>Biên LNG (%)</t>
        </is>
      </c>
      <c r="F1" s="20" t="inlineStr">
        <is>
          <t>Biên LNST (%)</t>
        </is>
      </c>
      <c r="G1" s="20" t="inlineStr">
        <is>
          <t>ROE (quy đổi năm)</t>
        </is>
      </c>
      <c r="H1" s="20" t="inlineStr">
        <is>
          <t>Tăng trưởng LNG YoY (%)</t>
        </is>
      </c>
      <c r="I1" s="20" t="inlineStr">
        <is>
          <t>Tăng trưởng LNST YoY (%)</t>
        </is>
      </c>
    </row>
    <row r="2">
      <c r="A2" s="57" t="inlineStr">
        <is>
          <t>2018Q1</t>
        </is>
      </c>
      <c r="B2" s="30" t="n">
        <v>22763.5</v>
      </c>
      <c r="C2" s="30" t="n">
        <v>3974.8</v>
      </c>
      <c r="D2" s="30" t="n">
        <v>807.4</v>
      </c>
      <c r="E2" s="32" t="n">
        <v>0.1746</v>
      </c>
      <c r="F2" s="32" t="n">
        <v>0.0355</v>
      </c>
      <c r="G2" s="32" t="n">
        <v>0.4443</v>
      </c>
      <c r="H2" s="63" t="n"/>
      <c r="I2" s="63" t="n"/>
    </row>
    <row r="3">
      <c r="A3" s="57" t="inlineStr">
        <is>
          <t>2018Q2</t>
        </is>
      </c>
      <c r="B3" s="30" t="n">
        <v>21806.9</v>
      </c>
      <c r="C3" s="30" t="n">
        <v>3861.6</v>
      </c>
      <c r="D3" s="30" t="n">
        <v>732</v>
      </c>
      <c r="E3" s="32" t="n">
        <v>0.1771</v>
      </c>
      <c r="F3" s="32" t="n">
        <v>0.0336</v>
      </c>
      <c r="G3" s="32" t="n">
        <v>0.3961</v>
      </c>
      <c r="H3" s="63" t="n"/>
      <c r="I3" s="63" t="n"/>
    </row>
    <row r="4">
      <c r="A4" s="57" t="inlineStr">
        <is>
          <t>2018Q3</t>
        </is>
      </c>
      <c r="B4" s="30" t="n">
        <v>20907.6</v>
      </c>
      <c r="C4" s="30" t="n">
        <v>3702.6</v>
      </c>
      <c r="D4" s="30" t="n">
        <v>647.4</v>
      </c>
      <c r="E4" s="32" t="n">
        <v>0.1771</v>
      </c>
      <c r="F4" s="32" t="n">
        <v>0.031</v>
      </c>
      <c r="G4" s="32" t="n">
        <v>0.3303</v>
      </c>
      <c r="H4" s="63" t="n"/>
      <c r="I4" s="63" t="n"/>
    </row>
    <row r="5">
      <c r="A5" s="57" t="inlineStr">
        <is>
          <t>2018Q4</t>
        </is>
      </c>
      <c r="B5" s="30" t="n">
        <v>21038.3</v>
      </c>
      <c r="C5" s="30" t="n">
        <v>3753.2</v>
      </c>
      <c r="D5" s="30" t="n">
        <v>692</v>
      </c>
      <c r="E5" s="32" t="n">
        <v>0.1784</v>
      </c>
      <c r="F5" s="32" t="n">
        <v>0.0329</v>
      </c>
      <c r="G5" s="32" t="n">
        <v>0.3229</v>
      </c>
      <c r="H5" s="63" t="n"/>
      <c r="I5" s="63" t="n"/>
    </row>
    <row r="6">
      <c r="A6" s="57" t="inlineStr">
        <is>
          <t>2019Q1</t>
        </is>
      </c>
      <c r="B6" s="30" t="n">
        <v>25017.4</v>
      </c>
      <c r="C6" s="30" t="n">
        <v>4433.8</v>
      </c>
      <c r="D6" s="30" t="n">
        <v>1040.4</v>
      </c>
      <c r="E6" s="32" t="n">
        <v>0.1772</v>
      </c>
      <c r="F6" s="32" t="n">
        <v>0.0416</v>
      </c>
      <c r="G6" s="32" t="n">
        <v>0.4381</v>
      </c>
      <c r="H6" s="63" t="n">
        <v>0.1155</v>
      </c>
      <c r="I6" s="63" t="n">
        <v>0.2887</v>
      </c>
    </row>
    <row r="7">
      <c r="A7" s="57" t="inlineStr">
        <is>
          <t>2019Q2</t>
        </is>
      </c>
      <c r="B7" s="30" t="n">
        <v>26603.8</v>
      </c>
      <c r="C7" s="30" t="n">
        <v>4748.4</v>
      </c>
      <c r="D7" s="30" t="n">
        <v>1079.2</v>
      </c>
      <c r="E7" s="32" t="n">
        <v>0.1785</v>
      </c>
      <c r="F7" s="32" t="n">
        <v>0.0406</v>
      </c>
      <c r="G7" s="32" t="n">
        <v>0.4222</v>
      </c>
      <c r="H7" s="63" t="n">
        <v>0.2296</v>
      </c>
      <c r="I7" s="63" t="n">
        <v>0.4744</v>
      </c>
    </row>
    <row r="8">
      <c r="A8" s="57" t="inlineStr">
        <is>
          <t>2019Q3</t>
        </is>
      </c>
      <c r="B8" s="30" t="n">
        <v>25142.1</v>
      </c>
      <c r="C8" s="30" t="n">
        <v>4940.6</v>
      </c>
      <c r="D8" s="30" t="n">
        <v>855.1</v>
      </c>
      <c r="E8" s="32" t="n">
        <v>0.1965</v>
      </c>
      <c r="F8" s="32" t="n">
        <v>0.034</v>
      </c>
      <c r="G8" s="32" t="n">
        <v>0.3149</v>
      </c>
      <c r="H8" s="63" t="n">
        <v>0.3344</v>
      </c>
      <c r="I8" s="63" t="n">
        <v>0.3209</v>
      </c>
    </row>
    <row r="9">
      <c r="A9" s="57" t="inlineStr">
        <is>
          <t>2019Q4</t>
        </is>
      </c>
      <c r="B9" s="30" t="n">
        <v>25411</v>
      </c>
      <c r="C9" s="30" t="n">
        <v>5365</v>
      </c>
      <c r="D9" s="30" t="n">
        <v>859.6</v>
      </c>
      <c r="E9" s="32" t="n">
        <v>0.2111</v>
      </c>
      <c r="F9" s="32" t="n">
        <v>0.0338</v>
      </c>
      <c r="G9" s="32" t="n">
        <v>0.2935</v>
      </c>
      <c r="H9" s="63" t="n">
        <v>0.4294</v>
      </c>
      <c r="I9" s="63" t="n">
        <v>0.2421</v>
      </c>
    </row>
    <row r="10">
      <c r="A10" s="57" t="inlineStr">
        <is>
          <t>2020Q1</t>
        </is>
      </c>
      <c r="B10" s="30" t="n">
        <v>29353.2</v>
      </c>
      <c r="C10" s="30" t="n">
        <v>6160</v>
      </c>
      <c r="D10" s="30" t="n">
        <v>1131.5</v>
      </c>
      <c r="E10" s="32" t="n">
        <v>0.2099</v>
      </c>
      <c r="F10" s="32" t="n">
        <v>0.0385</v>
      </c>
      <c r="G10" s="32" t="n">
        <v>0.3547</v>
      </c>
      <c r="H10" s="63" t="n">
        <v>0.3893</v>
      </c>
      <c r="I10" s="63" t="n">
        <v>0.08749999999999999</v>
      </c>
    </row>
    <row r="11">
      <c r="A11" s="57" t="inlineStr">
        <is>
          <t>2020Q2</t>
        </is>
      </c>
      <c r="B11" s="30" t="n">
        <v>26285.6</v>
      </c>
      <c r="C11" s="30" t="n">
        <v>5770.1</v>
      </c>
      <c r="D11" s="30" t="n">
        <v>893.9</v>
      </c>
      <c r="E11" s="32" t="n">
        <v>0.2195</v>
      </c>
      <c r="F11" s="32" t="n">
        <v>0.034</v>
      </c>
      <c r="G11" s="32" t="n">
        <v>0.2586</v>
      </c>
      <c r="H11" s="63" t="n">
        <v>0.2152</v>
      </c>
      <c r="I11" s="63" t="n">
        <v>-0.1717</v>
      </c>
    </row>
    <row r="12">
      <c r="A12" s="57" t="inlineStr">
        <is>
          <t>2020Q3</t>
        </is>
      </c>
      <c r="B12" s="30" t="n">
        <v>25713.6</v>
      </c>
      <c r="C12" s="30" t="n">
        <v>5749.7</v>
      </c>
      <c r="D12" s="30" t="n">
        <v>950.5</v>
      </c>
      <c r="E12" s="32" t="n">
        <v>0.2236</v>
      </c>
      <c r="F12" s="32" t="n">
        <v>0.037</v>
      </c>
      <c r="G12" s="32" t="n">
        <v>0.2578</v>
      </c>
      <c r="H12" s="63" t="n">
        <v>0.1638</v>
      </c>
      <c r="I12" s="63" t="n">
        <v>0.1116</v>
      </c>
    </row>
    <row r="13">
      <c r="A13" s="57" t="inlineStr">
        <is>
          <t>2020Q4</t>
        </is>
      </c>
      <c r="B13" s="30" t="n">
        <v>27193.7</v>
      </c>
      <c r="C13" s="30" t="n">
        <v>6274.7</v>
      </c>
      <c r="D13" s="30" t="n">
        <v>941.8</v>
      </c>
      <c r="E13" s="32" t="n">
        <v>0.2307</v>
      </c>
      <c r="F13" s="32" t="n">
        <v>0.0346</v>
      </c>
      <c r="G13" s="32" t="n">
        <v>0.2454</v>
      </c>
      <c r="H13" s="63" t="n">
        <v>0.1696</v>
      </c>
      <c r="I13" s="63" t="n">
        <v>0.09569999999999999</v>
      </c>
    </row>
    <row r="14">
      <c r="A14" s="57" t="inlineStr">
        <is>
          <t>2021Q1</t>
        </is>
      </c>
      <c r="B14" s="30" t="n">
        <v>30828.1</v>
      </c>
      <c r="C14" s="30" t="n">
        <v>7024.9</v>
      </c>
      <c r="D14" s="30" t="n">
        <v>1338</v>
      </c>
      <c r="E14" s="32" t="n">
        <v>0.2279</v>
      </c>
      <c r="F14" s="32" t="n">
        <v>0.0434</v>
      </c>
      <c r="G14" s="32" t="n">
        <v>0.33</v>
      </c>
      <c r="H14" s="63" t="n">
        <v>0.1404</v>
      </c>
      <c r="I14" s="63" t="n">
        <v>0.1825</v>
      </c>
    </row>
    <row r="15">
      <c r="A15" s="57" t="inlineStr">
        <is>
          <t>2021Q2</t>
        </is>
      </c>
      <c r="B15" s="30" t="n">
        <v>31658.4</v>
      </c>
      <c r="C15" s="30" t="n">
        <v>7143.6</v>
      </c>
      <c r="D15" s="30" t="n">
        <v>1213</v>
      </c>
      <c r="E15" s="32" t="n">
        <v>0.2256</v>
      </c>
      <c r="F15" s="32" t="n">
        <v>0.0383</v>
      </c>
      <c r="G15" s="32" t="n">
        <v>0.2756</v>
      </c>
      <c r="H15" s="63" t="n">
        <v>0.238</v>
      </c>
      <c r="I15" s="63" t="n">
        <v>0.357</v>
      </c>
    </row>
    <row r="16">
      <c r="A16" s="57" t="inlineStr">
        <is>
          <t>2021Q3</t>
        </is>
      </c>
      <c r="B16" s="30" t="n">
        <v>24333.2</v>
      </c>
      <c r="C16" s="30" t="n">
        <v>6088.7</v>
      </c>
      <c r="D16" s="30" t="n">
        <v>785.4</v>
      </c>
      <c r="E16" s="32" t="n">
        <v>0.2502</v>
      </c>
      <c r="F16" s="32" t="n">
        <v>0.0323</v>
      </c>
      <c r="G16" s="32" t="n">
        <v>0.1695</v>
      </c>
      <c r="H16" s="63" t="n">
        <v>0.059</v>
      </c>
      <c r="I16" s="63" t="n">
        <v>-0.1737</v>
      </c>
    </row>
    <row r="17">
      <c r="A17" s="57" t="inlineStr">
        <is>
          <t>2021Q4</t>
        </is>
      </c>
      <c r="B17" s="30" t="n">
        <v>36138.3</v>
      </c>
      <c r="C17" s="30" t="n">
        <v>7374.9</v>
      </c>
      <c r="D17" s="30" t="n">
        <v>1562.5</v>
      </c>
      <c r="E17" s="32" t="n">
        <v>0.2041</v>
      </c>
      <c r="F17" s="32" t="n">
        <v>0.0432</v>
      </c>
      <c r="G17" s="32" t="n">
        <v>0.319</v>
      </c>
      <c r="H17" s="63" t="n">
        <v>0.1753</v>
      </c>
      <c r="I17" s="63" t="n">
        <v>0.659</v>
      </c>
    </row>
    <row r="18">
      <c r="A18" s="57" t="inlineStr">
        <is>
          <t>2022Q1</t>
        </is>
      </c>
      <c r="B18" s="30" t="n">
        <v>36466.7</v>
      </c>
      <c r="C18" s="30" t="n">
        <v>8124.3</v>
      </c>
      <c r="D18" s="30" t="n">
        <v>1444.5</v>
      </c>
      <c r="E18" s="32" t="n">
        <v>0.2228</v>
      </c>
      <c r="F18" s="32" t="n">
        <v>0.0396</v>
      </c>
      <c r="G18" s="32" t="n">
        <v>0.2739</v>
      </c>
      <c r="H18" s="63" t="n">
        <v>0.1565</v>
      </c>
      <c r="I18" s="63" t="n">
        <v>0.0796</v>
      </c>
    </row>
    <row r="19">
      <c r="A19" s="57" t="inlineStr">
        <is>
          <t>2022Q2</t>
        </is>
      </c>
      <c r="B19" s="30" t="n">
        <v>34337.7</v>
      </c>
      <c r="C19" s="30" t="n">
        <v>7336.4</v>
      </c>
      <c r="D19" s="30" t="n">
        <v>1130</v>
      </c>
      <c r="E19" s="32" t="n">
        <v>0.2137</v>
      </c>
      <c r="F19" s="32" t="n">
        <v>0.0329</v>
      </c>
      <c r="G19" s="32" t="n">
        <v>0.2045</v>
      </c>
      <c r="H19" s="63" t="n">
        <v>0.027</v>
      </c>
      <c r="I19" s="63" t="n">
        <v>-0.0684</v>
      </c>
    </row>
    <row r="20">
      <c r="A20" s="57" t="inlineStr">
        <is>
          <t>2022Q3</t>
        </is>
      </c>
      <c r="B20" s="30" t="n">
        <v>32012</v>
      </c>
      <c r="C20" s="30" t="n">
        <v>7392</v>
      </c>
      <c r="D20" s="30" t="n">
        <v>906.2</v>
      </c>
      <c r="E20" s="32" t="n">
        <v>0.2309</v>
      </c>
      <c r="F20" s="32" t="n">
        <v>0.0283</v>
      </c>
      <c r="G20" s="32" t="n">
        <v>0.1586</v>
      </c>
      <c r="H20" s="63" t="n">
        <v>0.2141</v>
      </c>
      <c r="I20" s="63" t="n">
        <v>0.1539</v>
      </c>
    </row>
    <row r="21">
      <c r="A21" s="57" t="inlineStr">
        <is>
          <t>2022Q4</t>
        </is>
      </c>
      <c r="B21" s="30" t="n">
        <v>30588.4</v>
      </c>
      <c r="C21" s="30" t="n">
        <v>7929.5</v>
      </c>
      <c r="D21" s="30" t="n">
        <v>619</v>
      </c>
      <c r="E21" s="32" t="n">
        <v>0.2592</v>
      </c>
      <c r="F21" s="32" t="n">
        <v>0.0202</v>
      </c>
      <c r="G21" s="32" t="n">
        <v>0.1048</v>
      </c>
      <c r="H21" s="63" t="n">
        <v>0.0752</v>
      </c>
      <c r="I21" s="63" t="n">
        <v>-0.6038</v>
      </c>
    </row>
    <row r="22">
      <c r="A22" s="57" t="inlineStr">
        <is>
          <t>2023Q1</t>
        </is>
      </c>
      <c r="B22" s="30" t="n">
        <v>27105.8</v>
      </c>
      <c r="C22" s="30" t="n">
        <v>5214.5</v>
      </c>
      <c r="D22" s="30" t="n">
        <v>21.3</v>
      </c>
      <c r="E22" s="32" t="n">
        <v>0.1924</v>
      </c>
      <c r="F22" s="32" t="n">
        <v>0.0008</v>
      </c>
      <c r="G22" s="32" t="n">
        <v>0.0036</v>
      </c>
      <c r="H22" s="63" t="n">
        <v>-0.3582</v>
      </c>
      <c r="I22" s="63" t="n">
        <v>-0.9853</v>
      </c>
    </row>
    <row r="23">
      <c r="A23" s="57" t="inlineStr">
        <is>
          <t>2023Q2</t>
        </is>
      </c>
      <c r="B23" s="30" t="n">
        <v>29464.8</v>
      </c>
      <c r="C23" s="30" t="n">
        <v>5441.2</v>
      </c>
      <c r="D23" s="30" t="n">
        <v>17.4</v>
      </c>
      <c r="E23" s="32" t="n">
        <v>0.1847</v>
      </c>
      <c r="F23" s="32" t="n">
        <v>0.0005999999999999999</v>
      </c>
      <c r="G23" s="32" t="n">
        <v>0.003</v>
      </c>
      <c r="H23" s="63" t="n">
        <v>-0.2583</v>
      </c>
      <c r="I23" s="63" t="n">
        <v>-0.9846</v>
      </c>
    </row>
    <row r="24">
      <c r="A24" s="57" t="inlineStr">
        <is>
          <t>2023Q3</t>
        </is>
      </c>
      <c r="B24" s="30" t="n">
        <v>30287.7</v>
      </c>
      <c r="C24" s="30" t="n">
        <v>5678.5</v>
      </c>
      <c r="D24" s="30" t="n">
        <v>38.7</v>
      </c>
      <c r="E24" s="32" t="n">
        <v>0.1875</v>
      </c>
      <c r="F24" s="32" t="n">
        <v>0.0013</v>
      </c>
      <c r="G24" s="32" t="n">
        <v>0.0067</v>
      </c>
      <c r="H24" s="63" t="n">
        <v>-0.2318</v>
      </c>
      <c r="I24" s="63" t="n">
        <v>-0.9573</v>
      </c>
    </row>
    <row r="25">
      <c r="A25" s="57" t="inlineStr">
        <is>
          <t>2023Q4</t>
        </is>
      </c>
      <c r="B25" s="30" t="n">
        <v>31421.5</v>
      </c>
      <c r="C25" s="30" t="n">
        <v>6186.5</v>
      </c>
      <c r="D25" s="30" t="n">
        <v>90.3</v>
      </c>
      <c r="E25" s="32" t="n">
        <v>0.1969</v>
      </c>
      <c r="F25" s="32" t="n">
        <v>0.0029</v>
      </c>
      <c r="G25" s="32" t="n">
        <v>0.0155</v>
      </c>
      <c r="H25" s="63" t="n">
        <v>-0.2198</v>
      </c>
      <c r="I25" s="63" t="n">
        <v>-0.8542</v>
      </c>
    </row>
    <row r="26">
      <c r="A26" s="57" t="inlineStr">
        <is>
          <t>2024Q1</t>
        </is>
      </c>
      <c r="B26" s="30" t="n">
        <v>31486.5</v>
      </c>
      <c r="C26" s="30" t="n">
        <v>6712.6</v>
      </c>
      <c r="D26" s="30" t="n">
        <v>902.4</v>
      </c>
      <c r="E26" s="32" t="n">
        <v>0.2132</v>
      </c>
      <c r="F26" s="32" t="n">
        <v>0.0287</v>
      </c>
      <c r="G26" s="32" t="n">
        <v>0.1462</v>
      </c>
      <c r="H26" s="63" t="n">
        <v>0.2873</v>
      </c>
      <c r="I26" s="63" t="n">
        <v>41.4338</v>
      </c>
    </row>
    <row r="27">
      <c r="A27" s="57" t="inlineStr">
        <is>
          <t>2024Q2</t>
        </is>
      </c>
      <c r="B27" s="30" t="n">
        <v>34134.1</v>
      </c>
      <c r="C27" s="30" t="n">
        <v>7307.7</v>
      </c>
      <c r="D27" s="30" t="n">
        <v>1172.3</v>
      </c>
      <c r="E27" s="32" t="n">
        <v>0.2141</v>
      </c>
      <c r="F27" s="32" t="n">
        <v>0.0343</v>
      </c>
      <c r="G27" s="32" t="n">
        <v>0.1786</v>
      </c>
      <c r="H27" s="63" t="n">
        <v>0.343</v>
      </c>
      <c r="I27" s="63" t="n">
        <v>66.3503</v>
      </c>
    </row>
    <row r="28">
      <c r="A28" s="57" t="inlineStr">
        <is>
          <t>2024Q3</t>
        </is>
      </c>
      <c r="B28" s="30" t="n">
        <v>34146.7</v>
      </c>
      <c r="C28" s="30" t="n">
        <v>6891.9</v>
      </c>
      <c r="D28" s="30" t="n">
        <v>800.1</v>
      </c>
      <c r="E28" s="32" t="n">
        <v>0.2018</v>
      </c>
      <c r="F28" s="32" t="n">
        <v>0.0234</v>
      </c>
      <c r="G28" s="32" t="n">
        <v>0.1191</v>
      </c>
      <c r="H28" s="63" t="n">
        <v>0.2137</v>
      </c>
      <c r="I28" s="63" t="n">
        <v>19.6548</v>
      </c>
    </row>
    <row r="29">
      <c r="A29" s="57" t="inlineStr">
        <is>
          <t>2024Q4</t>
        </is>
      </c>
      <c r="B29" s="30" t="n">
        <v>34573.9</v>
      </c>
      <c r="C29" s="30" t="n">
        <v>6587</v>
      </c>
      <c r="D29" s="30" t="n">
        <v>847</v>
      </c>
      <c r="E29" s="32" t="n">
        <v>0.1905</v>
      </c>
      <c r="F29" s="32" t="n">
        <v>0.0245</v>
      </c>
      <c r="G29" s="32" t="n">
        <v>0.1223</v>
      </c>
      <c r="H29" s="63" t="n">
        <v>0.06469999999999999</v>
      </c>
      <c r="I29" s="63" t="n">
        <v>8.3843</v>
      </c>
    </row>
    <row r="30">
      <c r="A30" s="57" t="inlineStr">
        <is>
          <t>2025Q1</t>
        </is>
      </c>
      <c r="B30" s="30" t="n">
        <v>36135</v>
      </c>
      <c r="C30" s="30" t="n">
        <v>7200.4</v>
      </c>
      <c r="D30" s="30" t="n">
        <v>1545.9</v>
      </c>
      <c r="E30" s="32" t="n">
        <v>0.1993</v>
      </c>
      <c r="F30" s="32" t="n">
        <v>0.0428</v>
      </c>
      <c r="G30" s="32" t="n">
        <v>0.214</v>
      </c>
      <c r="H30" s="63" t="n">
        <v>0.0727</v>
      </c>
      <c r="I30" s="63" t="n">
        <v>0.7131</v>
      </c>
    </row>
    <row r="31">
      <c r="A31" s="57" t="inlineStr">
        <is>
          <t>2025Q2</t>
        </is>
      </c>
      <c r="B31" s="30" t="n">
        <v>37620</v>
      </c>
      <c r="C31" s="30" t="n">
        <v>7568.7</v>
      </c>
      <c r="D31" s="30" t="n">
        <v>1648.1</v>
      </c>
      <c r="E31" s="32" t="n">
        <v>0.2012</v>
      </c>
      <c r="F31" s="32" t="n">
        <v>0.0438</v>
      </c>
      <c r="G31" s="32" t="n">
        <v>0.2209</v>
      </c>
      <c r="H31" s="63" t="n">
        <v>0.0357</v>
      </c>
      <c r="I31" s="63" t="n">
        <v>0.4059</v>
      </c>
    </row>
    <row r="32">
      <c r="A32" s="57" t="inlineStr">
        <is>
          <t>2025Q3</t>
        </is>
      </c>
      <c r="B32" s="30" t="n">
        <v>39852.5</v>
      </c>
      <c r="C32" s="30" t="n">
        <v>7478.2</v>
      </c>
      <c r="D32" s="30" t="n">
        <v>1770.9</v>
      </c>
      <c r="E32" s="32" t="n">
        <v>0.1876</v>
      </c>
      <c r="F32" s="32" t="n">
        <v>0.0444</v>
      </c>
      <c r="G32" s="32" t="n">
        <v>0.2292</v>
      </c>
      <c r="H32" s="63" t="n">
        <v>0.0851</v>
      </c>
      <c r="I32" s="63" t="n">
        <v>1.2132</v>
      </c>
    </row>
    <row r="33">
      <c r="A33" s="57" t="inlineStr">
        <is>
          <t>2025Q4</t>
        </is>
      </c>
      <c r="B33" s="30" t="n">
        <v>42320.7</v>
      </c>
      <c r="C33" s="30" t="n">
        <v>8754.6</v>
      </c>
      <c r="D33" s="30" t="n">
        <v>2068.7</v>
      </c>
      <c r="E33" s="32" t="n">
        <v>0.2069</v>
      </c>
      <c r="F33" s="32" t="n">
        <v>0.0489</v>
      </c>
      <c r="G33" s="32" t="n">
        <v>0.2547</v>
      </c>
      <c r="H33" s="63" t="n">
        <v>0.3291</v>
      </c>
      <c r="I33" s="63" t="n">
        <v>1.4424</v>
      </c>
    </row>
    <row r="34">
      <c r="A34" s="57" t="inlineStr">
        <is>
          <t>2026Q1</t>
        </is>
      </c>
      <c r="B34" s="30" t="n">
        <v>46462</v>
      </c>
      <c r="C34" s="30" t="n">
        <v>9710.1</v>
      </c>
      <c r="D34" s="30" t="n">
        <v>2714.4</v>
      </c>
      <c r="E34" s="32" t="n">
        <v>0.209</v>
      </c>
      <c r="F34" s="32" t="n">
        <v>0.0584</v>
      </c>
      <c r="G34" s="32" t="n">
        <v>0.3142</v>
      </c>
      <c r="H34" s="63" t="n">
        <v>0.3486</v>
      </c>
      <c r="I34" s="63" t="n">
        <v>0.7558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</cols>
  <sheetData>
    <row r="1">
      <c r="A1" s="20" t="inlineStr">
        <is>
          <t>Chỉ tiêu kiểm tra</t>
        </is>
      </c>
      <c r="B1" s="20" t="inlineStr">
        <is>
          <t>Giá trị/So sánh</t>
        </is>
      </c>
      <c r="C1" s="20" t="inlineStr">
        <is>
          <t>Đánh giá</t>
        </is>
      </c>
    </row>
    <row r="2">
      <c r="A2" s="57" t="inlineStr">
        <is>
          <t>Phải thu KH tăng nhanh hơn Doanh thu</t>
        </is>
      </c>
      <c r="B2" s="64" t="inlineStr">
        <is>
          <t>Phải thu +15.4% vs DT +16.1%</t>
        </is>
      </c>
      <c r="C2" s="59" t="inlineStr">
        <is>
          <t>Bình thường</t>
        </is>
      </c>
    </row>
    <row r="3">
      <c r="A3" s="57" t="inlineStr">
        <is>
          <t>Hàng tồn kho tăng nhanh hơn Doanh thu</t>
        </is>
      </c>
      <c r="B3" s="64" t="inlineStr">
        <is>
          <t>Tồn kho +22.6% vs DT +16.1%</t>
        </is>
      </c>
      <c r="C3" s="59" t="inlineStr">
        <is>
          <t>Bình thường</t>
        </is>
      </c>
    </row>
    <row r="4">
      <c r="A4" s="57" t="inlineStr">
        <is>
          <t>DIO (số ngày tồn kho) xu hướng quý gần nhất</t>
        </is>
      </c>
      <c r="B4" s="64" t="inlineStr">
        <is>
          <t>68 ngày (quý 2026Q1) vs 72 ngày (4 quý trước)</t>
        </is>
      </c>
      <c r="C4" s="59" t="inlineStr">
        <is>
          <t>Bình thường</t>
        </is>
      </c>
    </row>
    <row r="5">
      <c r="A5" s="57" t="inlineStr">
        <is>
          <t>Net Debt (Nợ vay - Tiền mặt)</t>
        </is>
      </c>
      <c r="B5" s="64" t="inlineStr">
        <is>
          <t>-8,943 tỷ (net cash dương)</t>
        </is>
      </c>
      <c r="C5" s="59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2026-07-21T06:30:09Z</dcterms:created>
  <dcterms:modified xmlns:dcterms="http://purl.org/dc/terms/" xmlns:xsi="http://www.w3.org/2001/XMLSchema-instance" xsi:type="dcterms:W3CDTF">2026-07-21T06:30:10Z</dcterms:modified>
</cp:coreProperties>
</file>