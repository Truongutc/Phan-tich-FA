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Quan" sheetId="1" state="visible" r:id="rId1"/>
    <sheet xmlns:r="http://schemas.openxmlformats.org/officeDocument/2006/relationships" name="01_LichSuTaiChinh" sheetId="2" state="visible" r:id="rId2"/>
    <sheet xmlns:r="http://schemas.openxmlformats.org/officeDocument/2006/relationships" name="02_WACC_DCF" sheetId="3" state="visible" r:id="rId3"/>
    <sheet xmlns:r="http://schemas.openxmlformats.org/officeDocument/2006/relationships" name="03_PeerComps_EV_PE_PB" sheetId="4" state="visible" r:id="rId4"/>
    <sheet xmlns:r="http://schemas.openxmlformats.org/officeDocument/2006/relationships" name="04_GiaNhienLieu" sheetId="5" state="visible" r:id="rId5"/>
    <sheet xmlns:r="http://schemas.openxmlformats.org/officeDocument/2006/relationships" name="05_Dinh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666666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0" fontId="0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0" fontId="0" fillId="3" borderId="0" pivotButton="0" quotePrefix="0" xfId="0"/>
    <xf numFmtId="164" fontId="0" fillId="3" borderId="0" pivotButton="0" quotePrefix="0" xfId="0"/>
    <xf numFmtId="10" fontId="3" fillId="4" borderId="0" pivotButton="0" quotePrefix="0" xfId="0"/>
    <xf numFmtId="165" fontId="0" fillId="0" borderId="0" pivotButton="0" quotePrefix="0" xfId="0"/>
    <xf numFmtId="3" fontId="3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46" customWidth="1" min="4" max="4"/>
  </cols>
  <sheetData>
    <row r="1">
      <c r="A1" s="1" t="inlineStr">
        <is>
          <t>NT2 — CTCP Điện lực Dầu khí Nhơn Trạch 2</t>
        </is>
      </c>
    </row>
    <row r="2">
      <c r="A2" s="2" t="inlineStr">
        <is>
          <t>Ngành: Nhiệt điện (Thermal Power Generation)</t>
        </is>
      </c>
    </row>
    <row r="3">
      <c r="A3" s="2" t="inlineStr">
        <is>
          <t>Ngày lập báo cáo: 2026-07-12</t>
        </is>
      </c>
    </row>
    <row r="5">
      <c r="A5" s="3" t="inlineStr">
        <is>
          <t>Giá thị trường hiện tại (VND/cp)</t>
        </is>
      </c>
      <c r="B5" s="4" t="n">
        <v>21800</v>
      </c>
    </row>
    <row r="6">
      <c r="A6" s="3" t="inlineStr">
        <is>
          <t>Số lượng cổ phiếu lưu hành (cp)</t>
        </is>
      </c>
      <c r="B6" s="4" t="n">
        <v>287876029</v>
      </c>
      <c r="C6" s="2">
        <f> Vốn điều lệ (bsa80, năm gần nhất) / 10.000 VND mệnh giá</f>
        <v/>
      </c>
    </row>
    <row r="7">
      <c r="A7" s="3" t="inlineStr">
        <is>
          <t>Vốn hóa thị trường (tỷ VND)</t>
        </is>
      </c>
      <c r="B7" s="4">
        <f>B5*B6/1000000000</f>
        <v/>
      </c>
    </row>
    <row r="9">
      <c r="A9" s="3" t="inlineStr">
        <is>
          <t>TÓM TẮT ĐỊNH GIÁ</t>
        </is>
      </c>
    </row>
    <row r="10">
      <c r="A10" s="5" t="inlineStr">
        <is>
          <t>Phương pháp</t>
        </is>
      </c>
      <c r="B10" s="5" t="inlineStr">
        <is>
          <t>Trọng số</t>
        </is>
      </c>
      <c r="C10" s="5" t="inlineStr">
        <is>
          <t>Fair Value (VND/cp)</t>
        </is>
      </c>
      <c r="D10" s="5" t="inlineStr">
        <is>
          <t>Nguồn công thức</t>
        </is>
      </c>
    </row>
    <row r="11">
      <c r="A11" s="6" t="inlineStr">
        <is>
          <t>DCF (FCFF chiết khấu WACC)</t>
        </is>
      </c>
      <c r="B11" s="7" t="n">
        <v>0.5</v>
      </c>
      <c r="C11" s="4">
        <f>'05_DinhGia'!$C$4</f>
        <v/>
      </c>
    </row>
    <row r="12">
      <c r="A12" s="6" t="inlineStr">
        <is>
          <t>EV/EBITDA (peer median)</t>
        </is>
      </c>
      <c r="B12" s="7" t="n">
        <v>0.2</v>
      </c>
      <c r="C12" s="4">
        <f>'05_DinhGia'!$C$5</f>
        <v/>
      </c>
    </row>
    <row r="13">
      <c r="A13" s="6" t="inlineStr">
        <is>
          <t>P/B (peer median)</t>
        </is>
      </c>
      <c r="B13" s="7" t="n">
        <v>0.15</v>
      </c>
      <c r="C13" s="4">
        <f>'05_DinhGia'!$C$6</f>
        <v/>
      </c>
    </row>
    <row r="14">
      <c r="A14" s="6" t="inlineStr">
        <is>
          <t>Asset-based (Book Value of Equity)</t>
        </is>
      </c>
      <c r="B14" s="7" t="n">
        <v>0.15</v>
      </c>
      <c r="C14" s="4">
        <f>'05_DinhGia'!$C$7</f>
        <v/>
      </c>
    </row>
    <row r="15">
      <c r="A15" s="3" t="inlineStr">
        <is>
          <t>FAIR VALUE BLEND</t>
        </is>
      </c>
      <c r="B15" s="8">
        <f>SUMPRODUCT(B11:B14,C11:C14)</f>
        <v/>
      </c>
    </row>
    <row r="16">
      <c r="A16" s="3" t="inlineStr">
        <is>
          <t>Upside/Downside so với giá hiện tại</t>
        </is>
      </c>
      <c r="B16" s="9">
        <f>B15/B5-1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>
      <c r="A1" s="1" t="inlineStr">
        <is>
          <t>NT2 — Lịch sử tài chính (tỷ VND, nguồn Vietcap)</t>
        </is>
      </c>
    </row>
    <row r="3">
      <c r="A3" s="5" t="inlineStr">
        <is>
          <t>Chỉ tiêu</t>
        </is>
      </c>
      <c r="B3" s="5" t="inlineStr">
        <is>
          <t>2021</t>
        </is>
      </c>
      <c r="C3" s="5" t="inlineStr">
        <is>
          <t>2022</t>
        </is>
      </c>
      <c r="D3" s="5" t="inlineStr">
        <is>
          <t>2023</t>
        </is>
      </c>
      <c r="E3" s="5" t="inlineStr">
        <is>
          <t>2024</t>
        </is>
      </c>
      <c r="F3" s="5" t="inlineStr">
        <is>
          <t>2025</t>
        </is>
      </c>
      <c r="G3" s="5" t="inlineStr">
        <is>
          <t>Nguồn/Ghi chú</t>
        </is>
      </c>
    </row>
    <row r="4">
      <c r="A4" s="6" t="inlineStr">
        <is>
          <t>Doanh thu thuần (isa3)</t>
        </is>
      </c>
      <c r="B4" s="10" t="n">
        <v>6149.58</v>
      </c>
      <c r="C4" s="10" t="n">
        <v>8787.690000000001</v>
      </c>
      <c r="D4" s="10" t="n">
        <v>6385.88</v>
      </c>
      <c r="E4" s="10" t="n">
        <v>5943.68</v>
      </c>
      <c r="F4" s="10" t="n">
        <v>7958.22</v>
      </c>
      <c r="H4" s="2" t="inlineStr">
        <is>
          <t>Vietcap — BCTC hợp nhất</t>
        </is>
      </c>
    </row>
    <row r="5">
      <c r="A5" s="6" t="inlineStr">
        <is>
          <t>Giá vốn hàng bán (isa4)</t>
        </is>
      </c>
      <c r="B5" s="10" t="n">
        <v>5473.78</v>
      </c>
      <c r="C5" s="10" t="n">
        <v>7706.17</v>
      </c>
      <c r="D5" s="10" t="n">
        <v>5875.59</v>
      </c>
      <c r="E5" s="10" t="n">
        <v>5892.17</v>
      </c>
      <c r="F5" s="10" t="n">
        <v>6710.41</v>
      </c>
      <c r="H5" s="2" t="inlineStr">
        <is>
          <t>Vietcap</t>
        </is>
      </c>
    </row>
    <row r="6">
      <c r="A6" s="6" t="inlineStr">
        <is>
          <t>Lợi nhuận gộp (isa5)</t>
        </is>
      </c>
      <c r="B6" s="10" t="n">
        <v>675.8099999999999</v>
      </c>
      <c r="C6" s="10" t="n">
        <v>1081.53</v>
      </c>
      <c r="D6" s="10" t="n">
        <v>510.29</v>
      </c>
      <c r="E6" s="10" t="n">
        <v>51.51</v>
      </c>
      <c r="F6" s="10" t="n">
        <v>1247.81</v>
      </c>
      <c r="H6" s="2" t="inlineStr">
        <is>
          <t>Vietcap</t>
        </is>
      </c>
    </row>
    <row r="7">
      <c r="A7" s="6" t="inlineStr">
        <is>
          <t>CP bán hàng + QLDN (isa9+isa10, ÂM)</t>
        </is>
      </c>
      <c r="B7" s="10" t="n">
        <v>-82.92</v>
      </c>
      <c r="C7" s="10" t="n">
        <v>-131.43</v>
      </c>
      <c r="D7" s="10" t="n">
        <v>-69</v>
      </c>
      <c r="E7" s="10" t="n">
        <v>-81.17</v>
      </c>
      <c r="F7" s="10" t="n">
        <v>-84.91</v>
      </c>
      <c r="H7" s="2" t="inlineStr">
        <is>
          <t>Vietcap — đã âm sẵn</t>
        </is>
      </c>
    </row>
    <row r="8">
      <c r="A8" s="3" t="inlineStr">
        <is>
          <t>EBIT (= LN gộp + CP bán hàng+QLDN, đã âm)</t>
        </is>
      </c>
      <c r="B8" s="8">
        <f>B6+B7</f>
        <v/>
      </c>
      <c r="C8" s="8">
        <f>C6+C7</f>
        <v/>
      </c>
      <c r="D8" s="8">
        <f>D6+D7</f>
        <v/>
      </c>
      <c r="E8" s="8">
        <f>E6+E7</f>
        <v/>
      </c>
      <c r="F8" s="8">
        <f>F6+F7</f>
        <v/>
      </c>
      <c r="H8" s="2" t="inlineStr">
        <is>
          <t>CÔNG THỨC — KHÔNG dùng isa11 (đã trừ lãi vay, xem project_fcf)</t>
        </is>
      </c>
    </row>
    <row r="9">
      <c r="A9" s="6" t="inlineStr">
        <is>
          <t>Biên EBIT (%)</t>
        </is>
      </c>
      <c r="B9" s="11">
        <f>B8/B4</f>
        <v/>
      </c>
      <c r="C9" s="11">
        <f>C8/C4</f>
        <v/>
      </c>
      <c r="D9" s="11">
        <f>D8/D4</f>
        <v/>
      </c>
      <c r="E9" s="11">
        <f>E8/E4</f>
        <v/>
      </c>
      <c r="F9" s="11">
        <f>F8/F4</f>
        <v/>
      </c>
      <c r="H9" s="2">
        <f> EBIT / Doanh thu</f>
        <v/>
      </c>
    </row>
    <row r="10">
      <c r="A10" s="6" t="inlineStr">
        <is>
          <t>Biên lợi nhuận gộp (%)</t>
        </is>
      </c>
      <c r="B10" s="11">
        <f>B6/B4</f>
        <v/>
      </c>
      <c r="C10" s="11">
        <f>C6/C4</f>
        <v/>
      </c>
      <c r="D10" s="11">
        <f>D6/D4</f>
        <v/>
      </c>
      <c r="E10" s="11">
        <f>E6/E4</f>
        <v/>
      </c>
      <c r="F10" s="11">
        <f>F6/F4</f>
        <v/>
      </c>
      <c r="H10" s="2">
        <f> LN gộp / Doanh thu</f>
        <v/>
      </c>
    </row>
    <row r="11">
      <c r="A11" s="6" t="inlineStr">
        <is>
          <t>Khấu hao (cfa2)</t>
        </is>
      </c>
      <c r="B11" s="10" t="n">
        <v>690.46</v>
      </c>
      <c r="C11" s="10" t="n">
        <v>688.84</v>
      </c>
      <c r="D11" s="10" t="n">
        <v>687.21</v>
      </c>
      <c r="E11" s="10" t="n">
        <v>687.0700000000001</v>
      </c>
      <c r="F11" s="10" t="n">
        <v>556.35</v>
      </c>
      <c r="H11" s="2" t="inlineStr">
        <is>
          <t>Vietcap — Báo cáo LCTT</t>
        </is>
      </c>
    </row>
    <row r="12">
      <c r="A12" s="3" t="inlineStr">
        <is>
          <t>EBITDA (= EBIT + Khấu hao)</t>
        </is>
      </c>
      <c r="B12" s="8">
        <f>B8+B11</f>
        <v/>
      </c>
      <c r="C12" s="8">
        <f>C8+C11</f>
        <v/>
      </c>
      <c r="D12" s="8">
        <f>D8+D11</f>
        <v/>
      </c>
      <c r="E12" s="8">
        <f>E8+E11</f>
        <v/>
      </c>
      <c r="F12" s="8">
        <f>F8+F11</f>
        <v/>
      </c>
      <c r="H12" s="2" t="inlineStr">
        <is>
          <t>CÔNG THỨC</t>
        </is>
      </c>
    </row>
    <row r="13">
      <c r="A13" s="6" t="inlineStr">
        <is>
          <t>CAPEX (cfa19, trị tuyệt đối)</t>
        </is>
      </c>
      <c r="B13" s="10" t="n">
        <v>2.53</v>
      </c>
      <c r="C13" s="10" t="n">
        <v>1.46</v>
      </c>
      <c r="D13" s="10" t="n">
        <v>3.41</v>
      </c>
      <c r="E13" s="10" t="n">
        <v>3.56</v>
      </c>
      <c r="F13" s="10" t="n">
        <v>9.17</v>
      </c>
      <c r="H13" s="2" t="inlineStr">
        <is>
          <t>Vietcap — Báo cáo LCTT</t>
        </is>
      </c>
    </row>
    <row r="14">
      <c r="A14" s="6" t="inlineStr">
        <is>
          <t>Chi phí lãi vay (isa8, trị tuyệt đối)</t>
        </is>
      </c>
      <c r="B14" s="10" t="n">
        <v>20.35</v>
      </c>
      <c r="C14" s="10" t="n">
        <v>15.37</v>
      </c>
      <c r="D14" s="10" t="n">
        <v>33.84</v>
      </c>
      <c r="E14" s="10" t="n">
        <v>34.93</v>
      </c>
      <c r="F14" s="10" t="n">
        <v>64.69</v>
      </c>
      <c r="H14" s="2" t="inlineStr">
        <is>
          <t>Vietcap</t>
        </is>
      </c>
    </row>
    <row r="15">
      <c r="A15" s="6" t="inlineStr">
        <is>
          <t>LNST cổ đông công ty mẹ (isa22)</t>
        </is>
      </c>
      <c r="B15" s="10" t="n">
        <v>533.79</v>
      </c>
      <c r="C15" s="10" t="n">
        <v>883.42</v>
      </c>
      <c r="D15" s="10" t="n">
        <v>473.08</v>
      </c>
      <c r="E15" s="10" t="n">
        <v>82.89</v>
      </c>
      <c r="F15" s="10" t="n">
        <v>1130.28</v>
      </c>
      <c r="H15" s="2" t="inlineStr">
        <is>
          <t>Vietcap</t>
        </is>
      </c>
    </row>
    <row r="16">
      <c r="A16" s="6" t="inlineStr">
        <is>
          <t>Biên LNST (%)</t>
        </is>
      </c>
      <c r="B16" s="11">
        <f>B15/B4</f>
        <v/>
      </c>
      <c r="C16" s="11">
        <f>C15/C4</f>
        <v/>
      </c>
      <c r="D16" s="11">
        <f>D15/D4</f>
        <v/>
      </c>
      <c r="E16" s="11">
        <f>E15/E4</f>
        <v/>
      </c>
      <c r="F16" s="11">
        <f>F15/F4</f>
        <v/>
      </c>
      <c r="H16" s="2">
        <f> LNST mẹ / Doanh thu</f>
        <v/>
      </c>
    </row>
    <row r="17">
      <c r="A17" s="6" t="inlineStr">
        <is>
          <t>VCSH thuộc cổ đông mẹ (bsa78-bsa210)</t>
        </is>
      </c>
      <c r="B17" s="10" t="n">
        <v>4233.57</v>
      </c>
      <c r="C17" s="10" t="n">
        <v>4613.84</v>
      </c>
      <c r="D17" s="10" t="n">
        <v>4335.85</v>
      </c>
      <c r="E17" s="10" t="n">
        <v>4189.08</v>
      </c>
      <c r="F17" s="10" t="n">
        <v>4859.4</v>
      </c>
      <c r="H17" s="2" t="inlineStr">
        <is>
          <t>Vietcap — Bảng CĐKT</t>
        </is>
      </c>
    </row>
    <row r="18">
      <c r="A18" s="6" t="inlineStr">
        <is>
          <t>Tổng nợ vay (bsa56+bsa71)</t>
        </is>
      </c>
      <c r="B18" s="10" t="n">
        <v>210</v>
      </c>
      <c r="C18" s="10" t="n">
        <v>630.51</v>
      </c>
      <c r="D18" s="10" t="n">
        <v>1200</v>
      </c>
      <c r="E18" s="10" t="n">
        <v>996.39</v>
      </c>
      <c r="F18" s="10" t="n">
        <v>1762.31</v>
      </c>
      <c r="H18" s="2" t="inlineStr">
        <is>
          <t>Vietcap</t>
        </is>
      </c>
    </row>
    <row r="19">
      <c r="A19" s="6" t="inlineStr">
        <is>
          <t>Tiền và tương đương tiền (bsa2)</t>
        </is>
      </c>
      <c r="B19" s="10" t="n">
        <v>0.99</v>
      </c>
      <c r="C19" s="10" t="n">
        <v>384.3</v>
      </c>
      <c r="D19" s="10" t="n">
        <v>1.15</v>
      </c>
      <c r="E19" s="10" t="n">
        <v>56.96</v>
      </c>
      <c r="F19" s="10" t="n">
        <v>22.3</v>
      </c>
      <c r="H19" s="2" t="inlineStr">
        <is>
          <t>Vietcap</t>
        </is>
      </c>
    </row>
    <row r="20">
      <c r="A20" s="3" t="inlineStr">
        <is>
          <t>ROE (= LNST mẹ / VCSH mẹ)</t>
        </is>
      </c>
      <c r="B20" s="9">
        <f>B15/B17</f>
        <v/>
      </c>
      <c r="C20" s="9">
        <f>C15/C17</f>
        <v/>
      </c>
      <c r="D20" s="9">
        <f>D15/D17</f>
        <v/>
      </c>
      <c r="E20" s="9">
        <f>E15/E17</f>
        <v/>
      </c>
      <c r="F20" s="9">
        <f>F15/F17</f>
        <v/>
      </c>
      <c r="H20" s="2" t="inlineStr">
        <is>
          <t>CÔNG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NT2 — WACC &amp; Định giá DCF</t>
        </is>
      </c>
    </row>
    <row r="3">
      <c r="A3" s="3" t="inlineStr">
        <is>
          <t>① CHI PHÍ VỐN (WACC)</t>
        </is>
      </c>
    </row>
    <row r="4">
      <c r="A4" s="6" t="inlineStr">
        <is>
          <t>Lãi suất phi rủi ro Rf</t>
        </is>
      </c>
      <c r="B4" s="12" t="n">
        <v>0.045</v>
      </c>
      <c r="C4" s="2" t="inlineStr">
        <is>
          <t>Nguồn: investing.com VN 10Y bond yield / worldgovernmentbonds.com</t>
        </is>
      </c>
    </row>
    <row r="5">
      <c r="A5" s="6" t="inlineStr">
        <is>
          <t>Beta (β)</t>
        </is>
      </c>
      <c r="B5" s="13" t="n">
        <v>0.8397</v>
      </c>
      <c r="C5" s="2" t="inlineStr">
        <is>
          <t>Tự tính hồi quy giá CP vs VNINDEX (≥250 phiên) hoặc Vietstock/Vietcap API</t>
        </is>
      </c>
    </row>
    <row r="6">
      <c r="A6" s="6" t="inlineStr">
        <is>
          <t>Phần bù rủi ro thị trường (ERP)</t>
        </is>
      </c>
      <c r="B6" s="12" t="n">
        <v>0.07000000000000001</v>
      </c>
      <c r="C6" s="2" t="inlineStr">
        <is>
          <t>Giả định chuẩn thị trường VN (~7%/năm)</t>
        </is>
      </c>
    </row>
    <row r="7">
      <c r="A7" s="3" t="inlineStr">
        <is>
          <t>Chi phí vốn CSH (COE = Rf + β×ERP)</t>
        </is>
      </c>
      <c r="B7" s="7">
        <f>B4+B5*B6</f>
        <v/>
      </c>
    </row>
    <row r="8">
      <c r="A8" s="6" t="inlineStr">
        <is>
          <t>Nợ vay năm 2025 (tỷ VND)</t>
        </is>
      </c>
      <c r="B8" s="4">
        <f>'01_LichSuTaiChinh'!F18</f>
        <v/>
      </c>
    </row>
    <row r="9">
      <c r="A9" s="6" t="inlineStr">
        <is>
          <t>Chi phí lãi vay năm 2025 (tỷ VND)</t>
        </is>
      </c>
      <c r="B9" s="4">
        <f>'01_LichSuTaiChinh'!F14</f>
        <v/>
      </c>
    </row>
    <row r="10">
      <c r="A10" s="3" t="inlineStr">
        <is>
          <t>Chi phí nợ vay (COD = Lãi vay / Nợ vay, kẹp [2%,12%])</t>
        </is>
      </c>
      <c r="B10" s="7">
        <f>MAX(0.02,MIN(0.12,B9/MAX(B8,1)))</f>
        <v/>
      </c>
    </row>
    <row r="11">
      <c r="A11" s="6" t="inlineStr">
        <is>
          <t>Thuế suất TNDN</t>
        </is>
      </c>
      <c r="B11" s="12" t="n">
        <v>0.2</v>
      </c>
    </row>
    <row r="12">
      <c r="A12" s="6" t="inlineStr">
        <is>
          <t>Vốn hóa thị trường (tỷ VND)</t>
        </is>
      </c>
      <c r="B12" s="4">
        <f>'00_TongQuan'!$B$5*'00_TongQuan'!$B$6/1000000000</f>
        <v/>
      </c>
    </row>
    <row r="13">
      <c r="A13" s="6" t="inlineStr">
        <is>
          <t>Tỷ trọng vốn CSH (E/(D+E))</t>
        </is>
      </c>
      <c r="B13" s="7">
        <f>B12/(B12+B8)</f>
        <v/>
      </c>
    </row>
    <row r="14">
      <c r="A14" s="6" t="inlineStr">
        <is>
          <t>Tỷ trọng nợ vay (D/(D+E))</t>
        </is>
      </c>
      <c r="B14" s="7">
        <f>1-B13</f>
        <v/>
      </c>
    </row>
    <row r="15">
      <c r="A15" s="3" t="inlineStr">
        <is>
          <t>WACC = we×COE + wd×COD×(1-thuế), sàn 8%/trần 18%</t>
        </is>
      </c>
      <c r="B15" s="14">
        <f>MAX(0.08,MIN(0.18,B13*B7+B14*B10*(1-B11)))</f>
        <v/>
      </c>
    </row>
    <row r="17">
      <c r="A17" s="3" t="inlineStr">
        <is>
          <t>② GIẢ ĐỊNH DỰ PHÓNG (từ mô hình kinh doanh — không phải ước lượng tùy ý)</t>
        </is>
      </c>
    </row>
    <row r="18">
      <c r="A18" s="6" t="inlineStr">
        <is>
          <t>Tăng trưởng doanh thu dài hạn (CAGR lịch sử, kẹp [-5%,+15%])</t>
        </is>
      </c>
      <c r="B18" s="12" t="n">
        <v>0.06657783417279228</v>
      </c>
      <c r="C18" s="2" t="inlineStr">
        <is>
          <t>CAGR doanh thu 5 năm lịch sử ('01_LichSuTaiChinh')</t>
        </is>
      </c>
    </row>
    <row r="19">
      <c r="A19" s="6" t="inlineStr">
        <is>
          <t>Biên EBIT dự phóng (TB 2-3 năm gần nhất)</t>
        </is>
      </c>
      <c r="B19" s="12" t="n">
        <v>0.07008015765579312</v>
      </c>
    </row>
    <row r="20">
      <c r="A20" s="6" t="inlineStr">
        <is>
          <t>Khấu hao / Doanh thu (TB lịch sử)</t>
        </is>
      </c>
      <c r="B20" s="12" t="n">
        <v>0.09675701361582136</v>
      </c>
    </row>
    <row r="21">
      <c r="A21" s="6" t="inlineStr">
        <is>
          <t>CAPEX / Doanh thu (TB lịch sử)</t>
        </is>
      </c>
      <c r="B21" s="12" t="n">
        <v>0.000572320001294252</v>
      </c>
    </row>
    <row r="22">
      <c r="A22" s="2" t="inlineStr">
        <is>
          <t>⚠ Năm 2026 đã có 1/4 quý báo cáo thực tế (lũy kế DT=2172 tỷ). Bảng dự phóng bên dưới dùng công thức THUẦN (Doanh thu năm trước × (1+g)) để giữ minh bạch/dễ kiểm tra công thức — số Fair Value công bố trên PDF/web có thể lệch nhẹ vì đã BLEND thêm lũy kế thực tế của năm 2026 (xem blend_annual_estimate trong code).</t>
        </is>
      </c>
    </row>
    <row r="24">
      <c r="A24" s="3" t="inlineStr">
        <is>
          <t>③ DỰ PHÓNG FCFF 5 NĂM (công thức sống)</t>
        </is>
      </c>
    </row>
    <row r="25">
      <c r="A25" s="5" t="inlineStr">
        <is>
          <t>Chỉ tiêu</t>
        </is>
      </c>
      <c r="B25" s="5" t="inlineStr">
        <is>
          <t>Năm +1</t>
        </is>
      </c>
      <c r="C25" s="5" t="inlineStr">
        <is>
          <t>Năm +2</t>
        </is>
      </c>
      <c r="D25" s="5" t="inlineStr">
        <is>
          <t>Năm +3</t>
        </is>
      </c>
      <c r="E25" s="5" t="inlineStr">
        <is>
          <t>Năm +4</t>
        </is>
      </c>
      <c r="F25" s="5" t="inlineStr">
        <is>
          <t>Năm +5</t>
        </is>
      </c>
    </row>
    <row r="26">
      <c r="A26" s="6" t="inlineStr">
        <is>
          <t>Doanh thu (tỷ VND)</t>
        </is>
      </c>
      <c r="B26" s="4">
        <f>'01_LichSuTaiChinh'!F4*(1+B18)</f>
        <v/>
      </c>
      <c r="C26" s="4">
        <f>B26*(1+B18)</f>
        <v/>
      </c>
      <c r="D26" s="4">
        <f>C26*(1+B18)</f>
        <v/>
      </c>
      <c r="E26" s="4">
        <f>D26*(1+B18)</f>
        <v/>
      </c>
      <c r="F26" s="4">
        <f>E26*(1+B18)</f>
        <v/>
      </c>
    </row>
    <row r="27">
      <c r="A27" s="6" t="inlineStr">
        <is>
          <t>EBIT (= Doanh thu × Biên EBIT)</t>
        </is>
      </c>
      <c r="B27" s="4">
        <f>B26*B19</f>
        <v/>
      </c>
      <c r="C27" s="4">
        <f>C26*B19</f>
        <v/>
      </c>
      <c r="D27" s="4">
        <f>D26*B19</f>
        <v/>
      </c>
      <c r="E27" s="4">
        <f>E26*B19</f>
        <v/>
      </c>
      <c r="F27" s="4">
        <f>F26*B19</f>
        <v/>
      </c>
    </row>
    <row r="28">
      <c r="A28" s="6" t="inlineStr">
        <is>
          <t>NOPAT (= EBIT × (1-thuế))</t>
        </is>
      </c>
      <c r="B28" s="4">
        <f>B27*(1-B11)</f>
        <v/>
      </c>
      <c r="C28" s="4">
        <f>C27*(1-B11)</f>
        <v/>
      </c>
      <c r="D28" s="4">
        <f>D27*(1-B11)</f>
        <v/>
      </c>
      <c r="E28" s="4">
        <f>E27*(1-B11)</f>
        <v/>
      </c>
      <c r="F28" s="4">
        <f>F27*(1-B11)</f>
        <v/>
      </c>
    </row>
    <row r="29">
      <c r="A29" s="6" t="inlineStr">
        <is>
          <t>Khấu hao (= Doanh thu × %DT)</t>
        </is>
      </c>
      <c r="B29" s="4">
        <f>B26*B20</f>
        <v/>
      </c>
      <c r="C29" s="4">
        <f>C26*B20</f>
        <v/>
      </c>
      <c r="D29" s="4">
        <f>D26*B20</f>
        <v/>
      </c>
      <c r="E29" s="4">
        <f>E26*B20</f>
        <v/>
      </c>
      <c r="F29" s="4">
        <f>F26*B20</f>
        <v/>
      </c>
    </row>
    <row r="30">
      <c r="A30" s="6" t="inlineStr">
        <is>
          <t>CAPEX (= Doanh thu × %DT)</t>
        </is>
      </c>
      <c r="B30" s="4">
        <f>B26*B21</f>
        <v/>
      </c>
      <c r="C30" s="4">
        <f>C26*B21</f>
        <v/>
      </c>
      <c r="D30" s="4">
        <f>D26*B21</f>
        <v/>
      </c>
      <c r="E30" s="4">
        <f>E26*B21</f>
        <v/>
      </c>
      <c r="F30" s="4">
        <f>F26*B21</f>
        <v/>
      </c>
    </row>
    <row r="31">
      <c r="A31" s="3" t="inlineStr">
        <is>
          <t>FCFF (= NOPAT + Khấu hao - CAPEX)</t>
        </is>
      </c>
      <c r="B31" s="8">
        <f>B28+B29-B30</f>
        <v/>
      </c>
      <c r="C31" s="8">
        <f>C28+C29-C30</f>
        <v/>
      </c>
      <c r="D31" s="8">
        <f>D28+D29-D30</f>
        <v/>
      </c>
      <c r="E31" s="8">
        <f>E28+E29-E30</f>
        <v/>
      </c>
      <c r="F31" s="8">
        <f>F28+F29-F30</f>
        <v/>
      </c>
    </row>
    <row r="32">
      <c r="A32" s="6" t="inlineStr">
        <is>
          <t>PV(FCFF) chiết khấu về hiện tại ở WACC</t>
        </is>
      </c>
      <c r="B32" s="4">
        <f>B31/(1+$B$15)^1</f>
        <v/>
      </c>
      <c r="C32" s="4">
        <f>C31/(1+$B$15)^2</f>
        <v/>
      </c>
      <c r="D32" s="4">
        <f>D31/(1+$B$15)^3</f>
        <v/>
      </c>
      <c r="E32" s="4">
        <f>E31/(1+$B$15)^4</f>
        <v/>
      </c>
      <c r="F32" s="4">
        <f>F31/(1+$B$15)^5</f>
        <v/>
      </c>
    </row>
    <row r="34">
      <c r="A34" s="3" t="inlineStr">
        <is>
          <t>④ TERMINAL VALUE (trung bình Gordon-growth + Exit-multiple)</t>
        </is>
      </c>
    </row>
    <row r="35">
      <c r="A35" s="6" t="inlineStr">
        <is>
          <t>Tăng trưởng dài hạn g_term (=40% growth ngắn hạn, kẹp [0%,3%])</t>
        </is>
      </c>
      <c r="B35" s="7">
        <f>MAX(0,MIN(0.03,B18*0.4))</f>
        <v/>
      </c>
    </row>
    <row r="36">
      <c r="A36" s="6" t="inlineStr">
        <is>
          <t>Terminal Value (Gordon-growth) = FCFF cuối×(1+g)/(WACC-g)</t>
        </is>
      </c>
      <c r="B36" s="4">
        <f>F31*(1+B35)/MAX(B15-B35,0.03)</f>
        <v/>
      </c>
    </row>
    <row r="37">
      <c r="A37" s="6" t="inlineStr">
        <is>
          <t>EV/EBITDA mục tiêu (peer median — xem sheet 03)</t>
        </is>
      </c>
      <c r="B37" s="15">
        <f>'03_PeerComps_EV_PE_PB'!$B$3</f>
        <v/>
      </c>
    </row>
    <row r="38">
      <c r="A38" s="6" t="inlineStr">
        <is>
          <t>EBITDA năm cuối dự phóng (= EBIT + Khấu hao)</t>
        </is>
      </c>
      <c r="B38" s="4">
        <f>F27+F29</f>
        <v/>
      </c>
    </row>
    <row r="39">
      <c r="A39" s="6" t="inlineStr">
        <is>
          <t>Terminal Value (Exit-multiple) = EBITDA cuối × EV/EBITDA mục tiêu</t>
        </is>
      </c>
      <c r="B39" s="4">
        <f>B38*B37</f>
        <v/>
      </c>
    </row>
    <row r="40">
      <c r="A40" s="3" t="inlineStr">
        <is>
          <t>Terminal Value (trung bình 2 phương pháp)</t>
        </is>
      </c>
      <c r="B40" s="8">
        <f>AVERAGE(B36,B39)</f>
        <v/>
      </c>
    </row>
    <row r="41">
      <c r="A41" s="6" t="inlineStr">
        <is>
          <t>PV(Terminal Value)</t>
        </is>
      </c>
      <c r="B41" s="4">
        <f>B40/(1+B15)^5</f>
        <v/>
      </c>
    </row>
    <row r="43">
      <c r="A43" s="3" t="inlineStr">
        <is>
          <t>⑤ TỪ ENTERPRISE VALUE RA FAIR VALUE/CP</t>
        </is>
      </c>
    </row>
    <row r="44">
      <c r="A44" s="3" t="inlineStr">
        <is>
          <t>Enterprise Value (= ΣPV(FCFF) + PV(Terminal Value))</t>
        </is>
      </c>
      <c r="B44" s="8">
        <f>SUM(B32:F32)+B41</f>
        <v/>
      </c>
    </row>
    <row r="45">
      <c r="A45" s="6" t="inlineStr">
        <is>
          <t>Nợ vay ròng năm 2025 (= Nợ vay - Tiền mặt)</t>
        </is>
      </c>
      <c r="B45" s="4">
        <f>'01_LichSuTaiChinh'!F18-'01_LichSuTaiChinh'!F19</f>
        <v/>
      </c>
    </row>
    <row r="46">
      <c r="A46" s="3" t="inlineStr">
        <is>
          <t>Equity Value (= Enterprise Value - Nợ vay ròng)</t>
        </is>
      </c>
      <c r="B46" s="8">
        <f>B44-B45</f>
        <v/>
      </c>
    </row>
    <row r="47">
      <c r="A47" s="3" t="inlineStr">
        <is>
          <t>Fair Value DCF (VND/cp) = Equity Value × 1 tỷ / Số CP</t>
        </is>
      </c>
      <c r="B47" s="16">
        <f>B46*1000000000/'00_TongQuan'!$B$6</f>
        <v/>
      </c>
    </row>
    <row r="48">
      <c r="A48" s="6" t="inlineStr">
        <is>
          <t>P/B target (peer median — xem sheet 03)</t>
        </is>
      </c>
      <c r="B48" s="15">
        <f>'03_PeerComps_EV_PE_PB'!$C$3</f>
        <v/>
      </c>
    </row>
    <row r="49">
      <c r="A49" s="6" t="inlineStr">
        <is>
          <t>BVPS hiện tại (= VCSH mẹ năm 2025 × 1 tỷ / Số CP)</t>
        </is>
      </c>
      <c r="B49" s="4">
        <f>'01_LichSuTaiChinh'!F17*1000000000/'00_TongQuan'!$B$6</f>
        <v/>
      </c>
    </row>
    <row r="50">
      <c r="A50" s="3" t="inlineStr">
        <is>
          <t>Fair Value P/B (= BVPS × P/B target)</t>
        </is>
      </c>
      <c r="B50" s="8">
        <f>B49*B48</f>
        <v/>
      </c>
    </row>
    <row r="51">
      <c r="A51" s="3" t="inlineStr">
        <is>
          <t>Fair Value Asset-based (= BVPS hiện tại, sàn thanh lý)</t>
        </is>
      </c>
      <c r="B51" s="8">
        <f>B49</f>
        <v/>
      </c>
    </row>
    <row r="52">
      <c r="A52" s="2" t="inlineStr">
        <is>
          <t>P/E target (peer median, THAM CHIẾU — không dùng trong blend)</t>
        </is>
      </c>
      <c r="B52" s="15">
        <f>'03_PeerComps_EV_PE_PB'!$D$3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So sánh tương quan nhóm Nhiệt điện (POW/NT2/PPC/QTP)</t>
        </is>
      </c>
    </row>
    <row r="3">
      <c r="A3" s="3" t="inlineStr">
        <is>
          <t>MEDIAN CẢ NHÓM (target multiple áp dụng đồng nhất — không tự đặt biên số)</t>
        </is>
      </c>
    </row>
    <row r="4">
      <c r="A4" s="5" t="inlineStr"/>
      <c r="B4" s="5" t="inlineStr">
        <is>
          <t>EV/EBITDA</t>
        </is>
      </c>
      <c r="C4" s="5" t="inlineStr">
        <is>
          <t>P/B</t>
        </is>
      </c>
      <c r="D4" s="5" t="inlineStr">
        <is>
          <t>P/E</t>
        </is>
      </c>
    </row>
    <row r="5">
      <c r="A5" s="3" t="inlineStr">
        <is>
          <t>MEDIAN</t>
        </is>
      </c>
      <c r="B5" s="17">
        <f>MEDIAN(B6:B9)</f>
        <v/>
      </c>
      <c r="C5" s="17">
        <f>MEDIAN(C6:C9)</f>
        <v/>
      </c>
      <c r="D5" s="17">
        <f>MEDIAN(D6:D9)</f>
        <v/>
      </c>
    </row>
    <row r="6">
      <c r="A6" s="5" t="inlineStr">
        <is>
          <t>Mã</t>
        </is>
      </c>
      <c r="B6" s="5" t="inlineStr">
        <is>
          <t>EV/EBITDA</t>
        </is>
      </c>
      <c r="C6" s="5" t="inlineStr">
        <is>
          <t>P/B</t>
        </is>
      </c>
      <c r="D6" s="5" t="inlineStr">
        <is>
          <t>P/E</t>
        </is>
      </c>
      <c r="E6" s="5" t="inlineStr">
        <is>
          <t>Năm BC</t>
        </is>
      </c>
      <c r="F6" s="5" t="inlineStr">
        <is>
          <t>Giá (VND)</t>
        </is>
      </c>
      <c r="G6" s="5" t="inlineStr">
        <is>
          <t>Vốn hóa (tỷ)</t>
        </is>
      </c>
    </row>
    <row r="7">
      <c r="A7" s="6" t="inlineStr">
        <is>
          <t>POW</t>
        </is>
      </c>
      <c r="B7" s="15" t="n">
        <v>10.09</v>
      </c>
      <c r="C7" s="15" t="n">
        <v>1.15</v>
      </c>
      <c r="D7" s="15" t="n">
        <v>16.19</v>
      </c>
      <c r="E7" t="n">
        <v>2025</v>
      </c>
      <c r="F7" s="4" t="n">
        <v>14100</v>
      </c>
      <c r="G7" s="4" t="n">
        <v>39294.2</v>
      </c>
    </row>
    <row r="8">
      <c r="A8" s="3" t="inlineStr">
        <is>
          <t>NT2</t>
        </is>
      </c>
      <c r="B8" s="15" t="n">
        <v>4.66</v>
      </c>
      <c r="C8" s="15" t="n">
        <v>1.29</v>
      </c>
      <c r="D8" s="15" t="n">
        <v>5.69</v>
      </c>
      <c r="E8" t="n">
        <v>2025</v>
      </c>
      <c r="F8" s="4" t="n">
        <v>21800</v>
      </c>
      <c r="G8" s="4" t="n">
        <v>6275.7</v>
      </c>
    </row>
    <row r="9">
      <c r="A9" s="6" t="inlineStr">
        <is>
          <t>PPC</t>
        </is>
      </c>
      <c r="B9" s="15" t="n">
        <v>13.37</v>
      </c>
      <c r="C9" s="15" t="n">
        <v>0.67</v>
      </c>
      <c r="D9" s="15" t="n">
        <v>17.94</v>
      </c>
      <c r="E9" t="n">
        <v>2025</v>
      </c>
      <c r="F9" s="4" t="n">
        <v>9240</v>
      </c>
      <c r="G9" s="4" t="n">
        <v>3014.4</v>
      </c>
    </row>
    <row r="10">
      <c r="A10" s="6" t="inlineStr">
        <is>
          <t>QTP</t>
        </is>
      </c>
      <c r="B10" s="15" t="n">
        <v>2.61</v>
      </c>
      <c r="C10" s="15" t="n">
        <v>0.87</v>
      </c>
      <c r="D10" s="15" t="n">
        <v>4.95</v>
      </c>
      <c r="E10" t="n">
        <v>2025</v>
      </c>
      <c r="F10" s="4" t="n">
        <v>11400</v>
      </c>
      <c r="G10" s="4" t="n">
        <v>5130</v>
      </c>
    </row>
    <row r="12">
      <c r="A12" s="2" t="inlineStr">
        <is>
          <t>Nguồn: Vietcap BCTC hợp nhất kỳ báo cáo gần nhất mỗi mã + giá thị trường hiện tại — tính P/E=Giá/EPS, P/B=Giá/BVPS, EV/EBITDA=(Vốn hóa+Nợ vay ròng)/EBITDA.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Giá nhiên liệu đầu vào &amp; tỷ giá (tham chiếu rủi ro)</t>
        </is>
      </c>
    </row>
    <row r="3">
      <c r="A3" s="5" t="inlineStr">
        <is>
          <t>Chỉ tiêu</t>
        </is>
      </c>
      <c r="B3" s="5" t="inlineStr">
        <is>
          <t>Giá trị</t>
        </is>
      </c>
      <c r="C3" s="5" t="inlineStr">
        <is>
          <t>Đơn vị</t>
        </is>
      </c>
      <c r="D3" s="5" t="inlineStr">
        <is>
          <t>Nguồn</t>
        </is>
      </c>
    </row>
    <row r="4">
      <c r="A4" s="6" t="inlineStr">
        <is>
          <t>Giá than nhiệt (Newcastle coal)</t>
        </is>
      </c>
      <c r="B4" s="4" t="n">
        <v>110</v>
      </c>
      <c r="C4" s="6" t="inlineStr">
        <is>
          <t>USD/tấn</t>
        </is>
      </c>
      <c r="D4" s="2" t="inlineStr">
        <is>
          <t>Fallback (manual)</t>
        </is>
      </c>
    </row>
    <row r="5">
      <c r="A5" s="6" t="inlineStr">
        <is>
          <t>Giá khí tự nhiên (Henry Hub)</t>
        </is>
      </c>
      <c r="B5" s="4" t="n">
        <v>3</v>
      </c>
      <c r="C5" s="6" t="inlineStr">
        <is>
          <t>USD/MMBtu</t>
        </is>
      </c>
      <c r="D5" s="2" t="inlineStr">
        <is>
          <t>Fallback (manual)</t>
        </is>
      </c>
    </row>
    <row r="6">
      <c r="A6" s="6" t="inlineStr">
        <is>
          <t>Giá dầu thô (Brent)</t>
        </is>
      </c>
      <c r="B6" s="4" t="n">
        <v>75</v>
      </c>
      <c r="C6" s="6" t="inlineStr">
        <is>
          <t>USD/thùng</t>
        </is>
      </c>
      <c r="D6" s="2" t="inlineStr">
        <is>
          <t>Fallback (manual)</t>
        </is>
      </c>
    </row>
    <row r="7">
      <c r="A7" s="6" t="inlineStr">
        <is>
          <t>Tỷ giá USD/VND</t>
        </is>
      </c>
      <c r="B7" s="4" t="n">
        <v>26200</v>
      </c>
      <c r="C7" s="6" t="inlineStr">
        <is>
          <t>VND/USD</t>
        </is>
      </c>
      <c r="D7" s="2" t="inlineStr">
        <is>
          <t>Fallback (manual)</t>
        </is>
      </c>
    </row>
    <row r="9">
      <c r="A9" s="2" t="inlineStr">
        <is>
          <t>Lưu ý (tài liệu hướng dẫn mục 6.2): than tăng 20% → LNST giảm ước 30-40%; khí đắt hơn than nên nhà máy khí (NT2) nhạy cảm hơn với giá LNG/Henry Hub.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50" customWidth="1" min="4" max="4"/>
  </cols>
  <sheetData>
    <row r="1">
      <c r="A1" s="1" t="inlineStr">
        <is>
          <t>NT2 — Định giá kết hợp: DCF 50% + EV/EBITDA 20% + P/B 15% + Asset 15%</t>
        </is>
      </c>
    </row>
    <row r="3">
      <c r="A3" s="5" t="inlineStr">
        <is>
          <t>Phương pháp</t>
        </is>
      </c>
      <c r="B3" s="5" t="inlineStr">
        <is>
          <t>Trọng số</t>
        </is>
      </c>
      <c r="C3" s="5" t="inlineStr">
        <is>
          <t>Fair Value (VND/cp)</t>
        </is>
      </c>
      <c r="D3" s="5" t="inlineStr">
        <is>
          <t>Ghi chú</t>
        </is>
      </c>
    </row>
    <row r="4">
      <c r="A4" s="6" t="inlineStr">
        <is>
          <t>DCF (FCFF chiết khấu WACC)</t>
        </is>
      </c>
      <c r="B4" s="7" t="n">
        <v>0.5</v>
      </c>
      <c r="C4" s="4">
        <f>'02_WACC_DCF'!$B$47</f>
        <v/>
      </c>
      <c r="D4" s="2" t="inlineStr">
        <is>
          <t>Terminal Value = TB(Gordon-growth, Exit-multiple EV/EBITDA)</t>
        </is>
      </c>
    </row>
    <row r="5">
      <c r="A5" s="6" t="inlineStr">
        <is>
          <t>EV/EBITDA (peer median)</t>
        </is>
      </c>
      <c r="B5" s="7" t="n">
        <v>0.2</v>
      </c>
      <c r="C5" s="4">
        <f>('03_PeerComps_EV_PE_PB'!$B$3*'02_WACC_DCF'!$B$27+'03_PeerComps_EV_PE_PB'!$B$3*'02_WACC_DCF'!$B$29-'02_WACC_DCF'!$B$45)*1000000000/'00_TongQuan'!$B$6</f>
        <v/>
      </c>
      <c r="D5" s="2">
        <f> (EV/EBITDA mục tiêu × EBITDA năm+1 - Nợ vay ròng) × 1 tỷ / Số CP</f>
        <v/>
      </c>
    </row>
    <row r="6">
      <c r="A6" s="6" t="inlineStr">
        <is>
          <t>P/B (peer median)</t>
        </is>
      </c>
      <c r="B6" s="7" t="n">
        <v>0.15</v>
      </c>
      <c r="C6" s="4">
        <f>'02_WACC_DCF'!$B$50</f>
        <v/>
      </c>
      <c r="D6" s="2">
        <f> BVPS hiện tại × P/B mục tiêu (peer median)</f>
        <v/>
      </c>
    </row>
    <row r="7">
      <c r="A7" s="6" t="inlineStr">
        <is>
          <t>Asset-based (Book Value of Equity)</t>
        </is>
      </c>
      <c r="B7" s="7" t="n">
        <v>0.15</v>
      </c>
      <c r="C7" s="4">
        <f>'02_WACC_DCF'!$B$51</f>
        <v/>
      </c>
      <c r="D7" s="2">
        <f> BVPS mẹ hiện tại (bsa78-bsa210)/CP — sàn giá trị thanh lý</f>
        <v/>
      </c>
    </row>
    <row r="8">
      <c r="A8" s="3" t="inlineStr">
        <is>
          <t>FAIR VALUE BLEND</t>
        </is>
      </c>
      <c r="B8" s="9">
        <f>SUM(B4:B7)</f>
        <v/>
      </c>
      <c r="C8" s="16">
        <f>SUMPRODUCT(B4:B7,C4:C7)</f>
        <v/>
      </c>
    </row>
    <row r="9">
      <c r="A9" s="6" t="inlineStr">
        <is>
          <t>Giá thị trường hiện tại</t>
        </is>
      </c>
      <c r="C9" s="4">
        <f>'00_TongQuan'!$B$5</f>
        <v/>
      </c>
    </row>
    <row r="10">
      <c r="A10" s="3" t="inlineStr">
        <is>
          <t>Upside/Downside</t>
        </is>
      </c>
      <c r="C10" s="9">
        <f>C8/C9-1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2026-07-12T01:50:57Z</dcterms:created>
  <dcterms:modified xmlns:dcterms="http://purl.org/dc/terms/" xmlns:xsi="http://www.w3.org/2001/XMLSchema-instance" xsi:type="dcterms:W3CDTF">2026-07-12T01:50:57Z</dcterms:modified>
</cp:coreProperties>
</file>