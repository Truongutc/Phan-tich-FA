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Beta" sheetId="1" state="visible" r:id="rId1"/>
    <sheet xmlns:r="http://schemas.openxmlformats.org/officeDocument/2006/relationships" name="00_COE" sheetId="2" state="visible" r:id="rId2"/>
    <sheet xmlns:r="http://schemas.openxmlformats.org/officeDocument/2006/relationships" name="01_Cover" sheetId="3" state="visible" r:id="rId3"/>
    <sheet xmlns:r="http://schemas.openxmlformats.org/officeDocument/2006/relationships" name="02_Assumptions" sheetId="4" state="visible" r:id="rId4"/>
    <sheet xmlns:r="http://schemas.openxmlformats.org/officeDocument/2006/relationships" name="03_PE_PB_History" sheetId="5" state="visible" r:id="rId5"/>
    <sheet xmlns:r="http://schemas.openxmlformats.org/officeDocument/2006/relationships" name="03_PnL" sheetId="6" state="visible" r:id="rId6"/>
    <sheet xmlns:r="http://schemas.openxmlformats.org/officeDocument/2006/relationships" name="04_Segments_DT" sheetId="7" state="visible" r:id="rId7"/>
    <sheet xmlns:r="http://schemas.openxmlformats.org/officeDocument/2006/relationships" name="05_Segments_GV" sheetId="8" state="visible" r:id="rId8"/>
    <sheet xmlns:r="http://schemas.openxmlformats.org/officeDocument/2006/relationships" name="06_Segments_GM" sheetId="9" state="visible" r:id="rId9"/>
    <sheet xmlns:r="http://schemas.openxmlformats.org/officeDocument/2006/relationships" name="07_BalanceSheet" sheetId="10" state="visible" r:id="rId10"/>
    <sheet xmlns:r="http://schemas.openxmlformats.org/officeDocument/2006/relationships" name="08_Valuation" sheetId="11" state="visible" r:id="rId11"/>
    <sheet xmlns:r="http://schemas.openxmlformats.org/officeDocument/2006/relationships" name="09_Quarterly_DT" sheetId="12" state="visible" r:id="rId12"/>
    <sheet xmlns:r="http://schemas.openxmlformats.org/officeDocument/2006/relationships" name="10_Quarterly_GV" sheetId="13" state="visible" r:id="rId13"/>
    <sheet xmlns:r="http://schemas.openxmlformats.org/officeDocument/2006/relationships" name="11_Quarterly_GM" sheetId="14" state="visible" r:id="rId14"/>
    <sheet xmlns:r="http://schemas.openxmlformats.org/officeDocument/2006/relationships" name="A4_EPS_Bridge" sheetId="15" state="visible" r:id="rId15"/>
    <sheet xmlns:r="http://schemas.openxmlformats.org/officeDocument/2006/relationships" name="A1_CAGR_Analysis" sheetId="16" state="visible" r:id="rId16"/>
    <sheet xmlns:r="http://schemas.openxmlformats.org/officeDocument/2006/relationships" name="A3_KCN_Drivers" sheetId="17" state="visible" r:id="rId17"/>
  </sheets>
  <definedNames/>
  <calcPr calcId="124519" fullCalcOnLoad="1"/>
</workbook>
</file>

<file path=xl/styles.xml><?xml version="1.0" encoding="utf-8"?>
<styleSheet xmlns="http://schemas.openxmlformats.org/spreadsheetml/2006/main">
  <numFmts count="4">
    <numFmt numFmtId="164" formatCode="0.0000"/>
    <numFmt numFmtId="165" formatCode="#,##0.0"/>
    <numFmt numFmtId="166" formatCode="0.000"/>
    <numFmt numFmtId="167" formatCode="0.0%"/>
  </numFmts>
  <fonts count="9">
    <font>
      <name val="Calibri"/>
      <family val="2"/>
      <color theme="1"/>
      <sz val="11"/>
      <scheme val="minor"/>
    </font>
    <font>
      <name val="Calibri"/>
      <b val="1"/>
      <color rgb="001F4E78"/>
      <sz val="12"/>
    </font>
    <font>
      <name val="Calibri"/>
      <b val="1"/>
      <sz val="11"/>
    </font>
    <font>
      <name val="Calibri"/>
      <i val="1"/>
      <color rgb="00666666"/>
      <sz val="9"/>
    </font>
    <font>
      <name val="Calibri"/>
      <b val="1"/>
      <color rgb="00FFFFFF"/>
      <sz val="11"/>
    </font>
    <font>
      <name val="Calibri"/>
      <sz val="10"/>
    </font>
    <font>
      <name val="Calibri"/>
      <b val="1"/>
      <color rgb="001F4E78"/>
      <sz val="16"/>
    </font>
    <font>
      <name val="Calibri"/>
      <i val="1"/>
      <color rgb="004A5568"/>
      <sz val="11"/>
    </font>
    <font>
      <name val="Calibri"/>
      <b val="1"/>
      <color rgb="00FFFFFF"/>
      <sz val="10"/>
    </font>
  </fonts>
  <fills count="6">
    <fill>
      <patternFill/>
    </fill>
    <fill>
      <patternFill patternType="gray125"/>
    </fill>
    <fill>
      <patternFill patternType="solid">
        <fgColor rgb="001F4E78"/>
        <bgColor rgb="001F4E78"/>
      </patternFill>
    </fill>
    <fill>
      <patternFill patternType="solid">
        <fgColor rgb="00DDEBF7"/>
        <bgColor rgb="00DDEBF7"/>
      </patternFill>
    </fill>
    <fill>
      <patternFill patternType="solid">
        <fgColor rgb="00FFF2CC"/>
        <bgColor rgb="00FFF2CC"/>
      </patternFill>
    </fill>
    <fill>
      <patternFill patternType="solid">
        <fgColor rgb="00E2EFDA"/>
        <b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6">
    <xf numFmtId="0" fontId="0" fillId="0" borderId="0" pivotButton="0" quotePrefix="0" xfId="0"/>
    <xf numFmtId="0" fontId="1" fillId="0" borderId="0" pivotButton="0" quotePrefix="0" xfId="0"/>
    <xf numFmtId="0" fontId="2" fillId="0" borderId="0" pivotButton="0" quotePrefix="0" xfId="0"/>
    <xf numFmtId="164"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pivotButton="0" quotePrefix="0" xfId="0"/>
    <xf numFmtId="0" fontId="0" fillId="0" borderId="1" pivotButton="0" quotePrefix="0" xfId="0"/>
    <xf numFmtId="10" fontId="5" fillId="0" borderId="1" pivotButton="0" quotePrefix="0" xfId="0"/>
    <xf numFmtId="0" fontId="3" fillId="0" borderId="1" pivotButton="0" quotePrefix="0" xfId="0"/>
    <xf numFmtId="164" fontId="5" fillId="0" borderId="1" pivotButton="0" quotePrefix="0" xfId="0"/>
    <xf numFmtId="0" fontId="2" fillId="0" borderId="1" pivotButton="0" quotePrefix="0" xfId="0"/>
    <xf numFmtId="10" fontId="2" fillId="3" borderId="1" pivotButton="0" quotePrefix="0" xfId="0"/>
    <xf numFmtId="0" fontId="6" fillId="0" borderId="0" pivotButton="0" quotePrefix="0" xfId="0"/>
    <xf numFmtId="0" fontId="7" fillId="0" borderId="0" pivotButton="0" quotePrefix="0" xfId="0"/>
    <xf numFmtId="0" fontId="5" fillId="0" borderId="0" pivotButton="0" quotePrefix="0" xfId="0"/>
    <xf numFmtId="3" fontId="5" fillId="0" borderId="0" pivotButton="0" quotePrefix="0" xfId="0"/>
    <xf numFmtId="165" fontId="5" fillId="0" borderId="0" pivotButton="0" quotePrefix="0" xfId="0"/>
    <xf numFmtId="166" fontId="5" fillId="0" borderId="0" pivotButton="0" quotePrefix="0" xfId="0"/>
    <xf numFmtId="10" fontId="5" fillId="0" borderId="0" pivotButton="0" quotePrefix="0" xfId="0"/>
    <xf numFmtId="3" fontId="2" fillId="3" borderId="0" pivotButton="0" quotePrefix="0" xfId="0"/>
    <xf numFmtId="0" fontId="0" fillId="0" borderId="0" applyAlignment="1" pivotButton="0" quotePrefix="0" xfId="0">
      <alignment wrapText="1"/>
    </xf>
    <xf numFmtId="0" fontId="4" fillId="2" borderId="0" applyAlignment="1" pivotButton="0" quotePrefix="0" xfId="0">
      <alignment horizontal="center" vertical="center" wrapText="1"/>
    </xf>
    <xf numFmtId="10" fontId="5" fillId="4" borderId="0" pivotButton="0" quotePrefix="0" xfId="0"/>
    <xf numFmtId="2" fontId="5" fillId="4" borderId="0" pivotButton="0" quotePrefix="0" xfId="0"/>
    <xf numFmtId="3" fontId="5" fillId="4" borderId="0" pivotButton="0" quotePrefix="0" xfId="0"/>
    <xf numFmtId="2" fontId="5" fillId="0" borderId="1" pivotButton="0" quotePrefix="0" xfId="0"/>
    <xf numFmtId="0" fontId="2" fillId="2" borderId="1" pivotButton="0" quotePrefix="0" xfId="0"/>
    <xf numFmtId="2" fontId="2" fillId="2" borderId="1" pivotButton="0" quotePrefix="0" xfId="0"/>
    <xf numFmtId="3" fontId="2" fillId="0" borderId="0" pivotButton="0" quotePrefix="0" xfId="0"/>
    <xf numFmtId="3" fontId="2" fillId="4" borderId="0" pivotButton="0" quotePrefix="0" xfId="0"/>
    <xf numFmtId="10" fontId="0" fillId="0" borderId="0" pivotButton="0" quotePrefix="0" xfId="0"/>
    <xf numFmtId="0" fontId="2" fillId="5" borderId="0" pivotButton="0" quotePrefix="0" xfId="0"/>
    <xf numFmtId="3" fontId="2" fillId="5" borderId="0" pivotButton="0" quotePrefix="0" xfId="0"/>
    <xf numFmtId="167" fontId="3" fillId="0" borderId="0" pivotButton="0" quotePrefix="0" xfId="0"/>
    <xf numFmtId="3" fontId="3" fillId="0" borderId="0" pivotButton="0" quotePrefix="0" xfId="0"/>
    <xf numFmtId="3" fontId="0" fillId="0" borderId="0" pivotButton="0" quotePrefix="0" xfId="0"/>
    <xf numFmtId="0" fontId="2" fillId="3" borderId="0" pivotButton="0" quotePrefix="0" xfId="0"/>
    <xf numFmtId="0" fontId="8" fillId="2" borderId="0" pivotButton="0" quotePrefix="0" xfId="0"/>
    <xf numFmtId="0" fontId="2" fillId="2" borderId="0" pivotButton="0" quotePrefix="0" xfId="0"/>
    <xf numFmtId="2" fontId="5" fillId="0" borderId="0" pivotButton="0" quotePrefix="0" xfId="0"/>
    <xf numFmtId="10" fontId="2" fillId="3" borderId="0" pivotButton="0" quotePrefix="0" xfId="0"/>
    <xf numFmtId="10" fontId="2" fillId="5" borderId="0" pivotButton="0" quotePrefix="0" xfId="0"/>
    <xf numFmtId="0" fontId="2" fillId="2" borderId="0" applyAlignment="1" pivotButton="0" quotePrefix="0" xfId="0">
      <alignment horizontal="center" vertical="center" wrapText="1"/>
    </xf>
    <xf numFmtId="10" fontId="3" fillId="0" borderId="0" pivotButton="0" quotePrefix="0" xfId="0"/>
    <xf numFmtId="165" fontId="5"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5" customWidth="1" min="1" max="1"/>
    <col width="16" customWidth="1" min="2" max="2"/>
    <col width="22" customWidth="1" min="3" max="3"/>
    <col width="16" customWidth="1" min="4" max="4"/>
    <col width="22" customWidth="1" min="5" max="5"/>
  </cols>
  <sheetData>
    <row r="1">
      <c r="A1" s="1" t="inlineStr">
        <is>
          <t>BẢNG TÍNH HỆ SỐ BETA LỊCH SỬ</t>
        </is>
      </c>
      <c r="B1" s="2" t="inlineStr">
        <is>
          <t>Beta thô (raw):</t>
        </is>
      </c>
      <c r="C1" s="3">
        <f>COVAR(C6:C505,E6:E505)/VAR(E6:E505)</f>
        <v/>
      </c>
      <c r="D1" s="2" t="inlineStr">
        <is>
          <t>Beta Blume (điều chỉnh):</t>
        </is>
      </c>
      <c r="E1" s="3">
        <f>0.67*C1+0.33</f>
        <v/>
      </c>
    </row>
    <row r="2">
      <c r="B2" s="4" t="inlineStr">
        <is>
          <t>Số phiên giao dịch:</t>
        </is>
      </c>
      <c r="C2" s="4">
        <f>COUNT(C6:C505)</f>
        <v/>
      </c>
    </row>
    <row r="4">
      <c r="A4" s="5" t="inlineStr">
        <is>
          <t>Ngày</t>
        </is>
      </c>
      <c r="B4" s="5" t="inlineStr">
        <is>
          <t>Giá SIP</t>
        </is>
      </c>
      <c r="C4" s="5" t="inlineStr">
        <is>
          <t>Tỷ suất sinh lời SIP</t>
        </is>
      </c>
      <c r="D4" s="5" t="inlineStr">
        <is>
          <t>Giá VNINDEX</t>
        </is>
      </c>
      <c r="E4" s="5" t="inlineStr">
        <is>
          <t>Tỷ suất sinh lời VNINDEX</t>
        </is>
      </c>
    </row>
    <row r="5">
      <c r="A5" s="6" t="inlineStr">
        <is>
          <t>2024-07-04</t>
        </is>
      </c>
      <c r="B5" s="6" t="n">
        <v>61697</v>
      </c>
      <c r="C5" s="7" t="n"/>
      <c r="D5" s="6" t="n">
        <v>1279.89</v>
      </c>
      <c r="E5" s="7" t="n"/>
    </row>
    <row r="6">
      <c r="A6" s="6" t="inlineStr">
        <is>
          <t>2024-07-05</t>
        </is>
      </c>
      <c r="B6" s="6" t="n">
        <v>61358</v>
      </c>
      <c r="C6" s="8">
        <f>(B6-B5)/B5</f>
        <v/>
      </c>
      <c r="D6" s="6" t="n">
        <v>1283.04</v>
      </c>
      <c r="E6" s="8">
        <f>(D6-D5)/D5</f>
        <v/>
      </c>
    </row>
    <row r="7">
      <c r="A7" s="6" t="inlineStr">
        <is>
          <t>2024-07-08</t>
        </is>
      </c>
      <c r="B7" s="6" t="n">
        <v>62986</v>
      </c>
      <c r="C7" s="8">
        <f>(B7-B6)/B6</f>
        <v/>
      </c>
      <c r="D7" s="6" t="n">
        <v>1283.56</v>
      </c>
      <c r="E7" s="8">
        <f>(D7-D6)/D6</f>
        <v/>
      </c>
    </row>
    <row r="8">
      <c r="A8" s="6" t="inlineStr">
        <is>
          <t>2024-07-09</t>
        </is>
      </c>
      <c r="B8" s="6" t="n">
        <v>62511</v>
      </c>
      <c r="C8" s="8">
        <f>(B8-B7)/B7</f>
        <v/>
      </c>
      <c r="D8" s="6" t="n">
        <v>1293.71</v>
      </c>
      <c r="E8" s="8">
        <f>(D8-D7)/D7</f>
        <v/>
      </c>
    </row>
    <row r="9">
      <c r="A9" s="6" t="inlineStr">
        <is>
          <t>2024-07-10</t>
        </is>
      </c>
      <c r="B9" s="6" t="n">
        <v>64166</v>
      </c>
      <c r="C9" s="8">
        <f>(B9-B8)/B8</f>
        <v/>
      </c>
      <c r="D9" s="6" t="n">
        <v>1285.94</v>
      </c>
      <c r="E9" s="8">
        <f>(D9-D8)/D8</f>
        <v/>
      </c>
    </row>
    <row r="10">
      <c r="A10" s="6" t="inlineStr">
        <is>
          <t>2024-07-11</t>
        </is>
      </c>
      <c r="B10" s="6" t="n">
        <v>63465</v>
      </c>
      <c r="C10" s="8">
        <f>(B10-B9)/B9</f>
        <v/>
      </c>
      <c r="D10" s="6" t="n">
        <v>1283.8</v>
      </c>
      <c r="E10" s="8">
        <f>(D10-D9)/D9</f>
        <v/>
      </c>
    </row>
    <row r="11">
      <c r="A11" s="6" t="inlineStr">
        <is>
          <t>2024-07-12</t>
        </is>
      </c>
      <c r="B11" s="6" t="n">
        <v>63465</v>
      </c>
      <c r="C11" s="8">
        <f>(B11-B10)/B10</f>
        <v/>
      </c>
      <c r="D11" s="6" t="n">
        <v>1280.75</v>
      </c>
      <c r="E11" s="8">
        <f>(D11-D10)/D10</f>
        <v/>
      </c>
    </row>
    <row r="12">
      <c r="A12" s="6" t="inlineStr">
        <is>
          <t>2024-07-15</t>
        </is>
      </c>
      <c r="B12" s="6" t="n">
        <v>64556</v>
      </c>
      <c r="C12" s="8">
        <f>(B12-B11)/B11</f>
        <v/>
      </c>
      <c r="D12" s="6" t="n">
        <v>1279.82</v>
      </c>
      <c r="E12" s="8">
        <f>(D12-D11)/D11</f>
        <v/>
      </c>
    </row>
    <row r="13">
      <c r="A13" s="6" t="inlineStr">
        <is>
          <t>2024-07-16</t>
        </is>
      </c>
      <c r="B13" s="6" t="n">
        <v>67753</v>
      </c>
      <c r="C13" s="8">
        <f>(B13-B12)/B12</f>
        <v/>
      </c>
      <c r="D13" s="6" t="n">
        <v>1281.18</v>
      </c>
      <c r="E13" s="8">
        <f>(D13-D12)/D12</f>
        <v/>
      </c>
    </row>
    <row r="14">
      <c r="A14" s="6" t="inlineStr">
        <is>
          <t>2024-07-17</t>
        </is>
      </c>
      <c r="B14" s="6" t="n">
        <v>64634</v>
      </c>
      <c r="C14" s="8">
        <f>(B14-B13)/B13</f>
        <v/>
      </c>
      <c r="D14" s="6" t="n">
        <v>1268.66</v>
      </c>
      <c r="E14" s="8">
        <f>(D14-D13)/D13</f>
        <v/>
      </c>
    </row>
    <row r="15">
      <c r="A15" s="6" t="inlineStr">
        <is>
          <t>2024-07-18</t>
        </is>
      </c>
      <c r="B15" s="6" t="n">
        <v>64867.99999999999</v>
      </c>
      <c r="C15" s="8">
        <f>(B15-B14)/B14</f>
        <v/>
      </c>
      <c r="D15" s="6" t="n">
        <v>1274.44</v>
      </c>
      <c r="E15" s="8">
        <f>(D15-D14)/D14</f>
        <v/>
      </c>
    </row>
    <row r="16">
      <c r="A16" s="6" t="inlineStr">
        <is>
          <t>2024-07-19</t>
        </is>
      </c>
      <c r="B16" s="6" t="n">
        <v>63932</v>
      </c>
      <c r="C16" s="8">
        <f>(B16-B15)/B15</f>
        <v/>
      </c>
      <c r="D16" s="6" t="n">
        <v>1264.78</v>
      </c>
      <c r="E16" s="8">
        <f>(D16-D15)/D15</f>
        <v/>
      </c>
    </row>
    <row r="17">
      <c r="A17" s="6" t="inlineStr">
        <is>
          <t>2024-07-22</t>
        </is>
      </c>
      <c r="B17" s="6" t="n">
        <v>61593</v>
      </c>
      <c r="C17" s="8">
        <f>(B17-B16)/B16</f>
        <v/>
      </c>
      <c r="D17" s="6" t="n">
        <v>1254.64</v>
      </c>
      <c r="E17" s="8">
        <f>(D17-D16)/D16</f>
        <v/>
      </c>
    </row>
    <row r="18">
      <c r="A18" s="6" t="inlineStr">
        <is>
          <t>2024-07-23</t>
        </is>
      </c>
      <c r="B18" s="6" t="n">
        <v>58865</v>
      </c>
      <c r="C18" s="8">
        <f>(B18-B17)/B17</f>
        <v/>
      </c>
      <c r="D18" s="6" t="n">
        <v>1231.81</v>
      </c>
      <c r="E18" s="8">
        <f>(D18-D17)/D17</f>
        <v/>
      </c>
    </row>
    <row r="19">
      <c r="A19" s="6" t="inlineStr">
        <is>
          <t>2024-07-24</t>
        </is>
      </c>
      <c r="B19" s="6" t="n">
        <v>60814</v>
      </c>
      <c r="C19" s="8">
        <f>(B19-B18)/B18</f>
        <v/>
      </c>
      <c r="D19" s="6" t="n">
        <v>1238.47</v>
      </c>
      <c r="E19" s="8">
        <f>(D19-D18)/D18</f>
        <v/>
      </c>
    </row>
    <row r="20">
      <c r="A20" s="6" t="inlineStr">
        <is>
          <t>2024-07-25</t>
        </is>
      </c>
      <c r="B20" s="6" t="n">
        <v>60658</v>
      </c>
      <c r="C20" s="8">
        <f>(B20-B19)/B19</f>
        <v/>
      </c>
      <c r="D20" s="6" t="n">
        <v>1233.19</v>
      </c>
      <c r="E20" s="8">
        <f>(D20-D19)/D19</f>
        <v/>
      </c>
    </row>
    <row r="21">
      <c r="A21" s="6" t="inlineStr">
        <is>
          <t>2024-07-26</t>
        </is>
      </c>
      <c r="B21" s="6" t="n">
        <v>61126</v>
      </c>
      <c r="C21" s="8">
        <f>(B21-B20)/B20</f>
        <v/>
      </c>
      <c r="D21" s="6" t="n">
        <v>1242.11</v>
      </c>
      <c r="E21" s="8">
        <f>(D21-D20)/D20</f>
        <v/>
      </c>
    </row>
    <row r="22">
      <c r="A22" s="6" t="inlineStr">
        <is>
          <t>2024-07-29</t>
        </is>
      </c>
      <c r="B22" s="6" t="n">
        <v>60814</v>
      </c>
      <c r="C22" s="8">
        <f>(B22-B21)/B21</f>
        <v/>
      </c>
      <c r="D22" s="6" t="n">
        <v>1246.6</v>
      </c>
      <c r="E22" s="8">
        <f>(D22-D21)/D21</f>
        <v/>
      </c>
    </row>
    <row r="23">
      <c r="A23" s="6" t="inlineStr">
        <is>
          <t>2024-07-30</t>
        </is>
      </c>
      <c r="B23" s="6" t="n">
        <v>60424</v>
      </c>
      <c r="C23" s="8">
        <f>(B23-B22)/B22</f>
        <v/>
      </c>
      <c r="D23" s="6" t="n">
        <v>1245.06</v>
      </c>
      <c r="E23" s="8">
        <f>(D23-D22)/D22</f>
        <v/>
      </c>
    </row>
    <row r="24">
      <c r="A24" s="6" t="inlineStr">
        <is>
          <t>2024-07-31</t>
        </is>
      </c>
      <c r="B24" s="6" t="n">
        <v>58319</v>
      </c>
      <c r="C24" s="8">
        <f>(B24-B23)/B23</f>
        <v/>
      </c>
      <c r="D24" s="6" t="n">
        <v>1251.51</v>
      </c>
      <c r="E24" s="8">
        <f>(D24-D23)/D23</f>
        <v/>
      </c>
    </row>
    <row r="25">
      <c r="A25" s="6" t="inlineStr">
        <is>
          <t>2024-08-01</t>
        </is>
      </c>
      <c r="B25" s="6" t="n">
        <v>55980</v>
      </c>
      <c r="C25" s="8">
        <f>(B25-B24)/B24</f>
        <v/>
      </c>
      <c r="D25" s="6" t="n">
        <v>1226.96</v>
      </c>
      <c r="E25" s="8">
        <f>(D25-D24)/D24</f>
        <v/>
      </c>
    </row>
    <row r="26">
      <c r="A26" s="6" t="inlineStr">
        <is>
          <t>2024-08-02</t>
        </is>
      </c>
      <c r="B26" s="6" t="n">
        <v>57461</v>
      </c>
      <c r="C26" s="8">
        <f>(B26-B25)/B25</f>
        <v/>
      </c>
      <c r="D26" s="6" t="n">
        <v>1236.6</v>
      </c>
      <c r="E26" s="8">
        <f>(D26-D25)/D25</f>
        <v/>
      </c>
    </row>
    <row r="27">
      <c r="A27" s="6" t="inlineStr">
        <is>
          <t>2024-08-05</t>
        </is>
      </c>
      <c r="B27" s="6" t="n">
        <v>53485</v>
      </c>
      <c r="C27" s="8">
        <f>(B27-B26)/B26</f>
        <v/>
      </c>
      <c r="D27" s="6" t="n">
        <v>1188.07</v>
      </c>
      <c r="E27" s="8">
        <f>(D27-D26)/D26</f>
        <v/>
      </c>
    </row>
    <row r="28">
      <c r="A28" s="6" t="inlineStr">
        <is>
          <t>2024-08-06</t>
        </is>
      </c>
      <c r="B28" s="6" t="n">
        <v>55356</v>
      </c>
      <c r="C28" s="8">
        <f>(B28-B27)/B27</f>
        <v/>
      </c>
      <c r="D28" s="6" t="n">
        <v>1210.28</v>
      </c>
      <c r="E28" s="8">
        <f>(D28-D27)/D27</f>
        <v/>
      </c>
    </row>
    <row r="29">
      <c r="A29" s="6" t="inlineStr">
        <is>
          <t>2024-08-07</t>
        </is>
      </c>
      <c r="B29" s="6" t="n">
        <v>55356</v>
      </c>
      <c r="C29" s="8">
        <f>(B29-B28)/B28</f>
        <v/>
      </c>
      <c r="D29" s="6" t="n">
        <v>1215.88</v>
      </c>
      <c r="E29" s="8">
        <f>(D29-D28)/D28</f>
        <v/>
      </c>
    </row>
    <row r="30">
      <c r="A30" s="6" t="inlineStr">
        <is>
          <t>2024-08-08</t>
        </is>
      </c>
      <c r="B30" s="6" t="n">
        <v>55122</v>
      </c>
      <c r="C30" s="8">
        <f>(B30-B29)/B29</f>
        <v/>
      </c>
      <c r="D30" s="6" t="n">
        <v>1208.32</v>
      </c>
      <c r="E30" s="8">
        <f>(D30-D29)/D29</f>
        <v/>
      </c>
    </row>
    <row r="31">
      <c r="A31" s="6" t="inlineStr">
        <is>
          <t>2024-08-09</t>
        </is>
      </c>
      <c r="B31" s="6" t="n">
        <v>55200</v>
      </c>
      <c r="C31" s="8">
        <f>(B31-B30)/B30</f>
        <v/>
      </c>
      <c r="D31" s="6" t="n">
        <v>1223.64</v>
      </c>
      <c r="E31" s="8">
        <f>(D31-D30)/D30</f>
        <v/>
      </c>
    </row>
    <row r="32">
      <c r="A32" s="6" t="inlineStr">
        <is>
          <t>2024-08-12</t>
        </is>
      </c>
      <c r="B32" s="6" t="n">
        <v>57149</v>
      </c>
      <c r="C32" s="8">
        <f>(B32-B31)/B31</f>
        <v/>
      </c>
      <c r="D32" s="6" t="n">
        <v>1230.28</v>
      </c>
      <c r="E32" s="8">
        <f>(D32-D31)/D31</f>
        <v/>
      </c>
    </row>
    <row r="33">
      <c r="A33" s="6" t="inlineStr">
        <is>
          <t>2024-08-13</t>
        </is>
      </c>
      <c r="B33" s="6" t="n">
        <v>57071</v>
      </c>
      <c r="C33" s="8">
        <f>(B33-B32)/B32</f>
        <v/>
      </c>
      <c r="D33" s="6" t="n">
        <v>1230.42</v>
      </c>
      <c r="E33" s="8">
        <f>(D33-D32)/D32</f>
        <v/>
      </c>
    </row>
    <row r="34">
      <c r="A34" s="6" t="inlineStr">
        <is>
          <t>2024-08-14</t>
        </is>
      </c>
      <c r="B34" s="6" t="n">
        <v>56448</v>
      </c>
      <c r="C34" s="8">
        <f>(B34-B33)/B33</f>
        <v/>
      </c>
      <c r="D34" s="6" t="n">
        <v>1230.36</v>
      </c>
      <c r="E34" s="8">
        <f>(D34-D33)/D33</f>
        <v/>
      </c>
    </row>
    <row r="35">
      <c r="A35" s="6" t="inlineStr">
        <is>
          <t>2024-08-15</t>
        </is>
      </c>
      <c r="B35" s="6" t="n">
        <v>54732</v>
      </c>
      <c r="C35" s="8">
        <f>(B35-B34)/B34</f>
        <v/>
      </c>
      <c r="D35" s="6" t="n">
        <v>1223.56</v>
      </c>
      <c r="E35" s="8">
        <f>(D35-D34)/D34</f>
        <v/>
      </c>
    </row>
    <row r="36">
      <c r="A36" s="6" t="inlineStr">
        <is>
          <t>2024-08-16</t>
        </is>
      </c>
      <c r="B36" s="6" t="n">
        <v>57305</v>
      </c>
      <c r="C36" s="8">
        <f>(B36-B35)/B35</f>
        <v/>
      </c>
      <c r="D36" s="6" t="n">
        <v>1252.23</v>
      </c>
      <c r="E36" s="8">
        <f>(D36-D35)/D35</f>
        <v/>
      </c>
    </row>
    <row r="37">
      <c r="A37" s="6" t="inlineStr">
        <is>
          <t>2024-08-19</t>
        </is>
      </c>
      <c r="B37" s="6" t="n">
        <v>58319</v>
      </c>
      <c r="C37" s="8">
        <f>(B37-B36)/B36</f>
        <v/>
      </c>
      <c r="D37" s="6" t="n">
        <v>1261.62</v>
      </c>
      <c r="E37" s="8">
        <f>(D37-D36)/D36</f>
        <v/>
      </c>
    </row>
    <row r="38">
      <c r="A38" s="6" t="inlineStr">
        <is>
          <t>2024-08-20</t>
        </is>
      </c>
      <c r="B38" s="6" t="n">
        <v>58475</v>
      </c>
      <c r="C38" s="8">
        <f>(B38-B37)/B37</f>
        <v/>
      </c>
      <c r="D38" s="6" t="n">
        <v>1272.55</v>
      </c>
      <c r="E38" s="8">
        <f>(D38-D37)/D37</f>
        <v/>
      </c>
    </row>
    <row r="39">
      <c r="A39" s="6" t="inlineStr">
        <is>
          <t>2024-08-21</t>
        </is>
      </c>
      <c r="B39" s="6" t="n">
        <v>58241</v>
      </c>
      <c r="C39" s="8">
        <f>(B39-B38)/B38</f>
        <v/>
      </c>
      <c r="D39" s="6" t="n">
        <v>1284.05</v>
      </c>
      <c r="E39" s="8">
        <f>(D39-D38)/D38</f>
        <v/>
      </c>
    </row>
    <row r="40">
      <c r="A40" s="6" t="inlineStr">
        <is>
          <t>2024-08-22</t>
        </is>
      </c>
      <c r="B40" s="6" t="n">
        <v>58163</v>
      </c>
      <c r="C40" s="8">
        <f>(B40-B39)/B39</f>
        <v/>
      </c>
      <c r="D40" s="6" t="n">
        <v>1282.78</v>
      </c>
      <c r="E40" s="8">
        <f>(D40-D39)/D39</f>
        <v/>
      </c>
    </row>
    <row r="41">
      <c r="A41" s="6" t="inlineStr">
        <is>
          <t>2024-08-23</t>
        </is>
      </c>
      <c r="B41" s="6" t="n">
        <v>58631</v>
      </c>
      <c r="C41" s="8">
        <f>(B41-B40)/B40</f>
        <v/>
      </c>
      <c r="D41" s="6" t="n">
        <v>1285.32</v>
      </c>
      <c r="E41" s="8">
        <f>(D41-D40)/D40</f>
        <v/>
      </c>
    </row>
    <row r="42">
      <c r="A42" s="6" t="inlineStr">
        <is>
          <t>2024-08-26</t>
        </is>
      </c>
      <c r="B42" s="6" t="n">
        <v>58787</v>
      </c>
      <c r="C42" s="8">
        <f>(B42-B41)/B41</f>
        <v/>
      </c>
      <c r="D42" s="6" t="n">
        <v>1280.02</v>
      </c>
      <c r="E42" s="8">
        <f>(D42-D41)/D41</f>
        <v/>
      </c>
    </row>
    <row r="43">
      <c r="A43" s="6" t="inlineStr">
        <is>
          <t>2024-08-27</t>
        </is>
      </c>
      <c r="B43" s="6" t="n">
        <v>59254</v>
      </c>
      <c r="C43" s="8">
        <f>(B43-B42)/B42</f>
        <v/>
      </c>
      <c r="D43" s="6" t="n">
        <v>1280.56</v>
      </c>
      <c r="E43" s="8">
        <f>(D43-D42)/D42</f>
        <v/>
      </c>
    </row>
    <row r="44">
      <c r="A44" s="6" t="inlineStr">
        <is>
          <t>2024-08-28</t>
        </is>
      </c>
      <c r="B44" s="6" t="n">
        <v>59176</v>
      </c>
      <c r="C44" s="8">
        <f>(B44-B43)/B43</f>
        <v/>
      </c>
      <c r="D44" s="6" t="n">
        <v>1281.44</v>
      </c>
      <c r="E44" s="8">
        <f>(D44-D43)/D43</f>
        <v/>
      </c>
    </row>
    <row r="45">
      <c r="A45" s="6" t="inlineStr">
        <is>
          <t>2024-08-29</t>
        </is>
      </c>
      <c r="B45" s="6" t="n">
        <v>59176</v>
      </c>
      <c r="C45" s="8">
        <f>(B45-B44)/B44</f>
        <v/>
      </c>
      <c r="D45" s="6" t="n">
        <v>1281.47</v>
      </c>
      <c r="E45" s="8">
        <f>(D45-D44)/D44</f>
        <v/>
      </c>
    </row>
    <row r="46">
      <c r="A46" s="6" t="inlineStr">
        <is>
          <t>2024-08-30</t>
        </is>
      </c>
      <c r="B46" s="6" t="n">
        <v>59956</v>
      </c>
      <c r="C46" s="8">
        <f>(B46-B45)/B45</f>
        <v/>
      </c>
      <c r="D46" s="6" t="n">
        <v>1283.87</v>
      </c>
      <c r="E46" s="8">
        <f>(D46-D45)/D45</f>
        <v/>
      </c>
    </row>
    <row r="47">
      <c r="A47" s="6" t="inlineStr">
        <is>
          <t>2024-09-04</t>
        </is>
      </c>
      <c r="B47" s="6" t="n">
        <v>59410</v>
      </c>
      <c r="C47" s="8">
        <f>(B47-B46)/B46</f>
        <v/>
      </c>
      <c r="D47" s="6" t="n">
        <v>1275.8</v>
      </c>
      <c r="E47" s="8">
        <f>(D47-D46)/D46</f>
        <v/>
      </c>
    </row>
    <row r="48">
      <c r="A48" s="6" t="inlineStr">
        <is>
          <t>2024-09-05</t>
        </is>
      </c>
      <c r="B48" s="6" t="n">
        <v>57851</v>
      </c>
      <c r="C48" s="8">
        <f>(B48-B47)/B47</f>
        <v/>
      </c>
      <c r="D48" s="6" t="n">
        <v>1268.21</v>
      </c>
      <c r="E48" s="8">
        <f>(D48-D47)/D47</f>
        <v/>
      </c>
    </row>
    <row r="49">
      <c r="A49" s="6" t="inlineStr">
        <is>
          <t>2024-09-06</t>
        </is>
      </c>
      <c r="B49" s="6" t="n">
        <v>57851</v>
      </c>
      <c r="C49" s="8">
        <f>(B49-B48)/B48</f>
        <v/>
      </c>
      <c r="D49" s="6" t="n">
        <v>1273.96</v>
      </c>
      <c r="E49" s="8">
        <f>(D49-D48)/D48</f>
        <v/>
      </c>
    </row>
    <row r="50">
      <c r="A50" s="6" t="inlineStr">
        <is>
          <t>2024-09-09</t>
        </is>
      </c>
      <c r="B50" s="6" t="n">
        <v>57383</v>
      </c>
      <c r="C50" s="8">
        <f>(B50-B49)/B49</f>
        <v/>
      </c>
      <c r="D50" s="6" t="n">
        <v>1267.73</v>
      </c>
      <c r="E50" s="8">
        <f>(D50-D49)/D49</f>
        <v/>
      </c>
    </row>
    <row r="51">
      <c r="A51" s="6" t="inlineStr">
        <is>
          <t>2024-09-10</t>
        </is>
      </c>
      <c r="B51" s="6" t="n">
        <v>56136</v>
      </c>
      <c r="C51" s="8">
        <f>(B51-B50)/B50</f>
        <v/>
      </c>
      <c r="D51" s="6" t="n">
        <v>1255.23</v>
      </c>
      <c r="E51" s="8">
        <f>(D51-D50)/D50</f>
        <v/>
      </c>
    </row>
    <row r="52">
      <c r="A52" s="6" t="inlineStr">
        <is>
          <t>2024-09-11</t>
        </is>
      </c>
      <c r="B52" s="6" t="n">
        <v>56603</v>
      </c>
      <c r="C52" s="8">
        <f>(B52-B51)/B51</f>
        <v/>
      </c>
      <c r="D52" s="6" t="n">
        <v>1253.27</v>
      </c>
      <c r="E52" s="8">
        <f>(D52-D51)/D51</f>
        <v/>
      </c>
    </row>
    <row r="53">
      <c r="A53" s="6" t="inlineStr">
        <is>
          <t>2024-09-12</t>
        </is>
      </c>
      <c r="B53" s="6" t="n">
        <v>57071</v>
      </c>
      <c r="C53" s="8">
        <f>(B53-B52)/B52</f>
        <v/>
      </c>
      <c r="D53" s="6" t="n">
        <v>1256.35</v>
      </c>
      <c r="E53" s="8">
        <f>(D53-D52)/D52</f>
        <v/>
      </c>
    </row>
    <row r="54">
      <c r="A54" s="6" t="inlineStr">
        <is>
          <t>2024-09-13</t>
        </is>
      </c>
      <c r="B54" s="6" t="n">
        <v>57305</v>
      </c>
      <c r="C54" s="8">
        <f>(B54-B53)/B53</f>
        <v/>
      </c>
      <c r="D54" s="6" t="n">
        <v>1251.71</v>
      </c>
      <c r="E54" s="8">
        <f>(D54-D53)/D53</f>
        <v/>
      </c>
    </row>
    <row r="55">
      <c r="A55" s="6" t="inlineStr">
        <is>
          <t>2024-09-16</t>
        </is>
      </c>
      <c r="B55" s="6" t="n">
        <v>57227</v>
      </c>
      <c r="C55" s="8">
        <f>(B55-B54)/B54</f>
        <v/>
      </c>
      <c r="D55" s="6" t="n">
        <v>1239.26</v>
      </c>
      <c r="E55" s="8">
        <f>(D55-D54)/D54</f>
        <v/>
      </c>
    </row>
    <row r="56">
      <c r="A56" s="6" t="inlineStr">
        <is>
          <t>2024-09-17</t>
        </is>
      </c>
      <c r="B56" s="6" t="n">
        <v>57695</v>
      </c>
      <c r="C56" s="8">
        <f>(B56-B55)/B55</f>
        <v/>
      </c>
      <c r="D56" s="6" t="n">
        <v>1258.95</v>
      </c>
      <c r="E56" s="8">
        <f>(D56-D55)/D55</f>
        <v/>
      </c>
    </row>
    <row r="57">
      <c r="A57" s="6" t="inlineStr">
        <is>
          <t>2024-09-18</t>
        </is>
      </c>
      <c r="B57" s="6" t="n">
        <v>58007</v>
      </c>
      <c r="C57" s="8">
        <f>(B57-B56)/B56</f>
        <v/>
      </c>
      <c r="D57" s="6" t="n">
        <v>1264.9</v>
      </c>
      <c r="E57" s="8">
        <f>(D57-D56)/D56</f>
        <v/>
      </c>
    </row>
    <row r="58">
      <c r="A58" s="6" t="inlineStr">
        <is>
          <t>2024-09-19</t>
        </is>
      </c>
      <c r="B58" s="6" t="n">
        <v>58163</v>
      </c>
      <c r="C58" s="8">
        <f>(B58-B57)/B57</f>
        <v/>
      </c>
      <c r="D58" s="6" t="n">
        <v>1271.27</v>
      </c>
      <c r="E58" s="8">
        <f>(D58-D57)/D57</f>
        <v/>
      </c>
    </row>
    <row r="59">
      <c r="A59" s="6" t="inlineStr">
        <is>
          <t>2024-09-20</t>
        </is>
      </c>
      <c r="B59" s="6" t="n">
        <v>57305</v>
      </c>
      <c r="C59" s="8">
        <f>(B59-B58)/B58</f>
        <v/>
      </c>
      <c r="D59" s="6" t="n">
        <v>1272.04</v>
      </c>
      <c r="E59" s="8">
        <f>(D59-D58)/D58</f>
        <v/>
      </c>
    </row>
    <row r="60">
      <c r="A60" s="6" t="inlineStr">
        <is>
          <t>2024-09-23</t>
        </is>
      </c>
      <c r="B60" s="6" t="n">
        <v>56681</v>
      </c>
      <c r="C60" s="8">
        <f>(B60-B59)/B59</f>
        <v/>
      </c>
      <c r="D60" s="6" t="n">
        <v>1268.48</v>
      </c>
      <c r="E60" s="8">
        <f>(D60-D59)/D59</f>
        <v/>
      </c>
    </row>
    <row r="61">
      <c r="A61" s="6" t="inlineStr">
        <is>
          <t>2024-09-24</t>
        </is>
      </c>
      <c r="B61" s="6" t="n">
        <v>56915</v>
      </c>
      <c r="C61" s="8">
        <f>(B61-B60)/B60</f>
        <v/>
      </c>
      <c r="D61" s="6" t="n">
        <v>1276.99</v>
      </c>
      <c r="E61" s="8">
        <f>(D61-D60)/D60</f>
        <v/>
      </c>
    </row>
    <row r="62">
      <c r="A62" s="6" t="inlineStr">
        <is>
          <t>2024-09-25</t>
        </is>
      </c>
      <c r="B62" s="6" t="n">
        <v>57617</v>
      </c>
      <c r="C62" s="8">
        <f>(B62-B61)/B61</f>
        <v/>
      </c>
      <c r="D62" s="6" t="n">
        <v>1287.48</v>
      </c>
      <c r="E62" s="8">
        <f>(D62-D61)/D61</f>
        <v/>
      </c>
    </row>
    <row r="63">
      <c r="A63" s="6" t="inlineStr">
        <is>
          <t>2024-09-26</t>
        </is>
      </c>
      <c r="B63" s="6" t="n">
        <v>56603</v>
      </c>
      <c r="C63" s="8">
        <f>(B63-B62)/B62</f>
        <v/>
      </c>
      <c r="D63" s="6" t="n">
        <v>1291.49</v>
      </c>
      <c r="E63" s="8">
        <f>(D63-D62)/D62</f>
        <v/>
      </c>
    </row>
    <row r="64">
      <c r="A64" s="6" t="inlineStr">
        <is>
          <t>2024-09-27</t>
        </is>
      </c>
      <c r="B64" s="6" t="n">
        <v>56526</v>
      </c>
      <c r="C64" s="8">
        <f>(B64-B63)/B63</f>
        <v/>
      </c>
      <c r="D64" s="6" t="n">
        <v>1290.92</v>
      </c>
      <c r="E64" s="8">
        <f>(D64-D63)/D63</f>
        <v/>
      </c>
    </row>
    <row r="65">
      <c r="A65" s="6" t="inlineStr">
        <is>
          <t>2024-09-30</t>
        </is>
      </c>
      <c r="B65" s="6" t="n">
        <v>55668</v>
      </c>
      <c r="C65" s="8">
        <f>(B65-B64)/B64</f>
        <v/>
      </c>
      <c r="D65" s="6" t="n">
        <v>1287.94</v>
      </c>
      <c r="E65" s="8">
        <f>(D65-D64)/D64</f>
        <v/>
      </c>
    </row>
    <row r="66">
      <c r="A66" s="6" t="inlineStr">
        <is>
          <t>2024-10-01</t>
        </is>
      </c>
      <c r="B66" s="6" t="n">
        <v>56136</v>
      </c>
      <c r="C66" s="8">
        <f>(B66-B65)/B65</f>
        <v/>
      </c>
      <c r="D66" s="6" t="n">
        <v>1292.2</v>
      </c>
      <c r="E66" s="8">
        <f>(D66-D65)/D65</f>
        <v/>
      </c>
    </row>
    <row r="67">
      <c r="A67" s="6" t="inlineStr">
        <is>
          <t>2024-10-02</t>
        </is>
      </c>
      <c r="B67" s="6" t="n">
        <v>56915</v>
      </c>
      <c r="C67" s="8">
        <f>(B67-B66)/B66</f>
        <v/>
      </c>
      <c r="D67" s="6" t="n">
        <v>1287.84</v>
      </c>
      <c r="E67" s="8">
        <f>(D67-D66)/D66</f>
        <v/>
      </c>
    </row>
    <row r="68">
      <c r="A68" s="6" t="inlineStr">
        <is>
          <t>2024-10-03</t>
        </is>
      </c>
      <c r="B68" s="6" t="n">
        <v>56292</v>
      </c>
      <c r="C68" s="8">
        <f>(B68-B67)/B67</f>
        <v/>
      </c>
      <c r="D68" s="6" t="n">
        <v>1278.1</v>
      </c>
      <c r="E68" s="8">
        <f>(D68-D67)/D67</f>
        <v/>
      </c>
    </row>
    <row r="69">
      <c r="A69" s="6" t="inlineStr">
        <is>
          <t>2024-10-04</t>
        </is>
      </c>
      <c r="B69" s="6" t="n">
        <v>56058</v>
      </c>
      <c r="C69" s="8">
        <f>(B69-B68)/B68</f>
        <v/>
      </c>
      <c r="D69" s="6" t="n">
        <v>1270.6</v>
      </c>
      <c r="E69" s="8">
        <f>(D69-D68)/D68</f>
        <v/>
      </c>
    </row>
    <row r="70">
      <c r="A70" s="6" t="inlineStr">
        <is>
          <t>2024-10-07</t>
        </is>
      </c>
      <c r="B70" s="6" t="n">
        <v>55746</v>
      </c>
      <c r="C70" s="8">
        <f>(B70-B69)/B69</f>
        <v/>
      </c>
      <c r="D70" s="6" t="n">
        <v>1269.93</v>
      </c>
      <c r="E70" s="8">
        <f>(D70-D69)/D69</f>
        <v/>
      </c>
    </row>
    <row r="71">
      <c r="A71" s="6" t="inlineStr">
        <is>
          <t>2024-10-08</t>
        </is>
      </c>
      <c r="B71" s="6" t="n">
        <v>56993</v>
      </c>
      <c r="C71" s="8">
        <f>(B71-B70)/B70</f>
        <v/>
      </c>
      <c r="D71" s="6" t="n">
        <v>1271.98</v>
      </c>
      <c r="E71" s="8">
        <f>(D71-D70)/D70</f>
        <v/>
      </c>
    </row>
    <row r="72">
      <c r="A72" s="6" t="inlineStr">
        <is>
          <t>2024-10-09</t>
        </is>
      </c>
      <c r="B72" s="6" t="n">
        <v>57149</v>
      </c>
      <c r="C72" s="8">
        <f>(B72-B71)/B71</f>
        <v/>
      </c>
      <c r="D72" s="6" t="n">
        <v>1281.85</v>
      </c>
      <c r="E72" s="8">
        <f>(D72-D71)/D71</f>
        <v/>
      </c>
    </row>
    <row r="73">
      <c r="A73" s="6" t="inlineStr">
        <is>
          <t>2024-10-10</t>
        </is>
      </c>
      <c r="B73" s="6" t="n">
        <v>57149</v>
      </c>
      <c r="C73" s="8">
        <f>(B73-B72)/B72</f>
        <v/>
      </c>
      <c r="D73" s="6" t="n">
        <v>1286.36</v>
      </c>
      <c r="E73" s="8">
        <f>(D73-D72)/D72</f>
        <v/>
      </c>
    </row>
    <row r="74">
      <c r="A74" s="6" t="inlineStr">
        <is>
          <t>2024-10-11</t>
        </is>
      </c>
      <c r="B74" s="6" t="n">
        <v>57305</v>
      </c>
      <c r="C74" s="8">
        <f>(B74-B73)/B73</f>
        <v/>
      </c>
      <c r="D74" s="6" t="n">
        <v>1288.39</v>
      </c>
      <c r="E74" s="8">
        <f>(D74-D73)/D73</f>
        <v/>
      </c>
    </row>
    <row r="75">
      <c r="A75" s="6" t="inlineStr">
        <is>
          <t>2024-10-14</t>
        </is>
      </c>
      <c r="B75" s="6" t="n">
        <v>57929</v>
      </c>
      <c r="C75" s="8">
        <f>(B75-B74)/B74</f>
        <v/>
      </c>
      <c r="D75" s="6" t="n">
        <v>1286.34</v>
      </c>
      <c r="E75" s="8">
        <f>(D75-D74)/D74</f>
        <v/>
      </c>
    </row>
    <row r="76">
      <c r="A76" s="6" t="inlineStr">
        <is>
          <t>2024-10-15</t>
        </is>
      </c>
      <c r="B76" s="6" t="n">
        <v>57695</v>
      </c>
      <c r="C76" s="8">
        <f>(B76-B75)/B75</f>
        <v/>
      </c>
      <c r="D76" s="6" t="n">
        <v>1281.08</v>
      </c>
      <c r="E76" s="8">
        <f>(D76-D75)/D75</f>
        <v/>
      </c>
    </row>
    <row r="77">
      <c r="A77" s="6" t="inlineStr">
        <is>
          <t>2024-10-16</t>
        </is>
      </c>
      <c r="B77" s="6" t="n">
        <v>57149</v>
      </c>
      <c r="C77" s="8">
        <f>(B77-B76)/B76</f>
        <v/>
      </c>
      <c r="D77" s="6" t="n">
        <v>1279.48</v>
      </c>
      <c r="E77" s="8">
        <f>(D77-D76)/D76</f>
        <v/>
      </c>
    </row>
    <row r="78">
      <c r="A78" s="6" t="inlineStr">
        <is>
          <t>2024-10-17</t>
        </is>
      </c>
      <c r="B78" s="6" t="n">
        <v>56993</v>
      </c>
      <c r="C78" s="8">
        <f>(B78-B77)/B77</f>
        <v/>
      </c>
      <c r="D78" s="6" t="n">
        <v>1286.52</v>
      </c>
      <c r="E78" s="8">
        <f>(D78-D77)/D77</f>
        <v/>
      </c>
    </row>
    <row r="79">
      <c r="A79" s="6" t="inlineStr">
        <is>
          <t>2024-10-18</t>
        </is>
      </c>
      <c r="B79" s="6" t="n">
        <v>57071</v>
      </c>
      <c r="C79" s="8">
        <f>(B79-B78)/B78</f>
        <v/>
      </c>
      <c r="D79" s="6" t="n">
        <v>1285.46</v>
      </c>
      <c r="E79" s="8">
        <f>(D79-D78)/D78</f>
        <v/>
      </c>
    </row>
    <row r="80">
      <c r="A80" s="6" t="inlineStr">
        <is>
          <t>2024-10-21</t>
        </is>
      </c>
      <c r="B80" s="6" t="n">
        <v>56370</v>
      </c>
      <c r="C80" s="8">
        <f>(B80-B79)/B79</f>
        <v/>
      </c>
      <c r="D80" s="6" t="n">
        <v>1279.77</v>
      </c>
      <c r="E80" s="8">
        <f>(D80-D79)/D79</f>
        <v/>
      </c>
    </row>
    <row r="81">
      <c r="A81" s="6" t="inlineStr">
        <is>
          <t>2024-10-22</t>
        </is>
      </c>
      <c r="B81" s="6" t="n">
        <v>55824</v>
      </c>
      <c r="C81" s="8">
        <f>(B81-B80)/B80</f>
        <v/>
      </c>
      <c r="D81" s="6" t="n">
        <v>1269.89</v>
      </c>
      <c r="E81" s="8">
        <f>(D81-D80)/D80</f>
        <v/>
      </c>
    </row>
    <row r="82">
      <c r="A82" s="6" t="inlineStr">
        <is>
          <t>2024-10-23</t>
        </is>
      </c>
      <c r="B82" s="6" t="n">
        <v>55824</v>
      </c>
      <c r="C82" s="8">
        <f>(B82-B81)/B81</f>
        <v/>
      </c>
      <c r="D82" s="6" t="n">
        <v>1270.9</v>
      </c>
      <c r="E82" s="8">
        <f>(D82-D81)/D81</f>
        <v/>
      </c>
    </row>
    <row r="83">
      <c r="A83" s="6" t="inlineStr">
        <is>
          <t>2024-10-24</t>
        </is>
      </c>
      <c r="B83" s="6" t="n">
        <v>55746</v>
      </c>
      <c r="C83" s="8">
        <f>(B83-B82)/B82</f>
        <v/>
      </c>
      <c r="D83" s="6" t="n">
        <v>1257.41</v>
      </c>
      <c r="E83" s="8">
        <f>(D83-D82)/D82</f>
        <v/>
      </c>
    </row>
    <row r="84">
      <c r="A84" s="6" t="inlineStr">
        <is>
          <t>2024-10-25</t>
        </is>
      </c>
      <c r="B84" s="6" t="n">
        <v>54654</v>
      </c>
      <c r="C84" s="8">
        <f>(B84-B83)/B83</f>
        <v/>
      </c>
      <c r="D84" s="6" t="n">
        <v>1252.72</v>
      </c>
      <c r="E84" s="8">
        <f>(D84-D83)/D83</f>
        <v/>
      </c>
    </row>
    <row r="85">
      <c r="A85" s="6" t="inlineStr">
        <is>
          <t>2024-10-28</t>
        </is>
      </c>
      <c r="B85" s="6" t="n">
        <v>54966</v>
      </c>
      <c r="C85" s="8">
        <f>(B85-B84)/B84</f>
        <v/>
      </c>
      <c r="D85" s="6" t="n">
        <v>1254.77</v>
      </c>
      <c r="E85" s="8">
        <f>(D85-D84)/D84</f>
        <v/>
      </c>
    </row>
    <row r="86">
      <c r="A86" s="6" t="inlineStr">
        <is>
          <t>2024-10-29</t>
        </is>
      </c>
      <c r="B86" s="6" t="n">
        <v>55356</v>
      </c>
      <c r="C86" s="8">
        <f>(B86-B85)/B85</f>
        <v/>
      </c>
      <c r="D86" s="6" t="n">
        <v>1261.78</v>
      </c>
      <c r="E86" s="8">
        <f>(D86-D85)/D85</f>
        <v/>
      </c>
    </row>
    <row r="87">
      <c r="A87" s="6" t="inlineStr">
        <is>
          <t>2024-10-30</t>
        </is>
      </c>
      <c r="B87" s="6" t="n">
        <v>57851</v>
      </c>
      <c r="C87" s="8">
        <f>(B87-B86)/B86</f>
        <v/>
      </c>
      <c r="D87" s="6" t="n">
        <v>1258.63</v>
      </c>
      <c r="E87" s="8">
        <f>(D87-D86)/D86</f>
        <v/>
      </c>
    </row>
    <row r="88">
      <c r="A88" s="6" t="inlineStr">
        <is>
          <t>2024-10-31</t>
        </is>
      </c>
      <c r="B88" s="6" t="n">
        <v>57773</v>
      </c>
      <c r="C88" s="8">
        <f>(B88-B87)/B87</f>
        <v/>
      </c>
      <c r="D88" s="6" t="n">
        <v>1264.48</v>
      </c>
      <c r="E88" s="8">
        <f>(D88-D87)/D87</f>
        <v/>
      </c>
    </row>
    <row r="89">
      <c r="A89" s="6" t="inlineStr">
        <is>
          <t>2024-11-01</t>
        </is>
      </c>
      <c r="B89" s="6" t="n">
        <v>57461</v>
      </c>
      <c r="C89" s="8">
        <f>(B89-B88)/B88</f>
        <v/>
      </c>
      <c r="D89" s="6" t="n">
        <v>1254.89</v>
      </c>
      <c r="E89" s="8">
        <f>(D89-D88)/D88</f>
        <v/>
      </c>
    </row>
    <row r="90">
      <c r="A90" s="6" t="inlineStr">
        <is>
          <t>2024-11-04</t>
        </is>
      </c>
      <c r="B90" s="6" t="n">
        <v>56214</v>
      </c>
      <c r="C90" s="8">
        <f>(B90-B89)/B89</f>
        <v/>
      </c>
      <c r="D90" s="6" t="n">
        <v>1244.71</v>
      </c>
      <c r="E90" s="8">
        <f>(D90-D89)/D89</f>
        <v/>
      </c>
    </row>
    <row r="91">
      <c r="A91" s="6" t="inlineStr">
        <is>
          <t>2024-11-05</t>
        </is>
      </c>
      <c r="B91" s="6" t="n">
        <v>57695</v>
      </c>
      <c r="C91" s="8">
        <f>(B91-B90)/B90</f>
        <v/>
      </c>
      <c r="D91" s="6" t="n">
        <v>1245.76</v>
      </c>
      <c r="E91" s="8">
        <f>(D91-D90)/D90</f>
        <v/>
      </c>
    </row>
    <row r="92">
      <c r="A92" s="6" t="inlineStr">
        <is>
          <t>2024-11-06</t>
        </is>
      </c>
      <c r="B92" s="6" t="n">
        <v>61671</v>
      </c>
      <c r="C92" s="8">
        <f>(B92-B91)/B91</f>
        <v/>
      </c>
      <c r="D92" s="6" t="n">
        <v>1261.28</v>
      </c>
      <c r="E92" s="8">
        <f>(D92-D91)/D91</f>
        <v/>
      </c>
    </row>
    <row r="93">
      <c r="A93" s="6" t="inlineStr">
        <is>
          <t>2024-11-07</t>
        </is>
      </c>
      <c r="B93" s="6" t="n">
        <v>61905</v>
      </c>
      <c r="C93" s="8">
        <f>(B93-B92)/B92</f>
        <v/>
      </c>
      <c r="D93" s="6" t="n">
        <v>1259.75</v>
      </c>
      <c r="E93" s="8">
        <f>(D93-D92)/D92</f>
        <v/>
      </c>
    </row>
    <row r="94">
      <c r="A94" s="6" t="inlineStr">
        <is>
          <t>2024-11-08</t>
        </is>
      </c>
      <c r="B94" s="6" t="n">
        <v>63309</v>
      </c>
      <c r="C94" s="8">
        <f>(B94-B93)/B93</f>
        <v/>
      </c>
      <c r="D94" s="6" t="n">
        <v>1252.56</v>
      </c>
      <c r="E94" s="8">
        <f>(D94-D93)/D93</f>
        <v/>
      </c>
    </row>
    <row r="95">
      <c r="A95" s="6" t="inlineStr">
        <is>
          <t>2024-11-11</t>
        </is>
      </c>
      <c r="B95" s="6" t="n">
        <v>64244</v>
      </c>
      <c r="C95" s="8">
        <f>(B95-B94)/B94</f>
        <v/>
      </c>
      <c r="D95" s="6" t="n">
        <v>1250.32</v>
      </c>
      <c r="E95" s="8">
        <f>(D95-D94)/D94</f>
        <v/>
      </c>
    </row>
    <row r="96">
      <c r="A96" s="6" t="inlineStr">
        <is>
          <t>2024-11-12</t>
        </is>
      </c>
      <c r="B96" s="6" t="n">
        <v>63854</v>
      </c>
      <c r="C96" s="8">
        <f>(B96-B95)/B95</f>
        <v/>
      </c>
      <c r="D96" s="6" t="n">
        <v>1244.82</v>
      </c>
      <c r="E96" s="8">
        <f>(D96-D95)/D95</f>
        <v/>
      </c>
    </row>
    <row r="97">
      <c r="A97" s="6" t="inlineStr">
        <is>
          <t>2024-11-13</t>
        </is>
      </c>
      <c r="B97" s="6" t="n">
        <v>64556</v>
      </c>
      <c r="C97" s="8">
        <f>(B97-B96)/B96</f>
        <v/>
      </c>
      <c r="D97" s="6" t="n">
        <v>1246.04</v>
      </c>
      <c r="E97" s="8">
        <f>(D97-D96)/D96</f>
        <v/>
      </c>
    </row>
    <row r="98">
      <c r="A98" s="6" t="inlineStr">
        <is>
          <t>2024-11-14</t>
        </is>
      </c>
      <c r="B98" s="6" t="n">
        <v>63932</v>
      </c>
      <c r="C98" s="8">
        <f>(B98-B97)/B97</f>
        <v/>
      </c>
      <c r="D98" s="6" t="n">
        <v>1231.89</v>
      </c>
      <c r="E98" s="8">
        <f>(D98-D97)/D97</f>
        <v/>
      </c>
    </row>
    <row r="99">
      <c r="A99" s="6" t="inlineStr">
        <is>
          <t>2024-11-15</t>
        </is>
      </c>
      <c r="B99" s="6" t="n">
        <v>63854</v>
      </c>
      <c r="C99" s="8">
        <f>(B99-B98)/B98</f>
        <v/>
      </c>
      <c r="D99" s="6" t="n">
        <v>1218.57</v>
      </c>
      <c r="E99" s="8">
        <f>(D99-D98)/D98</f>
        <v/>
      </c>
    </row>
    <row r="100">
      <c r="A100" s="6" t="inlineStr">
        <is>
          <t>2024-11-18</t>
        </is>
      </c>
      <c r="B100" s="6" t="n">
        <v>60736</v>
      </c>
      <c r="C100" s="8">
        <f>(B100-B99)/B99</f>
        <v/>
      </c>
      <c r="D100" s="6" t="n">
        <v>1217.12</v>
      </c>
      <c r="E100" s="8">
        <f>(D100-D99)/D99</f>
        <v/>
      </c>
    </row>
    <row r="101">
      <c r="A101" s="6" t="inlineStr">
        <is>
          <t>2024-11-19</t>
        </is>
      </c>
      <c r="B101" s="6" t="n">
        <v>58085</v>
      </c>
      <c r="C101" s="8">
        <f>(B101-B100)/B100</f>
        <v/>
      </c>
      <c r="D101" s="6" t="n">
        <v>1205.15</v>
      </c>
      <c r="E101" s="8">
        <f>(D101-D100)/D100</f>
        <v/>
      </c>
    </row>
    <row r="102">
      <c r="A102" s="6" t="inlineStr">
        <is>
          <t>2024-11-20</t>
        </is>
      </c>
      <c r="B102" s="6" t="n">
        <v>58475</v>
      </c>
      <c r="C102" s="8">
        <f>(B102-B101)/B101</f>
        <v/>
      </c>
      <c r="D102" s="6" t="n">
        <v>1216.54</v>
      </c>
      <c r="E102" s="8">
        <f>(D102-D101)/D101</f>
        <v/>
      </c>
    </row>
    <row r="103">
      <c r="A103" s="6" t="inlineStr">
        <is>
          <t>2024-11-21</t>
        </is>
      </c>
      <c r="B103" s="6" t="n">
        <v>59020</v>
      </c>
      <c r="C103" s="8">
        <f>(B103-B102)/B102</f>
        <v/>
      </c>
      <c r="D103" s="6" t="n">
        <v>1228.33</v>
      </c>
      <c r="E103" s="8">
        <f>(D103-D102)/D102</f>
        <v/>
      </c>
    </row>
    <row r="104">
      <c r="A104" s="6" t="inlineStr">
        <is>
          <t>2024-11-22</t>
        </is>
      </c>
      <c r="B104" s="6" t="n">
        <v>58865</v>
      </c>
      <c r="C104" s="8">
        <f>(B104-B103)/B103</f>
        <v/>
      </c>
      <c r="D104" s="6" t="n">
        <v>1228.1</v>
      </c>
      <c r="E104" s="8">
        <f>(D104-D103)/D103</f>
        <v/>
      </c>
    </row>
    <row r="105">
      <c r="A105" s="6" t="inlineStr">
        <is>
          <t>2024-11-25</t>
        </is>
      </c>
      <c r="B105" s="6" t="n">
        <v>60268</v>
      </c>
      <c r="C105" s="8">
        <f>(B105-B104)/B104</f>
        <v/>
      </c>
      <c r="D105" s="6" t="n">
        <v>1234.7</v>
      </c>
      <c r="E105" s="8">
        <f>(D105-D104)/D104</f>
        <v/>
      </c>
    </row>
    <row r="106">
      <c r="A106" s="6" t="inlineStr">
        <is>
          <t>2024-11-26</t>
        </is>
      </c>
      <c r="B106" s="6" t="n">
        <v>60814</v>
      </c>
      <c r="C106" s="8">
        <f>(B106-B105)/B105</f>
        <v/>
      </c>
      <c r="D106" s="6" t="n">
        <v>1242.13</v>
      </c>
      <c r="E106" s="8">
        <f>(D106-D105)/D105</f>
        <v/>
      </c>
    </row>
    <row r="107">
      <c r="A107" s="6" t="inlineStr">
        <is>
          <t>2024-11-27</t>
        </is>
      </c>
      <c r="B107" s="6" t="n">
        <v>60034</v>
      </c>
      <c r="C107" s="8">
        <f>(B107-B106)/B106</f>
        <v/>
      </c>
      <c r="D107" s="6" t="n">
        <v>1241.97</v>
      </c>
      <c r="E107" s="8">
        <f>(D107-D106)/D106</f>
        <v/>
      </c>
    </row>
    <row r="108">
      <c r="A108" s="6" t="inlineStr">
        <is>
          <t>2024-11-28</t>
        </is>
      </c>
      <c r="B108" s="6" t="n">
        <v>61126</v>
      </c>
      <c r="C108" s="8">
        <f>(B108-B107)/B107</f>
        <v/>
      </c>
      <c r="D108" s="6" t="n">
        <v>1242.11</v>
      </c>
      <c r="E108" s="8">
        <f>(D108-D107)/D107</f>
        <v/>
      </c>
    </row>
    <row r="109">
      <c r="A109" s="6" t="inlineStr">
        <is>
          <t>2024-11-29</t>
        </is>
      </c>
      <c r="B109" s="6" t="n">
        <v>61281</v>
      </c>
      <c r="C109" s="8">
        <f>(B109-B108)/B108</f>
        <v/>
      </c>
      <c r="D109" s="6" t="n">
        <v>1250.46</v>
      </c>
      <c r="E109" s="8">
        <f>(D109-D108)/D108</f>
        <v/>
      </c>
    </row>
    <row r="110">
      <c r="A110" s="6" t="inlineStr">
        <is>
          <t>2024-12-02</t>
        </is>
      </c>
      <c r="B110" s="6" t="n">
        <v>64087.99999999999</v>
      </c>
      <c r="C110" s="8">
        <f>(B110-B109)/B109</f>
        <v/>
      </c>
      <c r="D110" s="6" t="n">
        <v>1251.21</v>
      </c>
      <c r="E110" s="8">
        <f>(D110-D109)/D109</f>
        <v/>
      </c>
    </row>
    <row r="111">
      <c r="A111" s="6" t="inlineStr">
        <is>
          <t>2024-12-03</t>
        </is>
      </c>
      <c r="B111" s="6" t="n">
        <v>65257.99999999999</v>
      </c>
      <c r="C111" s="8">
        <f>(B111-B110)/B110</f>
        <v/>
      </c>
      <c r="D111" s="6" t="n">
        <v>1249.83</v>
      </c>
      <c r="E111" s="8">
        <f>(D111-D110)/D110</f>
        <v/>
      </c>
    </row>
    <row r="112">
      <c r="A112" s="6" t="inlineStr">
        <is>
          <t>2024-12-04</t>
        </is>
      </c>
      <c r="B112" s="6" t="n">
        <v>65492.00000000001</v>
      </c>
      <c r="C112" s="8">
        <f>(B112-B111)/B111</f>
        <v/>
      </c>
      <c r="D112" s="6" t="n">
        <v>1240.41</v>
      </c>
      <c r="E112" s="8">
        <f>(D112-D111)/D111</f>
        <v/>
      </c>
    </row>
    <row r="113">
      <c r="A113" s="6" t="inlineStr">
        <is>
          <t>2024-12-05</t>
        </is>
      </c>
      <c r="B113" s="6" t="n">
        <v>65726</v>
      </c>
      <c r="C113" s="8">
        <f>(B113-B112)/B112</f>
        <v/>
      </c>
      <c r="D113" s="6" t="n">
        <v>1267.53</v>
      </c>
      <c r="E113" s="8">
        <f>(D113-D112)/D112</f>
        <v/>
      </c>
    </row>
    <row r="114">
      <c r="A114" s="6" t="inlineStr">
        <is>
          <t>2024-12-06</t>
        </is>
      </c>
      <c r="B114" s="6" t="n">
        <v>65492.00000000001</v>
      </c>
      <c r="C114" s="8">
        <f>(B114-B113)/B113</f>
        <v/>
      </c>
      <c r="D114" s="6" t="n">
        <v>1270.14</v>
      </c>
      <c r="E114" s="8">
        <f>(D114-D113)/D113</f>
        <v/>
      </c>
    </row>
    <row r="115">
      <c r="A115" s="6" t="inlineStr">
        <is>
          <t>2024-12-09</t>
        </is>
      </c>
      <c r="B115" s="6" t="n">
        <v>65492.00000000001</v>
      </c>
      <c r="C115" s="8">
        <f>(B115-B114)/B114</f>
        <v/>
      </c>
      <c r="D115" s="6" t="n">
        <v>1273.84</v>
      </c>
      <c r="E115" s="8">
        <f>(D115-D114)/D114</f>
        <v/>
      </c>
    </row>
    <row r="116">
      <c r="A116" s="6" t="inlineStr">
        <is>
          <t>2024-12-10</t>
        </is>
      </c>
      <c r="B116" s="6" t="n">
        <v>65180.00000000001</v>
      </c>
      <c r="C116" s="8">
        <f>(B116-B115)/B115</f>
        <v/>
      </c>
      <c r="D116" s="6" t="n">
        <v>1272.07</v>
      </c>
      <c r="E116" s="8">
        <f>(D116-D115)/D115</f>
        <v/>
      </c>
    </row>
    <row r="117">
      <c r="A117" s="6" t="inlineStr">
        <is>
          <t>2024-12-11</t>
        </is>
      </c>
      <c r="B117" s="6" t="n">
        <v>65492.00000000001</v>
      </c>
      <c r="C117" s="8">
        <f>(B117-B116)/B116</f>
        <v/>
      </c>
      <c r="D117" s="6" t="n">
        <v>1268.86</v>
      </c>
      <c r="E117" s="8">
        <f>(D117-D116)/D116</f>
        <v/>
      </c>
    </row>
    <row r="118">
      <c r="A118" s="6" t="inlineStr">
        <is>
          <t>2024-12-12</t>
        </is>
      </c>
      <c r="B118" s="6" t="n">
        <v>65886</v>
      </c>
      <c r="C118" s="8">
        <f>(B118-B117)/B117</f>
        <v/>
      </c>
      <c r="D118" s="6" t="n">
        <v>1267.35</v>
      </c>
      <c r="E118" s="8">
        <f>(D118-D117)/D117</f>
        <v/>
      </c>
    </row>
    <row r="119">
      <c r="A119" s="6" t="inlineStr">
        <is>
          <t>2024-12-13</t>
        </is>
      </c>
      <c r="B119" s="6" t="n">
        <v>65018</v>
      </c>
      <c r="C119" s="8">
        <f>(B119-B118)/B118</f>
        <v/>
      </c>
      <c r="D119" s="6" t="n">
        <v>1262.57</v>
      </c>
      <c r="E119" s="8">
        <f>(D119-D118)/D118</f>
        <v/>
      </c>
    </row>
    <row r="120">
      <c r="A120" s="6" t="inlineStr">
        <is>
          <t>2024-12-16</t>
        </is>
      </c>
      <c r="B120" s="6" t="n">
        <v>66833</v>
      </c>
      <c r="C120" s="8">
        <f>(B120-B119)/B119</f>
        <v/>
      </c>
      <c r="D120" s="6" t="n">
        <v>1263.79</v>
      </c>
      <c r="E120" s="8">
        <f>(D120-D119)/D119</f>
        <v/>
      </c>
    </row>
    <row r="121">
      <c r="A121" s="6" t="inlineStr">
        <is>
          <t>2024-12-17</t>
        </is>
      </c>
      <c r="B121" s="6" t="n">
        <v>66675</v>
      </c>
      <c r="C121" s="8">
        <f>(B121-B120)/B120</f>
        <v/>
      </c>
      <c r="D121" s="6" t="n">
        <v>1261.72</v>
      </c>
      <c r="E121" s="8">
        <f>(D121-D120)/D120</f>
        <v/>
      </c>
    </row>
    <row r="122">
      <c r="A122" s="6" t="inlineStr">
        <is>
          <t>2024-12-18</t>
        </is>
      </c>
      <c r="B122" s="6" t="n">
        <v>66044</v>
      </c>
      <c r="C122" s="8">
        <f>(B122-B121)/B121</f>
        <v/>
      </c>
      <c r="D122" s="6" t="n">
        <v>1266</v>
      </c>
      <c r="E122" s="8">
        <f>(D122-D121)/D121</f>
        <v/>
      </c>
    </row>
    <row r="123">
      <c r="A123" s="6" t="inlineStr">
        <is>
          <t>2024-12-19</t>
        </is>
      </c>
      <c r="B123" s="6" t="n">
        <v>65491</v>
      </c>
      <c r="C123" s="8">
        <f>(B123-B122)/B122</f>
        <v/>
      </c>
      <c r="D123" s="6" t="n">
        <v>1254.67</v>
      </c>
      <c r="E123" s="8">
        <f>(D123-D122)/D122</f>
        <v/>
      </c>
    </row>
    <row r="124">
      <c r="A124" s="6" t="inlineStr">
        <is>
          <t>2024-12-20</t>
        </is>
      </c>
      <c r="B124" s="6" t="n">
        <v>66596</v>
      </c>
      <c r="C124" s="8">
        <f>(B124-B123)/B123</f>
        <v/>
      </c>
      <c r="D124" s="6" t="n">
        <v>1257.5</v>
      </c>
      <c r="E124" s="8">
        <f>(D124-D123)/D123</f>
        <v/>
      </c>
    </row>
    <row r="125">
      <c r="A125" s="6" t="inlineStr">
        <is>
          <t>2024-12-23</t>
        </is>
      </c>
      <c r="B125" s="6" t="n">
        <v>66280</v>
      </c>
      <c r="C125" s="8">
        <f>(B125-B124)/B124</f>
        <v/>
      </c>
      <c r="D125" s="6" t="n">
        <v>1262.76</v>
      </c>
      <c r="E125" s="8">
        <f>(D125-D124)/D124</f>
        <v/>
      </c>
    </row>
    <row r="126">
      <c r="A126" s="6" t="inlineStr">
        <is>
          <t>2024-12-24</t>
        </is>
      </c>
      <c r="B126" s="6" t="n">
        <v>66675</v>
      </c>
      <c r="C126" s="8">
        <f>(B126-B125)/B125</f>
        <v/>
      </c>
      <c r="D126" s="6" t="n">
        <v>1260.36</v>
      </c>
      <c r="E126" s="8">
        <f>(D126-D125)/D125</f>
        <v/>
      </c>
    </row>
    <row r="127">
      <c r="A127" s="6" t="inlineStr">
        <is>
          <t>2024-12-25</t>
        </is>
      </c>
      <c r="B127" s="6" t="n">
        <v>67385</v>
      </c>
      <c r="C127" s="8">
        <f>(B127-B126)/B126</f>
        <v/>
      </c>
      <c r="D127" s="6" t="n">
        <v>1274.04</v>
      </c>
      <c r="E127" s="8">
        <f>(D127-D126)/D126</f>
        <v/>
      </c>
    </row>
    <row r="128">
      <c r="A128" s="6" t="inlineStr">
        <is>
          <t>2024-12-26</t>
        </is>
      </c>
      <c r="B128" s="6" t="n">
        <v>67069</v>
      </c>
      <c r="C128" s="8">
        <f>(B128-B127)/B127</f>
        <v/>
      </c>
      <c r="D128" s="6" t="n">
        <v>1272.87</v>
      </c>
      <c r="E128" s="8">
        <f>(D128-D127)/D127</f>
        <v/>
      </c>
    </row>
    <row r="129">
      <c r="A129" s="6" t="inlineStr">
        <is>
          <t>2024-12-27</t>
        </is>
      </c>
      <c r="B129" s="6" t="n">
        <v>65570</v>
      </c>
      <c r="C129" s="8">
        <f>(B129-B128)/B128</f>
        <v/>
      </c>
      <c r="D129" s="6" t="n">
        <v>1275.14</v>
      </c>
      <c r="E129" s="8">
        <f>(D129-D128)/D128</f>
        <v/>
      </c>
    </row>
    <row r="130">
      <c r="A130" s="6" t="inlineStr">
        <is>
          <t>2024-12-30</t>
        </is>
      </c>
      <c r="B130" s="6" t="n">
        <v>65491</v>
      </c>
      <c r="C130" s="8">
        <f>(B130-B129)/B129</f>
        <v/>
      </c>
      <c r="D130" s="6" t="n">
        <v>1272.02</v>
      </c>
      <c r="E130" s="8">
        <f>(D130-D129)/D129</f>
        <v/>
      </c>
    </row>
    <row r="131">
      <c r="A131" s="6" t="inlineStr">
        <is>
          <t>2024-12-31</t>
        </is>
      </c>
      <c r="B131" s="6" t="n">
        <v>65570</v>
      </c>
      <c r="C131" s="8">
        <f>(B131-B130)/B130</f>
        <v/>
      </c>
      <c r="D131" s="6" t="n">
        <v>1266.78</v>
      </c>
      <c r="E131" s="8">
        <f>(D131-D130)/D130</f>
        <v/>
      </c>
    </row>
    <row r="132">
      <c r="A132" s="6" t="inlineStr">
        <is>
          <t>2025-01-02</t>
        </is>
      </c>
      <c r="B132" s="6" t="n">
        <v>64702</v>
      </c>
      <c r="C132" s="8">
        <f>(B132-B131)/B131</f>
        <v/>
      </c>
      <c r="D132" s="6" t="n">
        <v>1269.71</v>
      </c>
      <c r="E132" s="8">
        <f>(D132-D131)/D131</f>
        <v/>
      </c>
    </row>
    <row r="133">
      <c r="A133" s="6" t="inlineStr">
        <is>
          <t>2025-01-03</t>
        </is>
      </c>
      <c r="B133" s="6" t="n">
        <v>64071</v>
      </c>
      <c r="C133" s="8">
        <f>(B133-B132)/B132</f>
        <v/>
      </c>
      <c r="D133" s="6" t="n">
        <v>1254.59</v>
      </c>
      <c r="E133" s="8">
        <f>(D133-D132)/D132</f>
        <v/>
      </c>
    </row>
    <row r="134">
      <c r="A134" s="6" t="inlineStr">
        <is>
          <t>2025-01-06</t>
        </is>
      </c>
      <c r="B134" s="6" t="n">
        <v>62335</v>
      </c>
      <c r="C134" s="8">
        <f>(B134-B133)/B133</f>
        <v/>
      </c>
      <c r="D134" s="6" t="n">
        <v>1246.35</v>
      </c>
      <c r="E134" s="8">
        <f>(D134-D133)/D133</f>
        <v/>
      </c>
    </row>
    <row r="135">
      <c r="A135" s="6" t="inlineStr">
        <is>
          <t>2025-01-07</t>
        </is>
      </c>
      <c r="B135" s="6" t="n">
        <v>63282</v>
      </c>
      <c r="C135" s="8">
        <f>(B135-B134)/B134</f>
        <v/>
      </c>
      <c r="D135" s="6" t="n">
        <v>1246.95</v>
      </c>
      <c r="E135" s="8">
        <f>(D135-D134)/D134</f>
        <v/>
      </c>
    </row>
    <row r="136">
      <c r="A136" s="6" t="inlineStr">
        <is>
          <t>2025-01-08</t>
        </is>
      </c>
      <c r="B136" s="6" t="n">
        <v>63834</v>
      </c>
      <c r="C136" s="8">
        <f>(B136-B135)/B135</f>
        <v/>
      </c>
      <c r="D136" s="6" t="n">
        <v>1251.02</v>
      </c>
      <c r="E136" s="8">
        <f>(D136-D135)/D135</f>
        <v/>
      </c>
    </row>
    <row r="137">
      <c r="A137" s="6" t="inlineStr">
        <is>
          <t>2025-01-09</t>
        </is>
      </c>
      <c r="B137" s="6" t="n">
        <v>63519</v>
      </c>
      <c r="C137" s="8">
        <f>(B137-B136)/B136</f>
        <v/>
      </c>
      <c r="D137" s="6" t="n">
        <v>1245.77</v>
      </c>
      <c r="E137" s="8">
        <f>(D137-D136)/D136</f>
        <v/>
      </c>
    </row>
    <row r="138">
      <c r="A138" s="6" t="inlineStr">
        <is>
          <t>2025-01-10</t>
        </is>
      </c>
      <c r="B138" s="6" t="n">
        <v>61546</v>
      </c>
      <c r="C138" s="8">
        <f>(B138-B137)/B137</f>
        <v/>
      </c>
      <c r="D138" s="6" t="n">
        <v>1230.48</v>
      </c>
      <c r="E138" s="8">
        <f>(D138-D137)/D137</f>
        <v/>
      </c>
    </row>
    <row r="139">
      <c r="A139" s="6" t="inlineStr">
        <is>
          <t>2025-01-13</t>
        </is>
      </c>
      <c r="B139" s="6" t="n">
        <v>62177</v>
      </c>
      <c r="C139" s="8">
        <f>(B139-B138)/B138</f>
        <v/>
      </c>
      <c r="D139" s="6" t="n">
        <v>1235.65</v>
      </c>
      <c r="E139" s="8">
        <f>(D139-D138)/D138</f>
        <v/>
      </c>
    </row>
    <row r="140">
      <c r="A140" s="6" t="inlineStr">
        <is>
          <t>2025-01-14</t>
        </is>
      </c>
      <c r="B140" s="6" t="n">
        <v>62019</v>
      </c>
      <c r="C140" s="8">
        <f>(B140-B139)/B139</f>
        <v/>
      </c>
      <c r="D140" s="6" t="n">
        <v>1229.07</v>
      </c>
      <c r="E140" s="8">
        <f>(D140-D139)/D139</f>
        <v/>
      </c>
    </row>
    <row r="141">
      <c r="A141" s="6" t="inlineStr">
        <is>
          <t>2025-01-15</t>
        </is>
      </c>
      <c r="B141" s="6" t="n">
        <v>63440</v>
      </c>
      <c r="C141" s="8">
        <f>(B141-B140)/B140</f>
        <v/>
      </c>
      <c r="D141" s="6" t="n">
        <v>1236.18</v>
      </c>
      <c r="E141" s="8">
        <f>(D141-D140)/D140</f>
        <v/>
      </c>
    </row>
    <row r="142">
      <c r="A142" s="6" t="inlineStr">
        <is>
          <t>2025-01-16</t>
        </is>
      </c>
      <c r="B142" s="6" t="n">
        <v>62809</v>
      </c>
      <c r="C142" s="8">
        <f>(B142-B141)/B141</f>
        <v/>
      </c>
      <c r="D142" s="6" t="n">
        <v>1242.36</v>
      </c>
      <c r="E142" s="8">
        <f>(D142-D141)/D141</f>
        <v/>
      </c>
    </row>
    <row r="143">
      <c r="A143" s="6" t="inlineStr">
        <is>
          <t>2025-01-17</t>
        </is>
      </c>
      <c r="B143" s="6" t="n">
        <v>64071</v>
      </c>
      <c r="C143" s="8">
        <f>(B143-B142)/B142</f>
        <v/>
      </c>
      <c r="D143" s="6" t="n">
        <v>1249.11</v>
      </c>
      <c r="E143" s="8">
        <f>(D143-D142)/D142</f>
        <v/>
      </c>
    </row>
    <row r="144">
      <c r="A144" s="6" t="inlineStr">
        <is>
          <t>2025-01-20</t>
        </is>
      </c>
      <c r="B144" s="6" t="n">
        <v>64465.99999999999</v>
      </c>
      <c r="C144" s="8">
        <f>(B144-B143)/B143</f>
        <v/>
      </c>
      <c r="D144" s="6" t="n">
        <v>1249.55</v>
      </c>
      <c r="E144" s="8">
        <f>(D144-D143)/D143</f>
        <v/>
      </c>
    </row>
    <row r="145">
      <c r="A145" s="6" t="inlineStr">
        <is>
          <t>2025-01-21</t>
        </is>
      </c>
      <c r="B145" s="6" t="n">
        <v>63519</v>
      </c>
      <c r="C145" s="8">
        <f>(B145-B144)/B144</f>
        <v/>
      </c>
      <c r="D145" s="6" t="n">
        <v>1246.09</v>
      </c>
      <c r="E145" s="8">
        <f>(D145-D144)/D144</f>
        <v/>
      </c>
    </row>
    <row r="146">
      <c r="A146" s="6" t="inlineStr">
        <is>
          <t>2025-01-22</t>
        </is>
      </c>
      <c r="B146" s="6" t="n">
        <v>63598</v>
      </c>
      <c r="C146" s="8">
        <f>(B146-B145)/B145</f>
        <v/>
      </c>
      <c r="D146" s="6" t="n">
        <v>1242.53</v>
      </c>
      <c r="E146" s="8">
        <f>(D146-D145)/D145</f>
        <v/>
      </c>
    </row>
    <row r="147">
      <c r="A147" s="6" t="inlineStr">
        <is>
          <t>2025-01-23</t>
        </is>
      </c>
      <c r="B147" s="6" t="n">
        <v>64702</v>
      </c>
      <c r="C147" s="8">
        <f>(B147-B146)/B146</f>
        <v/>
      </c>
      <c r="D147" s="6" t="n">
        <v>1259.63</v>
      </c>
      <c r="E147" s="8">
        <f>(D147-D146)/D146</f>
        <v/>
      </c>
    </row>
    <row r="148">
      <c r="A148" s="6" t="inlineStr">
        <is>
          <t>2025-01-24</t>
        </is>
      </c>
      <c r="B148" s="6" t="n">
        <v>64308.00000000001</v>
      </c>
      <c r="C148" s="8">
        <f>(B148-B147)/B147</f>
        <v/>
      </c>
      <c r="D148" s="6" t="n">
        <v>1265.05</v>
      </c>
      <c r="E148" s="8">
        <f>(D148-D147)/D147</f>
        <v/>
      </c>
    </row>
    <row r="149">
      <c r="A149" s="6" t="inlineStr">
        <is>
          <t>2025-02-03</t>
        </is>
      </c>
      <c r="B149" s="6" t="n">
        <v>63913</v>
      </c>
      <c r="C149" s="8">
        <f>(B149-B148)/B148</f>
        <v/>
      </c>
      <c r="D149" s="6" t="n">
        <v>1253.03</v>
      </c>
      <c r="E149" s="8">
        <f>(D149-D148)/D148</f>
        <v/>
      </c>
    </row>
    <row r="150">
      <c r="A150" s="6" t="inlineStr">
        <is>
          <t>2025-02-04</t>
        </is>
      </c>
      <c r="B150" s="6" t="n">
        <v>64938.99999999999</v>
      </c>
      <c r="C150" s="8">
        <f>(B150-B149)/B149</f>
        <v/>
      </c>
      <c r="D150" s="6" t="n">
        <v>1264.68</v>
      </c>
      <c r="E150" s="8">
        <f>(D150-D149)/D149</f>
        <v/>
      </c>
    </row>
    <row r="151">
      <c r="A151" s="6" t="inlineStr">
        <is>
          <t>2025-02-05</t>
        </is>
      </c>
      <c r="B151" s="6" t="n">
        <v>65334</v>
      </c>
      <c r="C151" s="8">
        <f>(B151-B150)/B150</f>
        <v/>
      </c>
      <c r="D151" s="6" t="n">
        <v>1269.61</v>
      </c>
      <c r="E151" s="8">
        <f>(D151-D150)/D150</f>
        <v/>
      </c>
    </row>
    <row r="152">
      <c r="A152" s="6" t="inlineStr">
        <is>
          <t>2025-02-06</t>
        </is>
      </c>
      <c r="B152" s="6" t="n">
        <v>65334</v>
      </c>
      <c r="C152" s="8">
        <f>(B152-B151)/B151</f>
        <v/>
      </c>
      <c r="D152" s="6" t="n">
        <v>1271.48</v>
      </c>
      <c r="E152" s="8">
        <f>(D152-D151)/D151</f>
        <v/>
      </c>
    </row>
    <row r="153">
      <c r="A153" s="6" t="inlineStr">
        <is>
          <t>2025-02-07</t>
        </is>
      </c>
      <c r="B153" s="6" t="n">
        <v>64308.00000000001</v>
      </c>
      <c r="C153" s="8">
        <f>(B153-B152)/B152</f>
        <v/>
      </c>
      <c r="D153" s="6" t="n">
        <v>1275.2</v>
      </c>
      <c r="E153" s="8">
        <f>(D153-D152)/D152</f>
        <v/>
      </c>
    </row>
    <row r="154">
      <c r="A154" s="6" t="inlineStr">
        <is>
          <t>2025-02-10</t>
        </is>
      </c>
      <c r="B154" s="6" t="n">
        <v>62966</v>
      </c>
      <c r="C154" s="8">
        <f>(B154-B153)/B153</f>
        <v/>
      </c>
      <c r="D154" s="6" t="n">
        <v>1263.26</v>
      </c>
      <c r="E154" s="8">
        <f>(D154-D153)/D153</f>
        <v/>
      </c>
    </row>
    <row r="155">
      <c r="A155" s="6" t="inlineStr">
        <is>
          <t>2025-02-11</t>
        </is>
      </c>
      <c r="B155" s="6" t="n">
        <v>63282</v>
      </c>
      <c r="C155" s="8">
        <f>(B155-B154)/B154</f>
        <v/>
      </c>
      <c r="D155" s="6" t="n">
        <v>1268.45</v>
      </c>
      <c r="E155" s="8">
        <f>(D155-D154)/D154</f>
        <v/>
      </c>
    </row>
    <row r="156">
      <c r="A156" s="6" t="inlineStr">
        <is>
          <t>2025-02-12</t>
        </is>
      </c>
      <c r="B156" s="6" t="n">
        <v>64071</v>
      </c>
      <c r="C156" s="8">
        <f>(B156-B155)/B155</f>
        <v/>
      </c>
      <c r="D156" s="6" t="n">
        <v>1266.91</v>
      </c>
      <c r="E156" s="8">
        <f>(D156-D155)/D155</f>
        <v/>
      </c>
    </row>
    <row r="157">
      <c r="A157" s="6" t="inlineStr">
        <is>
          <t>2025-02-13</t>
        </is>
      </c>
      <c r="B157" s="6" t="n">
        <v>63755</v>
      </c>
      <c r="C157" s="8">
        <f>(B157-B156)/B156</f>
        <v/>
      </c>
      <c r="D157" s="6" t="n">
        <v>1270.35</v>
      </c>
      <c r="E157" s="8">
        <f>(D157-D156)/D156</f>
        <v/>
      </c>
    </row>
    <row r="158">
      <c r="A158" s="6" t="inlineStr">
        <is>
          <t>2025-02-14</t>
        </is>
      </c>
      <c r="B158" s="6" t="n">
        <v>64071</v>
      </c>
      <c r="C158" s="8">
        <f>(B158-B157)/B157</f>
        <v/>
      </c>
      <c r="D158" s="6" t="n">
        <v>1276.08</v>
      </c>
      <c r="E158" s="8">
        <f>(D158-D157)/D157</f>
        <v/>
      </c>
    </row>
    <row r="159">
      <c r="A159" s="6" t="inlineStr">
        <is>
          <t>2025-02-17</t>
        </is>
      </c>
      <c r="B159" s="6" t="n">
        <v>63598</v>
      </c>
      <c r="C159" s="8">
        <f>(B159-B158)/B158</f>
        <v/>
      </c>
      <c r="D159" s="6" t="n">
        <v>1272.72</v>
      </c>
      <c r="E159" s="8">
        <f>(D159-D158)/D158</f>
        <v/>
      </c>
    </row>
    <row r="160">
      <c r="A160" s="6" t="inlineStr">
        <is>
          <t>2025-02-18</t>
        </is>
      </c>
      <c r="B160" s="6" t="n">
        <v>63913</v>
      </c>
      <c r="C160" s="8">
        <f>(B160-B159)/B159</f>
        <v/>
      </c>
      <c r="D160" s="6" t="n">
        <v>1278.14</v>
      </c>
      <c r="E160" s="8">
        <f>(D160-D159)/D159</f>
        <v/>
      </c>
    </row>
    <row r="161">
      <c r="A161" s="6" t="inlineStr">
        <is>
          <t>2025-02-19</t>
        </is>
      </c>
      <c r="B161" s="6" t="n">
        <v>68332</v>
      </c>
      <c r="C161" s="8">
        <f>(B161-B160)/B160</f>
        <v/>
      </c>
      <c r="D161" s="6" t="n">
        <v>1288.56</v>
      </c>
      <c r="E161" s="8">
        <f>(D161-D160)/D160</f>
        <v/>
      </c>
    </row>
    <row r="162">
      <c r="A162" s="6" t="inlineStr">
        <is>
          <t>2025-02-20</t>
        </is>
      </c>
      <c r="B162" s="6" t="n">
        <v>67622</v>
      </c>
      <c r="C162" s="8">
        <f>(B162-B161)/B161</f>
        <v/>
      </c>
      <c r="D162" s="6" t="n">
        <v>1292.98</v>
      </c>
      <c r="E162" s="8">
        <f>(D162-D161)/D161</f>
        <v/>
      </c>
    </row>
    <row r="163">
      <c r="A163" s="6" t="inlineStr">
        <is>
          <t>2025-02-21</t>
        </is>
      </c>
      <c r="B163" s="6" t="n">
        <v>69042</v>
      </c>
      <c r="C163" s="8">
        <f>(B163-B162)/B162</f>
        <v/>
      </c>
      <c r="D163" s="6" t="n">
        <v>1296.75</v>
      </c>
      <c r="E163" s="8">
        <f>(D163-D162)/D162</f>
        <v/>
      </c>
    </row>
    <row r="164">
      <c r="A164" s="6" t="inlineStr">
        <is>
          <t>2025-02-24</t>
        </is>
      </c>
      <c r="B164" s="6" t="n">
        <v>71015</v>
      </c>
      <c r="C164" s="8">
        <f>(B164-B163)/B163</f>
        <v/>
      </c>
      <c r="D164" s="6" t="n">
        <v>1304.56</v>
      </c>
      <c r="E164" s="8">
        <f>(D164-D163)/D163</f>
        <v/>
      </c>
    </row>
    <row r="165">
      <c r="A165" s="6" t="inlineStr">
        <is>
          <t>2025-02-25</t>
        </is>
      </c>
      <c r="B165" s="6" t="n">
        <v>70936</v>
      </c>
      <c r="C165" s="8">
        <f>(B165-B164)/B164</f>
        <v/>
      </c>
      <c r="D165" s="6" t="n">
        <v>1303.16</v>
      </c>
      <c r="E165" s="8">
        <f>(D165-D164)/D164</f>
        <v/>
      </c>
    </row>
    <row r="166">
      <c r="A166" s="6" t="inlineStr">
        <is>
          <t>2025-02-26</t>
        </is>
      </c>
      <c r="B166" s="6" t="n">
        <v>70068</v>
      </c>
      <c r="C166" s="8">
        <f>(B166-B165)/B165</f>
        <v/>
      </c>
      <c r="D166" s="6" t="n">
        <v>1302.96</v>
      </c>
      <c r="E166" s="8">
        <f>(D166-D165)/D165</f>
        <v/>
      </c>
    </row>
    <row r="167">
      <c r="A167" s="6" t="inlineStr">
        <is>
          <t>2025-02-27</t>
        </is>
      </c>
      <c r="B167" s="6" t="n">
        <v>71409</v>
      </c>
      <c r="C167" s="8">
        <f>(B167-B166)/B166</f>
        <v/>
      </c>
      <c r="D167" s="6" t="n">
        <v>1307.8</v>
      </c>
      <c r="E167" s="8">
        <f>(D167-D166)/D166</f>
        <v/>
      </c>
    </row>
    <row r="168">
      <c r="A168" s="6" t="inlineStr">
        <is>
          <t>2025-02-28</t>
        </is>
      </c>
      <c r="B168" s="6" t="n">
        <v>71804</v>
      </c>
      <c r="C168" s="8">
        <f>(B168-B167)/B167</f>
        <v/>
      </c>
      <c r="D168" s="6" t="n">
        <v>1305.36</v>
      </c>
      <c r="E168" s="8">
        <f>(D168-D167)/D167</f>
        <v/>
      </c>
    </row>
    <row r="169">
      <c r="A169" s="6" t="inlineStr">
        <is>
          <t>2025-03-03</t>
        </is>
      </c>
      <c r="B169" s="6" t="n">
        <v>72751</v>
      </c>
      <c r="C169" s="8">
        <f>(B169-B168)/B168</f>
        <v/>
      </c>
      <c r="D169" s="6" t="n">
        <v>1309.37</v>
      </c>
      <c r="E169" s="8">
        <f>(D169-D168)/D168</f>
        <v/>
      </c>
    </row>
    <row r="170">
      <c r="A170" s="6" t="inlineStr">
        <is>
          <t>2025-03-04</t>
        </is>
      </c>
      <c r="B170" s="6" t="n">
        <v>72593</v>
      </c>
      <c r="C170" s="8">
        <f>(B170-B169)/B169</f>
        <v/>
      </c>
      <c r="D170" s="6" t="n">
        <v>1311.91</v>
      </c>
      <c r="E170" s="8">
        <f>(D170-D169)/D169</f>
        <v/>
      </c>
    </row>
    <row r="171">
      <c r="A171" s="6" t="inlineStr">
        <is>
          <t>2025-03-05</t>
        </is>
      </c>
      <c r="B171" s="6" t="n">
        <v>70778</v>
      </c>
      <c r="C171" s="8">
        <f>(B171-B170)/B170</f>
        <v/>
      </c>
      <c r="D171" s="6" t="n">
        <v>1304.71</v>
      </c>
      <c r="E171" s="8">
        <f>(D171-D170)/D170</f>
        <v/>
      </c>
    </row>
    <row r="172">
      <c r="A172" s="6" t="inlineStr">
        <is>
          <t>2025-03-06</t>
        </is>
      </c>
      <c r="B172" s="6" t="n">
        <v>71804</v>
      </c>
      <c r="C172" s="8">
        <f>(B172-B171)/B171</f>
        <v/>
      </c>
      <c r="D172" s="6" t="n">
        <v>1318.22</v>
      </c>
      <c r="E172" s="8">
        <f>(D172-D171)/D171</f>
        <v/>
      </c>
    </row>
    <row r="173">
      <c r="A173" s="6" t="inlineStr">
        <is>
          <t>2025-03-07</t>
        </is>
      </c>
      <c r="B173" s="6" t="n">
        <v>70699</v>
      </c>
      <c r="C173" s="8">
        <f>(B173-B172)/B172</f>
        <v/>
      </c>
      <c r="D173" s="6" t="n">
        <v>1326.05</v>
      </c>
      <c r="E173" s="8">
        <f>(D173-D172)/D172</f>
        <v/>
      </c>
    </row>
    <row r="174">
      <c r="A174" s="6" t="inlineStr">
        <is>
          <t>2025-03-10</t>
        </is>
      </c>
      <c r="B174" s="6" t="n">
        <v>71883</v>
      </c>
      <c r="C174" s="8">
        <f>(B174-B173)/B173</f>
        <v/>
      </c>
      <c r="D174" s="6" t="n">
        <v>1330.28</v>
      </c>
      <c r="E174" s="8">
        <f>(D174-D173)/D173</f>
        <v/>
      </c>
    </row>
    <row r="175">
      <c r="A175" s="6" t="inlineStr">
        <is>
          <t>2025-03-11</t>
        </is>
      </c>
      <c r="B175" s="6" t="n">
        <v>72593</v>
      </c>
      <c r="C175" s="8">
        <f>(B175-B174)/B174</f>
        <v/>
      </c>
      <c r="D175" s="6" t="n">
        <v>1332.54</v>
      </c>
      <c r="E175" s="8">
        <f>(D175-D174)/D174</f>
        <v/>
      </c>
    </row>
    <row r="176">
      <c r="A176" s="6" t="inlineStr">
        <is>
          <t>2025-03-12</t>
        </is>
      </c>
      <c r="B176" s="6" t="n">
        <v>72198</v>
      </c>
      <c r="C176" s="8">
        <f>(B176-B175)/B175</f>
        <v/>
      </c>
      <c r="D176" s="6" t="n">
        <v>1334.41</v>
      </c>
      <c r="E176" s="8">
        <f>(D176-D175)/D175</f>
        <v/>
      </c>
    </row>
    <row r="177">
      <c r="A177" s="6" t="inlineStr">
        <is>
          <t>2025-03-13</t>
        </is>
      </c>
      <c r="B177" s="6" t="n">
        <v>71094</v>
      </c>
      <c r="C177" s="8">
        <f>(B177-B176)/B176</f>
        <v/>
      </c>
      <c r="D177" s="6" t="n">
        <v>1326.27</v>
      </c>
      <c r="E177" s="8">
        <f>(D177-D176)/D176</f>
        <v/>
      </c>
    </row>
    <row r="178">
      <c r="A178" s="6" t="inlineStr">
        <is>
          <t>2025-03-14</t>
        </is>
      </c>
      <c r="B178" s="6" t="n">
        <v>72040</v>
      </c>
      <c r="C178" s="8">
        <f>(B178-B177)/B177</f>
        <v/>
      </c>
      <c r="D178" s="6" t="n">
        <v>1326.15</v>
      </c>
      <c r="E178" s="8">
        <f>(D178-D177)/D177</f>
        <v/>
      </c>
    </row>
    <row r="179">
      <c r="A179" s="6" t="inlineStr">
        <is>
          <t>2025-03-17</t>
        </is>
      </c>
      <c r="B179" s="6" t="n">
        <v>71725</v>
      </c>
      <c r="C179" s="8">
        <f>(B179-B178)/B178</f>
        <v/>
      </c>
      <c r="D179" s="6" t="n">
        <v>1336.26</v>
      </c>
      <c r="E179" s="8">
        <f>(D179-D178)/D178</f>
        <v/>
      </c>
    </row>
    <row r="180">
      <c r="A180" s="6" t="inlineStr">
        <is>
          <t>2025-03-18</t>
        </is>
      </c>
      <c r="B180" s="6" t="n">
        <v>70305</v>
      </c>
      <c r="C180" s="8">
        <f>(B180-B179)/B179</f>
        <v/>
      </c>
      <c r="D180" s="6" t="n">
        <v>1330.97</v>
      </c>
      <c r="E180" s="8">
        <f>(D180-D179)/D179</f>
        <v/>
      </c>
    </row>
    <row r="181">
      <c r="A181" s="6" t="inlineStr">
        <is>
          <t>2025-03-19</t>
        </is>
      </c>
      <c r="B181" s="6" t="n">
        <v>68805</v>
      </c>
      <c r="C181" s="8">
        <f>(B181-B180)/B180</f>
        <v/>
      </c>
      <c r="D181" s="6" t="n">
        <v>1324.63</v>
      </c>
      <c r="E181" s="8">
        <f>(D181-D180)/D180</f>
        <v/>
      </c>
    </row>
    <row r="182">
      <c r="A182" s="6" t="inlineStr">
        <is>
          <t>2025-03-20</t>
        </is>
      </c>
      <c r="B182" s="6" t="n">
        <v>71015</v>
      </c>
      <c r="C182" s="8">
        <f>(B182-B181)/B181</f>
        <v/>
      </c>
      <c r="D182" s="6" t="n">
        <v>1323.93</v>
      </c>
      <c r="E182" s="8">
        <f>(D182-D181)/D181</f>
        <v/>
      </c>
    </row>
    <row r="183">
      <c r="A183" s="6" t="inlineStr">
        <is>
          <t>2025-03-21</t>
        </is>
      </c>
      <c r="B183" s="6" t="n">
        <v>71094</v>
      </c>
      <c r="C183" s="8">
        <f>(B183-B182)/B182</f>
        <v/>
      </c>
      <c r="D183" s="6" t="n">
        <v>1321.88</v>
      </c>
      <c r="E183" s="8">
        <f>(D183-D182)/D182</f>
        <v/>
      </c>
    </row>
    <row r="184">
      <c r="A184" s="6" t="inlineStr">
        <is>
          <t>2025-03-24</t>
        </is>
      </c>
      <c r="B184" s="6" t="n">
        <v>70857</v>
      </c>
      <c r="C184" s="8">
        <f>(B184-B183)/B183</f>
        <v/>
      </c>
      <c r="D184" s="6" t="n">
        <v>1330.32</v>
      </c>
      <c r="E184" s="8">
        <f>(D184-D183)/D183</f>
        <v/>
      </c>
    </row>
    <row r="185">
      <c r="A185" s="6" t="inlineStr">
        <is>
          <t>2025-03-25</t>
        </is>
      </c>
      <c r="B185" s="6" t="n">
        <v>72040</v>
      </c>
      <c r="C185" s="8">
        <f>(B185-B184)/B184</f>
        <v/>
      </c>
      <c r="D185" s="6" t="n">
        <v>1331.92</v>
      </c>
      <c r="E185" s="8">
        <f>(D185-D184)/D184</f>
        <v/>
      </c>
    </row>
    <row r="186">
      <c r="A186" s="6" t="inlineStr">
        <is>
          <t>2025-03-26</t>
        </is>
      </c>
      <c r="B186" s="6" t="n">
        <v>72435</v>
      </c>
      <c r="C186" s="8">
        <f>(B186-B185)/B185</f>
        <v/>
      </c>
      <c r="D186" s="6" t="n">
        <v>1326.09</v>
      </c>
      <c r="E186" s="8">
        <f>(D186-D185)/D185</f>
        <v/>
      </c>
    </row>
    <row r="187">
      <c r="A187" s="6" t="inlineStr">
        <is>
          <t>2025-03-27</t>
        </is>
      </c>
      <c r="B187" s="6" t="n">
        <v>71804</v>
      </c>
      <c r="C187" s="8">
        <f>(B187-B186)/B186</f>
        <v/>
      </c>
      <c r="D187" s="6" t="n">
        <v>1323.81</v>
      </c>
      <c r="E187" s="8">
        <f>(D187-D186)/D186</f>
        <v/>
      </c>
    </row>
    <row r="188">
      <c r="A188" s="6" t="inlineStr">
        <is>
          <t>2025-03-28</t>
        </is>
      </c>
      <c r="B188" s="6" t="n">
        <v>72198</v>
      </c>
      <c r="C188" s="8">
        <f>(B188-B187)/B187</f>
        <v/>
      </c>
      <c r="D188" s="6" t="n">
        <v>1317.46</v>
      </c>
      <c r="E188" s="8">
        <f>(D188-D187)/D187</f>
        <v/>
      </c>
    </row>
    <row r="189">
      <c r="A189" s="6" t="inlineStr">
        <is>
          <t>2025-03-31</t>
        </is>
      </c>
      <c r="B189" s="6" t="n">
        <v>68016</v>
      </c>
      <c r="C189" s="8">
        <f>(B189-B188)/B188</f>
        <v/>
      </c>
      <c r="D189" s="6" t="n">
        <v>1306.86</v>
      </c>
      <c r="E189" s="8">
        <f>(D189-D188)/D188</f>
        <v/>
      </c>
    </row>
    <row r="190">
      <c r="A190" s="6" t="inlineStr">
        <is>
          <t>2025-04-01</t>
        </is>
      </c>
      <c r="B190" s="6" t="n">
        <v>67858</v>
      </c>
      <c r="C190" s="8">
        <f>(B190-B189)/B189</f>
        <v/>
      </c>
      <c r="D190" s="6" t="n">
        <v>1317.33</v>
      </c>
      <c r="E190" s="8">
        <f>(D190-D189)/D189</f>
        <v/>
      </c>
    </row>
    <row r="191">
      <c r="A191" s="6" t="inlineStr">
        <is>
          <t>2025-04-02</t>
        </is>
      </c>
      <c r="B191" s="6" t="n">
        <v>67937</v>
      </c>
      <c r="C191" s="8">
        <f>(B191-B190)/B190</f>
        <v/>
      </c>
      <c r="D191" s="6" t="n">
        <v>1317.83</v>
      </c>
      <c r="E191" s="8">
        <f>(D191-D190)/D190</f>
        <v/>
      </c>
    </row>
    <row r="192">
      <c r="A192" s="6" t="inlineStr">
        <is>
          <t>2025-04-03</t>
        </is>
      </c>
      <c r="B192" s="6" t="n">
        <v>63203</v>
      </c>
      <c r="C192" s="8">
        <f>(B192-B191)/B191</f>
        <v/>
      </c>
      <c r="D192" s="6" t="n">
        <v>1229.84</v>
      </c>
      <c r="E192" s="8">
        <f>(D192-D191)/D191</f>
        <v/>
      </c>
    </row>
    <row r="193">
      <c r="A193" s="6" t="inlineStr">
        <is>
          <t>2025-04-04</t>
        </is>
      </c>
      <c r="B193" s="6" t="n">
        <v>58784</v>
      </c>
      <c r="C193" s="8">
        <f>(B193-B192)/B192</f>
        <v/>
      </c>
      <c r="D193" s="6" t="n">
        <v>1210.67</v>
      </c>
      <c r="E193" s="8">
        <f>(D193-D192)/D192</f>
        <v/>
      </c>
    </row>
    <row r="194">
      <c r="A194" s="6" t="inlineStr">
        <is>
          <t>2025-04-08</t>
        </is>
      </c>
      <c r="B194" s="6" t="n">
        <v>54681</v>
      </c>
      <c r="C194" s="8">
        <f>(B194-B193)/B193</f>
        <v/>
      </c>
      <c r="D194" s="6" t="n">
        <v>1132.79</v>
      </c>
      <c r="E194" s="8">
        <f>(D194-D193)/D193</f>
        <v/>
      </c>
    </row>
    <row r="195">
      <c r="A195" s="6" t="inlineStr">
        <is>
          <t>2025-04-09</t>
        </is>
      </c>
      <c r="B195" s="6" t="n">
        <v>50894</v>
      </c>
      <c r="C195" s="8">
        <f>(B195-B194)/B194</f>
        <v/>
      </c>
      <c r="D195" s="6" t="n">
        <v>1094.3</v>
      </c>
      <c r="E195" s="8">
        <f>(D195-D194)/D194</f>
        <v/>
      </c>
    </row>
    <row r="196">
      <c r="A196" s="6" t="inlineStr">
        <is>
          <t>2025-04-10</t>
        </is>
      </c>
      <c r="B196" s="6" t="n">
        <v>54445</v>
      </c>
      <c r="C196" s="8">
        <f>(B196-B195)/B195</f>
        <v/>
      </c>
      <c r="D196" s="6" t="n">
        <v>1168.34</v>
      </c>
      <c r="E196" s="8">
        <f>(D196-D195)/D195</f>
        <v/>
      </c>
    </row>
    <row r="197">
      <c r="A197" s="6" t="inlineStr">
        <is>
          <t>2025-04-11</t>
        </is>
      </c>
      <c r="B197" s="6" t="n">
        <v>51683</v>
      </c>
      <c r="C197" s="8">
        <f>(B197-B196)/B196</f>
        <v/>
      </c>
      <c r="D197" s="6" t="n">
        <v>1222.46</v>
      </c>
      <c r="E197" s="8">
        <f>(D197-D196)/D196</f>
        <v/>
      </c>
    </row>
    <row r="198">
      <c r="A198" s="6" t="inlineStr">
        <is>
          <t>2025-04-14</t>
        </is>
      </c>
      <c r="B198" s="6" t="n">
        <v>54445</v>
      </c>
      <c r="C198" s="8">
        <f>(B198-B197)/B197</f>
        <v/>
      </c>
      <c r="D198" s="6" t="n">
        <v>1241.44</v>
      </c>
      <c r="E198" s="8">
        <f>(D198-D197)/D197</f>
        <v/>
      </c>
    </row>
    <row r="199">
      <c r="A199" s="6" t="inlineStr">
        <is>
          <t>2025-04-15</t>
        </is>
      </c>
      <c r="B199" s="6" t="n">
        <v>50657</v>
      </c>
      <c r="C199" s="8">
        <f>(B199-B198)/B198</f>
        <v/>
      </c>
      <c r="D199" s="6" t="n">
        <v>1227.79</v>
      </c>
      <c r="E199" s="8">
        <f>(D199-D198)/D198</f>
        <v/>
      </c>
    </row>
    <row r="200">
      <c r="A200" s="6" t="inlineStr">
        <is>
          <t>2025-04-16</t>
        </is>
      </c>
      <c r="B200" s="6" t="n">
        <v>47185</v>
      </c>
      <c r="C200" s="8">
        <f>(B200-B199)/B199</f>
        <v/>
      </c>
      <c r="D200" s="6" t="n">
        <v>1210.3</v>
      </c>
      <c r="E200" s="8">
        <f>(D200-D199)/D199</f>
        <v/>
      </c>
    </row>
    <row r="201">
      <c r="A201" s="6" t="inlineStr">
        <is>
          <t>2025-04-17</t>
        </is>
      </c>
      <c r="B201" s="6" t="n">
        <v>46081</v>
      </c>
      <c r="C201" s="8">
        <f>(B201-B200)/B200</f>
        <v/>
      </c>
      <c r="D201" s="6" t="n">
        <v>1217.25</v>
      </c>
      <c r="E201" s="8">
        <f>(D201-D200)/D200</f>
        <v/>
      </c>
    </row>
    <row r="202">
      <c r="A202" s="6" t="inlineStr">
        <is>
          <t>2025-04-18</t>
        </is>
      </c>
      <c r="B202" s="6" t="n">
        <v>47974</v>
      </c>
      <c r="C202" s="8">
        <f>(B202-B201)/B201</f>
        <v/>
      </c>
      <c r="D202" s="6" t="n">
        <v>1219.12</v>
      </c>
      <c r="E202" s="8">
        <f>(D202-D201)/D201</f>
        <v/>
      </c>
    </row>
    <row r="203">
      <c r="A203" s="6" t="inlineStr">
        <is>
          <t>2025-04-21</t>
        </is>
      </c>
      <c r="B203" s="6" t="n">
        <v>47422</v>
      </c>
      <c r="C203" s="8">
        <f>(B203-B202)/B202</f>
        <v/>
      </c>
      <c r="D203" s="6" t="n">
        <v>1207.07</v>
      </c>
      <c r="E203" s="8">
        <f>(D203-D202)/D202</f>
        <v/>
      </c>
    </row>
    <row r="204">
      <c r="A204" s="6" t="inlineStr">
        <is>
          <t>2025-04-22</t>
        </is>
      </c>
      <c r="B204" s="6" t="n">
        <v>44266</v>
      </c>
      <c r="C204" s="8">
        <f>(B204-B203)/B203</f>
        <v/>
      </c>
      <c r="D204" s="6" t="n">
        <v>1197.13</v>
      </c>
      <c r="E204" s="8">
        <f>(D204-D203)/D203</f>
        <v/>
      </c>
    </row>
    <row r="205">
      <c r="A205" s="6" t="inlineStr">
        <is>
          <t>2025-04-23</t>
        </is>
      </c>
      <c r="B205" s="6" t="n">
        <v>45923</v>
      </c>
      <c r="C205" s="8">
        <f>(B205-B204)/B204</f>
        <v/>
      </c>
      <c r="D205" s="6" t="n">
        <v>1211</v>
      </c>
      <c r="E205" s="8">
        <f>(D205-D204)/D204</f>
        <v/>
      </c>
    </row>
    <row r="206">
      <c r="A206" s="6" t="inlineStr">
        <is>
          <t>2025-04-24</t>
        </is>
      </c>
      <c r="B206" s="6" t="n">
        <v>49079</v>
      </c>
      <c r="C206" s="8">
        <f>(B206-B205)/B205</f>
        <v/>
      </c>
      <c r="D206" s="6" t="n">
        <v>1223.35</v>
      </c>
      <c r="E206" s="8">
        <f>(D206-D205)/D205</f>
        <v/>
      </c>
    </row>
    <row r="207">
      <c r="A207" s="6" t="inlineStr">
        <is>
          <t>2025-04-25</t>
        </is>
      </c>
      <c r="B207" s="6" t="n">
        <v>48606</v>
      </c>
      <c r="C207" s="8">
        <f>(B207-B206)/B206</f>
        <v/>
      </c>
      <c r="D207" s="6" t="n">
        <v>1229.23</v>
      </c>
      <c r="E207" s="8">
        <f>(D207-D206)/D206</f>
        <v/>
      </c>
    </row>
    <row r="208">
      <c r="A208" s="6" t="inlineStr">
        <is>
          <t>2025-04-28</t>
        </is>
      </c>
      <c r="B208" s="6" t="n">
        <v>49316</v>
      </c>
      <c r="C208" s="8">
        <f>(B208-B207)/B207</f>
        <v/>
      </c>
      <c r="D208" s="6" t="n">
        <v>1226.8</v>
      </c>
      <c r="E208" s="8">
        <f>(D208-D207)/D207</f>
        <v/>
      </c>
    </row>
    <row r="209">
      <c r="A209" s="6" t="inlineStr">
        <is>
          <t>2025-04-29</t>
        </is>
      </c>
      <c r="B209" s="6" t="n">
        <v>50105</v>
      </c>
      <c r="C209" s="8">
        <f>(B209-B208)/B208</f>
        <v/>
      </c>
      <c r="D209" s="6" t="n">
        <v>1226.3</v>
      </c>
      <c r="E209" s="8">
        <f>(D209-D208)/D208</f>
        <v/>
      </c>
    </row>
    <row r="210">
      <c r="A210" s="6" t="inlineStr">
        <is>
          <t>2025-05-05</t>
        </is>
      </c>
      <c r="B210" s="6" t="n">
        <v>52077</v>
      </c>
      <c r="C210" s="8">
        <f>(B210-B209)/B209</f>
        <v/>
      </c>
      <c r="D210" s="6" t="n">
        <v>1240.05</v>
      </c>
      <c r="E210" s="8">
        <f>(D210-D209)/D209</f>
        <v/>
      </c>
    </row>
    <row r="211">
      <c r="A211" s="6" t="inlineStr">
        <is>
          <t>2025-05-06</t>
        </is>
      </c>
      <c r="B211" s="6" t="n">
        <v>51762</v>
      </c>
      <c r="C211" s="8">
        <f>(B211-B210)/B210</f>
        <v/>
      </c>
      <c r="D211" s="6" t="n">
        <v>1241.95</v>
      </c>
      <c r="E211" s="8">
        <f>(D211-D210)/D210</f>
        <v/>
      </c>
    </row>
    <row r="212">
      <c r="A212" s="6" t="inlineStr">
        <is>
          <t>2025-05-07</t>
        </is>
      </c>
      <c r="B212" s="6" t="n">
        <v>52077</v>
      </c>
      <c r="C212" s="8">
        <f>(B212-B211)/B211</f>
        <v/>
      </c>
      <c r="D212" s="6" t="n">
        <v>1250.37</v>
      </c>
      <c r="E212" s="8">
        <f>(D212-D211)/D211</f>
        <v/>
      </c>
    </row>
    <row r="213">
      <c r="A213" s="6" t="inlineStr">
        <is>
          <t>2025-05-08</t>
        </is>
      </c>
      <c r="B213" s="6" t="n">
        <v>53734</v>
      </c>
      <c r="C213" s="8">
        <f>(B213-B212)/B212</f>
        <v/>
      </c>
      <c r="D213" s="6" t="n">
        <v>1269.8</v>
      </c>
      <c r="E213" s="8">
        <f>(D213-D212)/D212</f>
        <v/>
      </c>
    </row>
    <row r="214">
      <c r="A214" s="6" t="inlineStr">
        <is>
          <t>2025-05-09</t>
        </is>
      </c>
      <c r="B214" s="6" t="n">
        <v>53103</v>
      </c>
      <c r="C214" s="8">
        <f>(B214-B213)/B213</f>
        <v/>
      </c>
      <c r="D214" s="6" t="n">
        <v>1267.3</v>
      </c>
      <c r="E214" s="8">
        <f>(D214-D213)/D213</f>
        <v/>
      </c>
    </row>
    <row r="215">
      <c r="A215" s="6" t="inlineStr">
        <is>
          <t>2025-05-12</t>
        </is>
      </c>
      <c r="B215" s="6" t="n">
        <v>55155</v>
      </c>
      <c r="C215" s="8">
        <f>(B215-B214)/B214</f>
        <v/>
      </c>
      <c r="D215" s="6" t="n">
        <v>1283.26</v>
      </c>
      <c r="E215" s="8">
        <f>(D215-D214)/D214</f>
        <v/>
      </c>
    </row>
    <row r="216">
      <c r="A216" s="6" t="inlineStr">
        <is>
          <t>2025-05-13</t>
        </is>
      </c>
      <c r="B216" s="6" t="n">
        <v>55707</v>
      </c>
      <c r="C216" s="8">
        <f>(B216-B215)/B215</f>
        <v/>
      </c>
      <c r="D216" s="6" t="n">
        <v>1293.43</v>
      </c>
      <c r="E216" s="8">
        <f>(D216-D215)/D215</f>
        <v/>
      </c>
    </row>
    <row r="217">
      <c r="A217" s="6" t="inlineStr">
        <is>
          <t>2025-05-14</t>
        </is>
      </c>
      <c r="B217" s="6" t="n">
        <v>54997</v>
      </c>
      <c r="C217" s="8">
        <f>(B217-B216)/B216</f>
        <v/>
      </c>
      <c r="D217" s="6" t="n">
        <v>1309.73</v>
      </c>
      <c r="E217" s="8">
        <f>(D217-D216)/D216</f>
        <v/>
      </c>
    </row>
    <row r="218">
      <c r="A218" s="6" t="inlineStr">
        <is>
          <t>2025-05-15</t>
        </is>
      </c>
      <c r="B218" s="6" t="n">
        <v>55074</v>
      </c>
      <c r="C218" s="8">
        <f>(B218-B217)/B217</f>
        <v/>
      </c>
      <c r="D218" s="6" t="n">
        <v>1313.2</v>
      </c>
      <c r="E218" s="8">
        <f>(D218-D217)/D217</f>
        <v/>
      </c>
    </row>
    <row r="219">
      <c r="A219" s="6" t="inlineStr">
        <is>
          <t>2025-05-16</t>
        </is>
      </c>
      <c r="B219" s="6" t="n">
        <v>54118</v>
      </c>
      <c r="C219" s="8">
        <f>(B219-B218)/B218</f>
        <v/>
      </c>
      <c r="D219" s="6" t="n">
        <v>1301.39</v>
      </c>
      <c r="E219" s="8">
        <f>(D219-D218)/D218</f>
        <v/>
      </c>
    </row>
    <row r="220">
      <c r="A220" s="6" t="inlineStr">
        <is>
          <t>2025-05-19</t>
        </is>
      </c>
      <c r="B220" s="6" t="n">
        <v>52364</v>
      </c>
      <c r="C220" s="8">
        <f>(B220-B219)/B219</f>
        <v/>
      </c>
      <c r="D220" s="6" t="n">
        <v>1296.29</v>
      </c>
      <c r="E220" s="8">
        <f>(D220-D219)/D219</f>
        <v/>
      </c>
    </row>
    <row r="221">
      <c r="A221" s="6" t="inlineStr">
        <is>
          <t>2025-05-20</t>
        </is>
      </c>
      <c r="B221" s="6" t="n">
        <v>53879</v>
      </c>
      <c r="C221" s="8">
        <f>(B221-B220)/B220</f>
        <v/>
      </c>
      <c r="D221" s="6" t="n">
        <v>1315.15</v>
      </c>
      <c r="E221" s="8">
        <f>(D221-D220)/D220</f>
        <v/>
      </c>
    </row>
    <row r="222">
      <c r="A222" s="6" t="inlineStr">
        <is>
          <t>2025-05-21</t>
        </is>
      </c>
      <c r="B222" s="6" t="n">
        <v>52683</v>
      </c>
      <c r="C222" s="8">
        <f>(B222-B221)/B221</f>
        <v/>
      </c>
      <c r="D222" s="6" t="n">
        <v>1323.05</v>
      </c>
      <c r="E222" s="8">
        <f>(D222-D221)/D221</f>
        <v/>
      </c>
    </row>
    <row r="223">
      <c r="A223" s="6" t="inlineStr">
        <is>
          <t>2025-05-22</t>
        </is>
      </c>
      <c r="B223" s="6" t="n">
        <v>51806</v>
      </c>
      <c r="C223" s="8">
        <f>(B223-B222)/B222</f>
        <v/>
      </c>
      <c r="D223" s="6" t="n">
        <v>1313.84</v>
      </c>
      <c r="E223" s="8">
        <f>(D223-D222)/D222</f>
        <v/>
      </c>
    </row>
    <row r="224">
      <c r="A224" s="6" t="inlineStr">
        <is>
          <t>2025-05-23</t>
        </is>
      </c>
      <c r="B224" s="6" t="n">
        <v>51886</v>
      </c>
      <c r="C224" s="8">
        <f>(B224-B223)/B223</f>
        <v/>
      </c>
      <c r="D224" s="6" t="n">
        <v>1314.46</v>
      </c>
      <c r="E224" s="8">
        <f>(D224-D223)/D223</f>
        <v/>
      </c>
    </row>
    <row r="225">
      <c r="A225" s="6" t="inlineStr">
        <is>
          <t>2025-05-26</t>
        </is>
      </c>
      <c r="B225" s="6" t="n">
        <v>54995</v>
      </c>
      <c r="C225" s="8">
        <f>(B225-B224)/B224</f>
        <v/>
      </c>
      <c r="D225" s="6" t="n">
        <v>1332.51</v>
      </c>
      <c r="E225" s="8">
        <f>(D225-D224)/D224</f>
        <v/>
      </c>
    </row>
    <row r="226">
      <c r="A226" s="6" t="inlineStr">
        <is>
          <t>2025-05-27</t>
        </is>
      </c>
      <c r="B226" s="6" t="n">
        <v>55074</v>
      </c>
      <c r="C226" s="8">
        <f>(B226-B225)/B225</f>
        <v/>
      </c>
      <c r="D226" s="6" t="n">
        <v>1339.81</v>
      </c>
      <c r="E226" s="8">
        <f>(D226-D225)/D225</f>
        <v/>
      </c>
    </row>
    <row r="227">
      <c r="A227" s="6" t="inlineStr">
        <is>
          <t>2025-05-28</t>
        </is>
      </c>
      <c r="B227" s="6" t="n">
        <v>54596</v>
      </c>
      <c r="C227" s="8">
        <f>(B227-B226)/B226</f>
        <v/>
      </c>
      <c r="D227" s="6" t="n">
        <v>1341.87</v>
      </c>
      <c r="E227" s="8">
        <f>(D227-D226)/D226</f>
        <v/>
      </c>
    </row>
    <row r="228">
      <c r="A228" s="6" t="inlineStr">
        <is>
          <t>2025-05-29</t>
        </is>
      </c>
      <c r="B228" s="6" t="n">
        <v>56589</v>
      </c>
      <c r="C228" s="8">
        <f>(B228-B227)/B227</f>
        <v/>
      </c>
      <c r="D228" s="6" t="n">
        <v>1341.86</v>
      </c>
      <c r="E228" s="8">
        <f>(D228-D227)/D227</f>
        <v/>
      </c>
    </row>
    <row r="229">
      <c r="A229" s="6" t="inlineStr">
        <is>
          <t>2025-05-30</t>
        </is>
      </c>
      <c r="B229" s="6" t="n">
        <v>54676</v>
      </c>
      <c r="C229" s="8">
        <f>(B229-B228)/B228</f>
        <v/>
      </c>
      <c r="D229" s="6" t="n">
        <v>1332.6</v>
      </c>
      <c r="E229" s="8">
        <f>(D229-D228)/D228</f>
        <v/>
      </c>
    </row>
    <row r="230">
      <c r="A230" s="6" t="inlineStr">
        <is>
          <t>2025-06-02</t>
        </is>
      </c>
      <c r="B230" s="6" t="n">
        <v>55074</v>
      </c>
      <c r="C230" s="8">
        <f>(B230-B229)/B229</f>
        <v/>
      </c>
      <c r="D230" s="6" t="n">
        <v>1336.3</v>
      </c>
      <c r="E230" s="8">
        <f>(D230-D229)/D229</f>
        <v/>
      </c>
    </row>
    <row r="231">
      <c r="A231" s="6" t="inlineStr">
        <is>
          <t>2025-06-03</t>
        </is>
      </c>
      <c r="B231" s="6" t="n">
        <v>55234</v>
      </c>
      <c r="C231" s="8">
        <f>(B231-B230)/B230</f>
        <v/>
      </c>
      <c r="D231" s="6" t="n">
        <v>1347.25</v>
      </c>
      <c r="E231" s="8">
        <f>(D231-D230)/D230</f>
        <v/>
      </c>
    </row>
    <row r="232">
      <c r="A232" s="6" t="inlineStr">
        <is>
          <t>2025-06-04</t>
        </is>
      </c>
      <c r="B232" s="6" t="n">
        <v>54915</v>
      </c>
      <c r="C232" s="8">
        <f>(B232-B231)/B231</f>
        <v/>
      </c>
      <c r="D232" s="6" t="n">
        <v>1345.74</v>
      </c>
      <c r="E232" s="8">
        <f>(D232-D231)/D231</f>
        <v/>
      </c>
    </row>
    <row r="233">
      <c r="A233" s="6" t="inlineStr">
        <is>
          <t>2025-06-05</t>
        </is>
      </c>
      <c r="B233" s="6" t="n">
        <v>55393</v>
      </c>
      <c r="C233" s="8">
        <f>(B233-B232)/B232</f>
        <v/>
      </c>
      <c r="D233" s="6" t="n">
        <v>1342.09</v>
      </c>
      <c r="E233" s="8">
        <f>(D233-D232)/D232</f>
        <v/>
      </c>
    </row>
    <row r="234">
      <c r="A234" s="6" t="inlineStr">
        <is>
          <t>2025-06-06</t>
        </is>
      </c>
      <c r="B234" s="6" t="n">
        <v>53958</v>
      </c>
      <c r="C234" s="8">
        <f>(B234-B233)/B233</f>
        <v/>
      </c>
      <c r="D234" s="6" t="n">
        <v>1329.89</v>
      </c>
      <c r="E234" s="8">
        <f>(D234-D233)/D233</f>
        <v/>
      </c>
    </row>
    <row r="235">
      <c r="A235" s="6" t="inlineStr">
        <is>
          <t>2025-06-09</t>
        </is>
      </c>
      <c r="B235" s="6" t="n">
        <v>51408</v>
      </c>
      <c r="C235" s="8">
        <f>(B235-B234)/B234</f>
        <v/>
      </c>
      <c r="D235" s="6" t="n">
        <v>1310.57</v>
      </c>
      <c r="E235" s="8">
        <f>(D235-D234)/D234</f>
        <v/>
      </c>
    </row>
    <row r="236">
      <c r="A236" s="6" t="inlineStr">
        <is>
          <t>2025-06-10</t>
        </is>
      </c>
      <c r="B236" s="6" t="n">
        <v>51408</v>
      </c>
      <c r="C236" s="8">
        <f>(B236-B235)/B235</f>
        <v/>
      </c>
      <c r="D236" s="6" t="n">
        <v>1316.23</v>
      </c>
      <c r="E236" s="8">
        <f>(D236-D235)/D235</f>
        <v/>
      </c>
    </row>
    <row r="237">
      <c r="A237" s="6" t="inlineStr">
        <is>
          <t>2025-06-11</t>
        </is>
      </c>
      <c r="B237" s="6" t="n">
        <v>51249</v>
      </c>
      <c r="C237" s="8">
        <f>(B237-B236)/B236</f>
        <v/>
      </c>
      <c r="D237" s="6" t="n">
        <v>1315.2</v>
      </c>
      <c r="E237" s="8">
        <f>(D237-D236)/D236</f>
        <v/>
      </c>
    </row>
    <row r="238">
      <c r="A238" s="6" t="inlineStr">
        <is>
          <t>2025-06-12</t>
        </is>
      </c>
      <c r="B238" s="6" t="n">
        <v>51886</v>
      </c>
      <c r="C238" s="8">
        <f>(B238-B237)/B237</f>
        <v/>
      </c>
      <c r="D238" s="6" t="n">
        <v>1322.99</v>
      </c>
      <c r="E238" s="8">
        <f>(D238-D237)/D237</f>
        <v/>
      </c>
    </row>
    <row r="239">
      <c r="A239" s="6" t="inlineStr">
        <is>
          <t>2025-06-13</t>
        </is>
      </c>
      <c r="B239" s="6" t="n">
        <v>51328</v>
      </c>
      <c r="C239" s="8">
        <f>(B239-B238)/B238</f>
        <v/>
      </c>
      <c r="D239" s="6" t="n">
        <v>1315.49</v>
      </c>
      <c r="E239" s="8">
        <f>(D239-D238)/D238</f>
        <v/>
      </c>
    </row>
    <row r="240">
      <c r="A240" s="6" t="inlineStr">
        <is>
          <t>2025-06-16</t>
        </is>
      </c>
      <c r="B240" s="6" t="n">
        <v>51727</v>
      </c>
      <c r="C240" s="8">
        <f>(B240-B239)/B239</f>
        <v/>
      </c>
      <c r="D240" s="6" t="n">
        <v>1338.11</v>
      </c>
      <c r="E240" s="8">
        <f>(D240-D239)/D239</f>
        <v/>
      </c>
    </row>
    <row r="241">
      <c r="A241" s="6" t="inlineStr">
        <is>
          <t>2025-06-17</t>
        </is>
      </c>
      <c r="B241" s="6" t="n">
        <v>51806</v>
      </c>
      <c r="C241" s="8">
        <f>(B241-B240)/B240</f>
        <v/>
      </c>
      <c r="D241" s="6" t="n">
        <v>1347.69</v>
      </c>
      <c r="E241" s="8">
        <f>(D241-D240)/D240</f>
        <v/>
      </c>
    </row>
    <row r="242">
      <c r="A242" s="6" t="inlineStr">
        <is>
          <t>2025-06-18</t>
        </is>
      </c>
      <c r="B242" s="6" t="n">
        <v>51488</v>
      </c>
      <c r="C242" s="8">
        <f>(B242-B241)/B241</f>
        <v/>
      </c>
      <c r="D242" s="6" t="n">
        <v>1346.83</v>
      </c>
      <c r="E242" s="8">
        <f>(D242-D241)/D241</f>
        <v/>
      </c>
    </row>
    <row r="243">
      <c r="A243" s="6" t="inlineStr">
        <is>
          <t>2025-06-19</t>
        </is>
      </c>
      <c r="B243" s="6" t="n">
        <v>52205</v>
      </c>
      <c r="C243" s="8">
        <f>(B243-B242)/B242</f>
        <v/>
      </c>
      <c r="D243" s="6" t="n">
        <v>1352.04</v>
      </c>
      <c r="E243" s="8">
        <f>(D243-D242)/D242</f>
        <v/>
      </c>
    </row>
    <row r="244">
      <c r="A244" s="6" t="inlineStr">
        <is>
          <t>2025-06-20</t>
        </is>
      </c>
      <c r="B244" s="6" t="n">
        <v>50930</v>
      </c>
      <c r="C244" s="8">
        <f>(B244-B243)/B243</f>
        <v/>
      </c>
      <c r="D244" s="6" t="n">
        <v>1349.35</v>
      </c>
      <c r="E244" s="8">
        <f>(D244-D243)/D243</f>
        <v/>
      </c>
    </row>
    <row r="245">
      <c r="A245" s="6" t="inlineStr">
        <is>
          <t>2025-06-23</t>
        </is>
      </c>
      <c r="B245" s="6" t="n">
        <v>53400</v>
      </c>
      <c r="C245" s="8">
        <f>(B245-B244)/B244</f>
        <v/>
      </c>
      <c r="D245" s="6" t="n">
        <v>1358.18</v>
      </c>
      <c r="E245" s="8">
        <f>(D245-D244)/D244</f>
        <v/>
      </c>
    </row>
    <row r="246">
      <c r="A246" s="6" t="inlineStr">
        <is>
          <t>2025-06-24</t>
        </is>
      </c>
      <c r="B246" s="6" t="n">
        <v>53560</v>
      </c>
      <c r="C246" s="8">
        <f>(B246-B245)/B245</f>
        <v/>
      </c>
      <c r="D246" s="6" t="n">
        <v>1366.77</v>
      </c>
      <c r="E246" s="8">
        <f>(D246-D245)/D245</f>
        <v/>
      </c>
    </row>
    <row r="247">
      <c r="A247" s="6" t="inlineStr">
        <is>
          <t>2025-06-25</t>
        </is>
      </c>
      <c r="B247" s="6" t="n">
        <v>54277</v>
      </c>
      <c r="C247" s="8">
        <f>(B247-B246)/B246</f>
        <v/>
      </c>
      <c r="D247" s="6" t="n">
        <v>1366.75</v>
      </c>
      <c r="E247" s="8">
        <f>(D247-D246)/D246</f>
        <v/>
      </c>
    </row>
    <row r="248">
      <c r="A248" s="6" t="inlineStr">
        <is>
          <t>2025-06-26</t>
        </is>
      </c>
      <c r="B248" s="6" t="n">
        <v>54915</v>
      </c>
      <c r="C248" s="8">
        <f>(B248-B247)/B247</f>
        <v/>
      </c>
      <c r="D248" s="6" t="n">
        <v>1365.67</v>
      </c>
      <c r="E248" s="8">
        <f>(D248-D247)/D247</f>
        <v/>
      </c>
    </row>
    <row r="249">
      <c r="A249" s="6" t="inlineStr">
        <is>
          <t>2025-06-27</t>
        </is>
      </c>
      <c r="B249" s="6" t="n">
        <v>54357</v>
      </c>
      <c r="C249" s="8">
        <f>(B249-B248)/B248</f>
        <v/>
      </c>
      <c r="D249" s="6" t="n">
        <v>1371.44</v>
      </c>
      <c r="E249" s="8">
        <f>(D249-D248)/D248</f>
        <v/>
      </c>
    </row>
    <row r="250">
      <c r="A250" s="6" t="inlineStr">
        <is>
          <t>2025-06-30</t>
        </is>
      </c>
      <c r="B250" s="6" t="n">
        <v>54835</v>
      </c>
      <c r="C250" s="8">
        <f>(B250-B249)/B249</f>
        <v/>
      </c>
      <c r="D250" s="6" t="n">
        <v>1376.07</v>
      </c>
      <c r="E250" s="8">
        <f>(D250-D249)/D249</f>
        <v/>
      </c>
    </row>
    <row r="251">
      <c r="A251" s="6" t="inlineStr">
        <is>
          <t>2025-07-01</t>
        </is>
      </c>
      <c r="B251" s="6" t="n">
        <v>55074</v>
      </c>
      <c r="C251" s="8">
        <f>(B251-B250)/B250</f>
        <v/>
      </c>
      <c r="D251" s="6" t="n">
        <v>1377.84</v>
      </c>
      <c r="E251" s="8">
        <f>(D251-D250)/D250</f>
        <v/>
      </c>
    </row>
    <row r="252">
      <c r="A252" s="6" t="inlineStr">
        <is>
          <t>2025-07-02</t>
        </is>
      </c>
      <c r="B252" s="6" t="n">
        <v>58900</v>
      </c>
      <c r="C252" s="8">
        <f>(B252-B251)/B251</f>
        <v/>
      </c>
      <c r="D252" s="6" t="n">
        <v>1384.59</v>
      </c>
      <c r="E252" s="8">
        <f>(D252-D251)/D251</f>
        <v/>
      </c>
    </row>
    <row r="253">
      <c r="A253" s="6" t="inlineStr">
        <is>
          <t>2025-07-03</t>
        </is>
      </c>
      <c r="B253" s="6" t="n">
        <v>54915</v>
      </c>
      <c r="C253" s="8">
        <f>(B253-B252)/B252</f>
        <v/>
      </c>
      <c r="D253" s="6" t="n">
        <v>1381.96</v>
      </c>
      <c r="E253" s="8">
        <f>(D253-D252)/D252</f>
        <v/>
      </c>
    </row>
    <row r="254">
      <c r="A254" s="6" t="inlineStr">
        <is>
          <t>2025-07-04</t>
        </is>
      </c>
      <c r="B254" s="6" t="n">
        <v>54995</v>
      </c>
      <c r="C254" s="8">
        <f>(B254-B253)/B253</f>
        <v/>
      </c>
      <c r="D254" s="6" t="n">
        <v>1386.97</v>
      </c>
      <c r="E254" s="8">
        <f>(D254-D253)/D253</f>
        <v/>
      </c>
    </row>
    <row r="255">
      <c r="A255" s="6" t="inlineStr">
        <is>
          <t>2025-07-07</t>
        </is>
      </c>
      <c r="B255" s="6" t="n">
        <v>56270</v>
      </c>
      <c r="C255" s="8">
        <f>(B255-B254)/B254</f>
        <v/>
      </c>
      <c r="D255" s="6" t="n">
        <v>1402.06</v>
      </c>
      <c r="E255" s="8">
        <f>(D255-D254)/D254</f>
        <v/>
      </c>
    </row>
    <row r="256">
      <c r="A256" s="6" t="inlineStr">
        <is>
          <t>2025-07-08</t>
        </is>
      </c>
      <c r="B256" s="6" t="n">
        <v>57226</v>
      </c>
      <c r="C256" s="8">
        <f>(B256-B255)/B255</f>
        <v/>
      </c>
      <c r="D256" s="6" t="n">
        <v>1415.46</v>
      </c>
      <c r="E256" s="8">
        <f>(D256-D255)/D255</f>
        <v/>
      </c>
    </row>
    <row r="257">
      <c r="A257" s="6" t="inlineStr">
        <is>
          <t>2025-07-09</t>
        </is>
      </c>
      <c r="B257" s="6" t="n">
        <v>56509</v>
      </c>
      <c r="C257" s="8">
        <f>(B257-B256)/B256</f>
        <v/>
      </c>
      <c r="D257" s="6" t="n">
        <v>1431.32</v>
      </c>
      <c r="E257" s="8">
        <f>(D257-D256)/D256</f>
        <v/>
      </c>
    </row>
    <row r="258">
      <c r="A258" s="6" t="inlineStr">
        <is>
          <t>2025-07-10</t>
        </is>
      </c>
      <c r="B258" s="6" t="n">
        <v>56589</v>
      </c>
      <c r="C258" s="8">
        <f>(B258-B257)/B257</f>
        <v/>
      </c>
      <c r="D258" s="6" t="n">
        <v>1445.64</v>
      </c>
      <c r="E258" s="8">
        <f>(D258-D257)/D257</f>
        <v/>
      </c>
    </row>
    <row r="259">
      <c r="A259" s="6" t="inlineStr">
        <is>
          <t>2025-07-11</t>
        </is>
      </c>
      <c r="B259" s="6" t="n">
        <v>56365</v>
      </c>
      <c r="C259" s="8">
        <f>(B259-B258)/B258</f>
        <v/>
      </c>
      <c r="D259" s="6" t="n">
        <v>1457.76</v>
      </c>
      <c r="E259" s="8">
        <f>(D259-D258)/D258</f>
        <v/>
      </c>
    </row>
    <row r="260">
      <c r="A260" s="6" t="inlineStr">
        <is>
          <t>2025-07-14</t>
        </is>
      </c>
      <c r="B260" s="6" t="n">
        <v>57009</v>
      </c>
      <c r="C260" s="8">
        <f>(B260-B259)/B259</f>
        <v/>
      </c>
      <c r="D260" s="6" t="n">
        <v>1470.42</v>
      </c>
      <c r="E260" s="8">
        <f>(D260-D259)/D259</f>
        <v/>
      </c>
    </row>
    <row r="261">
      <c r="A261" s="6" t="inlineStr">
        <is>
          <t>2025-07-15</t>
        </is>
      </c>
      <c r="B261" s="6" t="n">
        <v>56642</v>
      </c>
      <c r="C261" s="8">
        <f>(B261-B260)/B260</f>
        <v/>
      </c>
      <c r="D261" s="6" t="n">
        <v>1460.65</v>
      </c>
      <c r="E261" s="8">
        <f>(D261-D260)/D260</f>
        <v/>
      </c>
    </row>
    <row r="262">
      <c r="A262" s="6" t="inlineStr">
        <is>
          <t>2025-07-16</t>
        </is>
      </c>
      <c r="B262" s="6" t="n">
        <v>56367</v>
      </c>
      <c r="C262" s="8">
        <f>(B262-B261)/B261</f>
        <v/>
      </c>
      <c r="D262" s="6" t="n">
        <v>1475.47</v>
      </c>
      <c r="E262" s="8">
        <f>(D262-D261)/D261</f>
        <v/>
      </c>
    </row>
    <row r="263">
      <c r="A263" s="6" t="inlineStr">
        <is>
          <t>2025-07-17</t>
        </is>
      </c>
      <c r="B263" s="6" t="n">
        <v>56642</v>
      </c>
      <c r="C263" s="8">
        <f>(B263-B262)/B262</f>
        <v/>
      </c>
      <c r="D263" s="6" t="n">
        <v>1490.01</v>
      </c>
      <c r="E263" s="8">
        <f>(D263-D262)/D262</f>
        <v/>
      </c>
    </row>
    <row r="264">
      <c r="A264" s="6" t="inlineStr">
        <is>
          <t>2025-07-18</t>
        </is>
      </c>
      <c r="B264" s="6" t="n">
        <v>56367</v>
      </c>
      <c r="C264" s="8">
        <f>(B264-B263)/B263</f>
        <v/>
      </c>
      <c r="D264" s="6" t="n">
        <v>1497.28</v>
      </c>
      <c r="E264" s="8">
        <f>(D264-D263)/D263</f>
        <v/>
      </c>
    </row>
    <row r="265">
      <c r="A265" s="6" t="inlineStr">
        <is>
          <t>2025-07-21</t>
        </is>
      </c>
      <c r="B265" s="6" t="n">
        <v>57375</v>
      </c>
      <c r="C265" s="8">
        <f>(B265-B264)/B264</f>
        <v/>
      </c>
      <c r="D265" s="6" t="n">
        <v>1485.05</v>
      </c>
      <c r="E265" s="8">
        <f>(D265-D264)/D264</f>
        <v/>
      </c>
    </row>
    <row r="266">
      <c r="A266" s="6" t="inlineStr">
        <is>
          <t>2025-07-22</t>
        </is>
      </c>
      <c r="B266" s="6" t="n">
        <v>57559</v>
      </c>
      <c r="C266" s="8">
        <f>(B266-B265)/B265</f>
        <v/>
      </c>
      <c r="D266" s="6" t="n">
        <v>1509.54</v>
      </c>
      <c r="E266" s="8">
        <f>(D266-D265)/D265</f>
        <v/>
      </c>
    </row>
    <row r="267">
      <c r="A267" s="6" t="inlineStr">
        <is>
          <t>2025-07-23</t>
        </is>
      </c>
      <c r="B267" s="6" t="n">
        <v>58658</v>
      </c>
      <c r="C267" s="8">
        <f>(B267-B266)/B266</f>
        <v/>
      </c>
      <c r="D267" s="6" t="n">
        <v>1512.31</v>
      </c>
      <c r="E267" s="8">
        <f>(D267-D266)/D266</f>
        <v/>
      </c>
    </row>
    <row r="268">
      <c r="A268" s="6" t="inlineStr">
        <is>
          <t>2025-07-24</t>
        </is>
      </c>
      <c r="B268" s="6" t="n">
        <v>62691</v>
      </c>
      <c r="C268" s="8">
        <f>(B268-B267)/B267</f>
        <v/>
      </c>
      <c r="D268" s="6" t="n">
        <v>1521.02</v>
      </c>
      <c r="E268" s="8">
        <f>(D268-D267)/D267</f>
        <v/>
      </c>
    </row>
    <row r="269">
      <c r="A269" s="6" t="inlineStr">
        <is>
          <t>2025-07-25</t>
        </is>
      </c>
      <c r="B269" s="6" t="n">
        <v>62050</v>
      </c>
      <c r="C269" s="8">
        <f>(B269-B268)/B268</f>
        <v/>
      </c>
      <c r="D269" s="6" t="n">
        <v>1531.13</v>
      </c>
      <c r="E269" s="8">
        <f>(D269-D268)/D268</f>
        <v/>
      </c>
    </row>
    <row r="270">
      <c r="A270" s="6" t="inlineStr">
        <is>
          <t>2025-07-28</t>
        </is>
      </c>
      <c r="B270" s="6" t="n">
        <v>61408</v>
      </c>
      <c r="C270" s="8">
        <f>(B270-B269)/B269</f>
        <v/>
      </c>
      <c r="D270" s="6" t="n">
        <v>1557.42</v>
      </c>
      <c r="E270" s="8">
        <f>(D270-D269)/D269</f>
        <v/>
      </c>
    </row>
    <row r="271">
      <c r="A271" s="6" t="inlineStr">
        <is>
          <t>2025-07-29</t>
        </is>
      </c>
      <c r="B271" s="6" t="n">
        <v>60400</v>
      </c>
      <c r="C271" s="8">
        <f>(B271-B270)/B270</f>
        <v/>
      </c>
      <c r="D271" s="6" t="n">
        <v>1493.41</v>
      </c>
      <c r="E271" s="8">
        <f>(D271-D270)/D270</f>
        <v/>
      </c>
    </row>
    <row r="272">
      <c r="A272" s="6" t="inlineStr">
        <is>
          <t>2025-07-30</t>
        </is>
      </c>
      <c r="B272" s="6" t="n">
        <v>59758</v>
      </c>
      <c r="C272" s="8">
        <f>(B272-B271)/B271</f>
        <v/>
      </c>
      <c r="D272" s="6" t="n">
        <v>1507.63</v>
      </c>
      <c r="E272" s="8">
        <f>(D272-D271)/D271</f>
        <v/>
      </c>
    </row>
    <row r="273">
      <c r="A273" s="6" t="inlineStr">
        <is>
          <t>2025-07-31</t>
        </is>
      </c>
      <c r="B273" s="6" t="n">
        <v>61683</v>
      </c>
      <c r="C273" s="8">
        <f>(B273-B272)/B272</f>
        <v/>
      </c>
      <c r="D273" s="6" t="n">
        <v>1502.52</v>
      </c>
      <c r="E273" s="8">
        <f>(D273-D272)/D272</f>
        <v/>
      </c>
    </row>
    <row r="274">
      <c r="A274" s="6" t="inlineStr">
        <is>
          <t>2025-08-01</t>
        </is>
      </c>
      <c r="B274" s="6" t="n">
        <v>59392</v>
      </c>
      <c r="C274" s="8">
        <f>(B274-B273)/B273</f>
        <v/>
      </c>
      <c r="D274" s="6" t="n">
        <v>1495.21</v>
      </c>
      <c r="E274" s="8">
        <f>(D274-D273)/D273</f>
        <v/>
      </c>
    </row>
    <row r="275">
      <c r="A275" s="6" t="inlineStr">
        <is>
          <t>2025-08-04</t>
        </is>
      </c>
      <c r="B275" s="6" t="n">
        <v>59208</v>
      </c>
      <c r="C275" s="8">
        <f>(B275-B274)/B274</f>
        <v/>
      </c>
      <c r="D275" s="6" t="n">
        <v>1528.19</v>
      </c>
      <c r="E275" s="8">
        <f>(D275-D274)/D274</f>
        <v/>
      </c>
    </row>
    <row r="276">
      <c r="A276" s="6" t="inlineStr">
        <is>
          <t>2025-08-05</t>
        </is>
      </c>
      <c r="B276" s="6" t="n">
        <v>58475</v>
      </c>
      <c r="C276" s="8">
        <f>(B276-B275)/B275</f>
        <v/>
      </c>
      <c r="D276" s="6" t="n">
        <v>1547.15</v>
      </c>
      <c r="E276" s="8">
        <f>(D276-D275)/D275</f>
        <v/>
      </c>
    </row>
    <row r="277">
      <c r="A277" s="6" t="inlineStr">
        <is>
          <t>2025-08-06</t>
        </is>
      </c>
      <c r="B277" s="6" t="n">
        <v>59025</v>
      </c>
      <c r="C277" s="8">
        <f>(B277-B276)/B276</f>
        <v/>
      </c>
      <c r="D277" s="6" t="n">
        <v>1573.71</v>
      </c>
      <c r="E277" s="8">
        <f>(D277-D276)/D276</f>
        <v/>
      </c>
    </row>
    <row r="278">
      <c r="A278" s="6" t="inlineStr">
        <is>
          <t>2025-08-07</t>
        </is>
      </c>
      <c r="B278" s="6" t="n">
        <v>60858</v>
      </c>
      <c r="C278" s="8">
        <f>(B278-B277)/B277</f>
        <v/>
      </c>
      <c r="D278" s="6" t="n">
        <v>1581.81</v>
      </c>
      <c r="E278" s="8">
        <f>(D278-D277)/D277</f>
        <v/>
      </c>
    </row>
    <row r="279">
      <c r="A279" s="6" t="inlineStr">
        <is>
          <t>2025-08-08</t>
        </is>
      </c>
      <c r="B279" s="6" t="n">
        <v>60217</v>
      </c>
      <c r="C279" s="8">
        <f>(B279-B278)/B278</f>
        <v/>
      </c>
      <c r="D279" s="6" t="n">
        <v>1584.95</v>
      </c>
      <c r="E279" s="8">
        <f>(D279-D278)/D278</f>
        <v/>
      </c>
    </row>
    <row r="280">
      <c r="A280" s="6" t="inlineStr">
        <is>
          <t>2025-08-11</t>
        </is>
      </c>
      <c r="B280" s="6" t="n">
        <v>61408</v>
      </c>
      <c r="C280" s="8">
        <f>(B280-B279)/B279</f>
        <v/>
      </c>
      <c r="D280" s="6" t="n">
        <v>1596.86</v>
      </c>
      <c r="E280" s="8">
        <f>(D280-D279)/D279</f>
        <v/>
      </c>
    </row>
    <row r="281">
      <c r="A281" s="6" t="inlineStr">
        <is>
          <t>2025-08-12</t>
        </is>
      </c>
      <c r="B281" s="6" t="n">
        <v>60950</v>
      </c>
      <c r="C281" s="8">
        <f>(B281-B280)/B280</f>
        <v/>
      </c>
      <c r="D281" s="6" t="n">
        <v>1608.22</v>
      </c>
      <c r="E281" s="8">
        <f>(D281-D280)/D280</f>
        <v/>
      </c>
    </row>
    <row r="282">
      <c r="A282" s="6" t="inlineStr">
        <is>
          <t>2025-08-13</t>
        </is>
      </c>
      <c r="B282" s="6" t="n">
        <v>61866</v>
      </c>
      <c r="C282" s="8">
        <f>(B282-B281)/B281</f>
        <v/>
      </c>
      <c r="D282" s="6" t="n">
        <v>1611.6</v>
      </c>
      <c r="E282" s="8">
        <f>(D282-D281)/D281</f>
        <v/>
      </c>
    </row>
    <row r="283">
      <c r="A283" s="6" t="inlineStr">
        <is>
          <t>2025-08-14</t>
        </is>
      </c>
      <c r="B283" s="6" t="n">
        <v>61133</v>
      </c>
      <c r="C283" s="8">
        <f>(B283-B282)/B282</f>
        <v/>
      </c>
      <c r="D283" s="6" t="n">
        <v>1640.69</v>
      </c>
      <c r="E283" s="8">
        <f>(D283-D282)/D282</f>
        <v/>
      </c>
    </row>
    <row r="284">
      <c r="A284" s="6" t="inlineStr">
        <is>
          <t>2025-08-15</t>
        </is>
      </c>
      <c r="B284" s="6" t="n">
        <v>59025</v>
      </c>
      <c r="C284" s="8">
        <f>(B284-B283)/B283</f>
        <v/>
      </c>
      <c r="D284" s="6" t="n">
        <v>1630</v>
      </c>
      <c r="E284" s="8">
        <f>(D284-D283)/D283</f>
        <v/>
      </c>
    </row>
    <row r="285">
      <c r="A285" s="6" t="inlineStr">
        <is>
          <t>2025-08-18</t>
        </is>
      </c>
      <c r="B285" s="6" t="n">
        <v>59025</v>
      </c>
      <c r="C285" s="8">
        <f>(B285-B284)/B284</f>
        <v/>
      </c>
      <c r="D285" s="6" t="n">
        <v>1636.37</v>
      </c>
      <c r="E285" s="8">
        <f>(D285-D284)/D284</f>
        <v/>
      </c>
    </row>
    <row r="286">
      <c r="A286" s="6" t="inlineStr">
        <is>
          <t>2025-08-19</t>
        </is>
      </c>
      <c r="B286" s="6" t="n">
        <v>59025</v>
      </c>
      <c r="C286" s="8">
        <f>(B286-B285)/B285</f>
        <v/>
      </c>
      <c r="D286" s="6" t="n">
        <v>1654.2</v>
      </c>
      <c r="E286" s="8">
        <f>(D286-D285)/D285</f>
        <v/>
      </c>
    </row>
    <row r="287">
      <c r="A287" s="6" t="inlineStr">
        <is>
          <t>2025-08-20</t>
        </is>
      </c>
      <c r="B287" s="6" t="n">
        <v>57650</v>
      </c>
      <c r="C287" s="8">
        <f>(B287-B286)/B286</f>
        <v/>
      </c>
      <c r="D287" s="6" t="n">
        <v>1664.36</v>
      </c>
      <c r="E287" s="8">
        <f>(D287-D286)/D286</f>
        <v/>
      </c>
    </row>
    <row r="288">
      <c r="A288" s="6" t="inlineStr">
        <is>
          <t>2025-08-21</t>
        </is>
      </c>
      <c r="B288" s="6" t="n">
        <v>57100</v>
      </c>
      <c r="C288" s="8">
        <f>(B288-B287)/B287</f>
        <v/>
      </c>
      <c r="D288" s="6" t="n">
        <v>1688</v>
      </c>
      <c r="E288" s="8">
        <f>(D288-D287)/D287</f>
        <v/>
      </c>
    </row>
    <row r="289">
      <c r="A289" s="6" t="inlineStr">
        <is>
          <t>2025-08-22</t>
        </is>
      </c>
      <c r="B289" s="6" t="n">
        <v>53801</v>
      </c>
      <c r="C289" s="8">
        <f>(B289-B288)/B288</f>
        <v/>
      </c>
      <c r="D289" s="6" t="n">
        <v>1645.47</v>
      </c>
      <c r="E289" s="8">
        <f>(D289-D288)/D288</f>
        <v/>
      </c>
    </row>
    <row r="290">
      <c r="A290" s="6" t="inlineStr">
        <is>
          <t>2025-08-25</t>
        </is>
      </c>
      <c r="B290" s="6" t="n">
        <v>52976</v>
      </c>
      <c r="C290" s="8">
        <f>(B290-B289)/B289</f>
        <v/>
      </c>
      <c r="D290" s="6" t="n">
        <v>1614.03</v>
      </c>
      <c r="E290" s="8">
        <f>(D290-D289)/D289</f>
        <v/>
      </c>
    </row>
    <row r="291">
      <c r="A291" s="6" t="inlineStr">
        <is>
          <t>2025-08-26</t>
        </is>
      </c>
      <c r="B291" s="6" t="n">
        <v>53709</v>
      </c>
      <c r="C291" s="8">
        <f>(B291-B290)/B290</f>
        <v/>
      </c>
      <c r="D291" s="6" t="n">
        <v>1667.63</v>
      </c>
      <c r="E291" s="8">
        <f>(D291-D290)/D290</f>
        <v/>
      </c>
    </row>
    <row r="292">
      <c r="A292" s="6" t="inlineStr">
        <is>
          <t>2025-08-27</t>
        </is>
      </c>
      <c r="B292" s="6" t="n">
        <v>54259</v>
      </c>
      <c r="C292" s="8">
        <f>(B292-B291)/B291</f>
        <v/>
      </c>
      <c r="D292" s="6" t="n">
        <v>1672.78</v>
      </c>
      <c r="E292" s="8">
        <f>(D292-D291)/D291</f>
        <v/>
      </c>
    </row>
    <row r="293">
      <c r="A293" s="6" t="inlineStr">
        <is>
          <t>2025-08-28</t>
        </is>
      </c>
      <c r="B293" s="6" t="n">
        <v>54717</v>
      </c>
      <c r="C293" s="8">
        <f>(B293-B292)/B292</f>
        <v/>
      </c>
      <c r="D293" s="6" t="n">
        <v>1680.86</v>
      </c>
      <c r="E293" s="8">
        <f>(D293-D292)/D292</f>
        <v/>
      </c>
    </row>
    <row r="294">
      <c r="A294" s="6" t="inlineStr">
        <is>
          <t>2025-08-29</t>
        </is>
      </c>
      <c r="B294" s="6" t="n">
        <v>53984</v>
      </c>
      <c r="C294" s="8">
        <f>(B294-B293)/B293</f>
        <v/>
      </c>
      <c r="D294" s="6" t="n">
        <v>1682.21</v>
      </c>
      <c r="E294" s="8">
        <f>(D294-D293)/D293</f>
        <v/>
      </c>
    </row>
    <row r="295">
      <c r="A295" s="6" t="inlineStr">
        <is>
          <t>2025-09-03</t>
        </is>
      </c>
      <c r="B295" s="6" t="n">
        <v>54717</v>
      </c>
      <c r="C295" s="8">
        <f>(B295-B294)/B294</f>
        <v/>
      </c>
      <c r="D295" s="6" t="n">
        <v>1681.3</v>
      </c>
      <c r="E295" s="8">
        <f>(D295-D294)/D294</f>
        <v/>
      </c>
    </row>
    <row r="296">
      <c r="A296" s="6" t="inlineStr">
        <is>
          <t>2025-09-04</t>
        </is>
      </c>
      <c r="B296" s="6" t="n">
        <v>55726</v>
      </c>
      <c r="C296" s="8">
        <f>(B296-B295)/B295</f>
        <v/>
      </c>
      <c r="D296" s="6" t="n">
        <v>1696.29</v>
      </c>
      <c r="E296" s="8">
        <f>(D296-D295)/D295</f>
        <v/>
      </c>
    </row>
    <row r="297">
      <c r="A297" s="6" t="inlineStr">
        <is>
          <t>2025-09-05</t>
        </is>
      </c>
      <c r="B297" s="6" t="n">
        <v>56001</v>
      </c>
      <c r="C297" s="8">
        <f>(B297-B296)/B296</f>
        <v/>
      </c>
      <c r="D297" s="6" t="n">
        <v>1666.97</v>
      </c>
      <c r="E297" s="8">
        <f>(D297-D296)/D296</f>
        <v/>
      </c>
    </row>
    <row r="298">
      <c r="A298" s="6" t="inlineStr">
        <is>
          <t>2025-09-08</t>
        </is>
      </c>
      <c r="B298" s="6" t="n">
        <v>54534</v>
      </c>
      <c r="C298" s="8">
        <f>(B298-B297)/B297</f>
        <v/>
      </c>
      <c r="D298" s="6" t="n">
        <v>1624.53</v>
      </c>
      <c r="E298" s="8">
        <f>(D298-D297)/D297</f>
        <v/>
      </c>
    </row>
    <row r="299">
      <c r="A299" s="6" t="inlineStr">
        <is>
          <t>2025-09-09</t>
        </is>
      </c>
      <c r="B299" s="6" t="n">
        <v>53801</v>
      </c>
      <c r="C299" s="8">
        <f>(B299-B298)/B298</f>
        <v/>
      </c>
      <c r="D299" s="6" t="n">
        <v>1637.32</v>
      </c>
      <c r="E299" s="8">
        <f>(D299-D298)/D298</f>
        <v/>
      </c>
    </row>
    <row r="300">
      <c r="A300" s="6" t="inlineStr">
        <is>
          <t>2025-09-10</t>
        </is>
      </c>
      <c r="B300" s="6" t="n">
        <v>53159</v>
      </c>
      <c r="C300" s="8">
        <f>(B300-B299)/B299</f>
        <v/>
      </c>
      <c r="D300" s="6" t="n">
        <v>1643.26</v>
      </c>
      <c r="E300" s="8">
        <f>(D300-D299)/D299</f>
        <v/>
      </c>
    </row>
    <row r="301">
      <c r="A301" s="6" t="inlineStr">
        <is>
          <t>2025-09-11</t>
        </is>
      </c>
      <c r="B301" s="6" t="n">
        <v>53343</v>
      </c>
      <c r="C301" s="8">
        <f>(B301-B300)/B300</f>
        <v/>
      </c>
      <c r="D301" s="6" t="n">
        <v>1657.75</v>
      </c>
      <c r="E301" s="8">
        <f>(D301-D300)/D300</f>
        <v/>
      </c>
    </row>
    <row r="302">
      <c r="A302" s="6" t="inlineStr">
        <is>
          <t>2025-09-12</t>
        </is>
      </c>
      <c r="B302" s="6" t="n">
        <v>54259</v>
      </c>
      <c r="C302" s="8">
        <f>(B302-B301)/B301</f>
        <v/>
      </c>
      <c r="D302" s="6" t="n">
        <v>1667.26</v>
      </c>
      <c r="E302" s="8">
        <f>(D302-D301)/D301</f>
        <v/>
      </c>
    </row>
    <row r="303">
      <c r="A303" s="6" t="inlineStr">
        <is>
          <t>2025-09-15</t>
        </is>
      </c>
      <c r="B303" s="6" t="n">
        <v>55909</v>
      </c>
      <c r="C303" s="8">
        <f>(B303-B302)/B302</f>
        <v/>
      </c>
      <c r="D303" s="6" t="n">
        <v>1684.9</v>
      </c>
      <c r="E303" s="8">
        <f>(D303-D302)/D302</f>
        <v/>
      </c>
    </row>
    <row r="304">
      <c r="A304" s="6" t="inlineStr">
        <is>
          <t>2025-09-16</t>
        </is>
      </c>
      <c r="B304" s="6" t="n">
        <v>55176</v>
      </c>
      <c r="C304" s="8">
        <f>(B304-B303)/B303</f>
        <v/>
      </c>
      <c r="D304" s="6" t="n">
        <v>1680.9</v>
      </c>
      <c r="E304" s="8">
        <f>(D304-D303)/D303</f>
        <v/>
      </c>
    </row>
    <row r="305">
      <c r="A305" s="6" t="inlineStr">
        <is>
          <t>2025-09-17</t>
        </is>
      </c>
      <c r="B305" s="6" t="n">
        <v>53801</v>
      </c>
      <c r="C305" s="8">
        <f>(B305-B304)/B304</f>
        <v/>
      </c>
      <c r="D305" s="6" t="n">
        <v>1670.97</v>
      </c>
      <c r="E305" s="8">
        <f>(D305-D304)/D304</f>
        <v/>
      </c>
    </row>
    <row r="306">
      <c r="A306" s="6" t="inlineStr">
        <is>
          <t>2025-09-18</t>
        </is>
      </c>
      <c r="B306" s="6" t="n">
        <v>53801</v>
      </c>
      <c r="C306" s="8">
        <f>(B306-B305)/B305</f>
        <v/>
      </c>
      <c r="D306" s="6" t="n">
        <v>1665.18</v>
      </c>
      <c r="E306" s="8">
        <f>(D306-D305)/D305</f>
        <v/>
      </c>
    </row>
    <row r="307">
      <c r="A307" s="6" t="inlineStr">
        <is>
          <t>2025-09-19</t>
        </is>
      </c>
      <c r="B307" s="6" t="n">
        <v>52701</v>
      </c>
      <c r="C307" s="8">
        <f>(B307-B306)/B306</f>
        <v/>
      </c>
      <c r="D307" s="6" t="n">
        <v>1658.62</v>
      </c>
      <c r="E307" s="8">
        <f>(D307-D306)/D306</f>
        <v/>
      </c>
    </row>
    <row r="308">
      <c r="A308" s="6" t="inlineStr">
        <is>
          <t>2025-09-22</t>
        </is>
      </c>
      <c r="B308" s="6" t="n">
        <v>52793</v>
      </c>
      <c r="C308" s="8">
        <f>(B308-B307)/B307</f>
        <v/>
      </c>
      <c r="D308" s="6" t="n">
        <v>1634.45</v>
      </c>
      <c r="E308" s="8">
        <f>(D308-D307)/D307</f>
        <v/>
      </c>
    </row>
    <row r="309">
      <c r="A309" s="6" t="inlineStr">
        <is>
          <t>2025-09-23</t>
        </is>
      </c>
      <c r="B309" s="6" t="n">
        <v>52793</v>
      </c>
      <c r="C309" s="8">
        <f>(B309-B308)/B308</f>
        <v/>
      </c>
      <c r="D309" s="6" t="n">
        <v>1635.26</v>
      </c>
      <c r="E309" s="8">
        <f>(D309-D308)/D308</f>
        <v/>
      </c>
    </row>
    <row r="310">
      <c r="A310" s="6" t="inlineStr">
        <is>
          <t>2025-09-24</t>
        </is>
      </c>
      <c r="B310" s="6" t="n">
        <v>52518</v>
      </c>
      <c r="C310" s="8">
        <f>(B310-B309)/B309</f>
        <v/>
      </c>
      <c r="D310" s="6" t="n">
        <v>1657.46</v>
      </c>
      <c r="E310" s="8">
        <f>(D310-D309)/D309</f>
        <v/>
      </c>
    </row>
    <row r="311">
      <c r="A311" s="6" t="inlineStr">
        <is>
          <t>2025-09-25</t>
        </is>
      </c>
      <c r="B311" s="6" t="n">
        <v>52884</v>
      </c>
      <c r="C311" s="8">
        <f>(B311-B310)/B310</f>
        <v/>
      </c>
      <c r="D311" s="6" t="n">
        <v>1666.09</v>
      </c>
      <c r="E311" s="8">
        <f>(D311-D310)/D310</f>
        <v/>
      </c>
    </row>
    <row r="312">
      <c r="A312" s="6" t="inlineStr">
        <is>
          <t>2025-09-26</t>
        </is>
      </c>
      <c r="B312" s="6" t="n">
        <v>52701</v>
      </c>
      <c r="C312" s="8">
        <f>(B312-B311)/B311</f>
        <v/>
      </c>
      <c r="D312" s="6" t="n">
        <v>1660.7</v>
      </c>
      <c r="E312" s="8">
        <f>(D312-D311)/D311</f>
        <v/>
      </c>
    </row>
    <row r="313">
      <c r="A313" s="6" t="inlineStr">
        <is>
          <t>2025-09-29</t>
        </is>
      </c>
      <c r="B313" s="6" t="n">
        <v>51326</v>
      </c>
      <c r="C313" s="8">
        <f>(B313-B312)/B312</f>
        <v/>
      </c>
      <c r="D313" s="6" t="n">
        <v>1666.48</v>
      </c>
      <c r="E313" s="8">
        <f>(D313-D312)/D312</f>
        <v/>
      </c>
    </row>
    <row r="314">
      <c r="A314" s="6" t="inlineStr">
        <is>
          <t>2025-09-30</t>
        </is>
      </c>
      <c r="B314" s="6" t="n">
        <v>50593</v>
      </c>
      <c r="C314" s="8">
        <f>(B314-B313)/B313</f>
        <v/>
      </c>
      <c r="D314" s="6" t="n">
        <v>1661.7</v>
      </c>
      <c r="E314" s="8">
        <f>(D314-D313)/D313</f>
        <v/>
      </c>
    </row>
    <row r="315">
      <c r="A315" s="6" t="inlineStr">
        <is>
          <t>2025-10-01</t>
        </is>
      </c>
      <c r="B315" s="6" t="n">
        <v>50868</v>
      </c>
      <c r="C315" s="8">
        <f>(B315-B314)/B314</f>
        <v/>
      </c>
      <c r="D315" s="6" t="n">
        <v>1665.05</v>
      </c>
      <c r="E315" s="8">
        <f>(D315-D314)/D314</f>
        <v/>
      </c>
    </row>
    <row r="316">
      <c r="A316" s="6" t="inlineStr">
        <is>
          <t>2025-10-02</t>
        </is>
      </c>
      <c r="B316" s="6" t="n">
        <v>50226</v>
      </c>
      <c r="C316" s="8">
        <f>(B316-B315)/B315</f>
        <v/>
      </c>
      <c r="D316" s="6" t="n">
        <v>1652.71</v>
      </c>
      <c r="E316" s="8">
        <f>(D316-D315)/D315</f>
        <v/>
      </c>
    </row>
    <row r="317">
      <c r="A317" s="6" t="inlineStr">
        <is>
          <t>2025-10-03</t>
        </is>
      </c>
      <c r="B317" s="6" t="n">
        <v>49401</v>
      </c>
      <c r="C317" s="8">
        <f>(B317-B316)/B316</f>
        <v/>
      </c>
      <c r="D317" s="6" t="n">
        <v>1645.82</v>
      </c>
      <c r="E317" s="8">
        <f>(D317-D316)/D316</f>
        <v/>
      </c>
    </row>
    <row r="318">
      <c r="A318" s="6" t="inlineStr">
        <is>
          <t>2025-10-06</t>
        </is>
      </c>
      <c r="B318" s="6" t="n">
        <v>51143</v>
      </c>
      <c r="C318" s="8">
        <f>(B318-B317)/B317</f>
        <v/>
      </c>
      <c r="D318" s="6" t="n">
        <v>1695.5</v>
      </c>
      <c r="E318" s="8">
        <f>(D318-D317)/D317</f>
        <v/>
      </c>
    </row>
    <row r="319">
      <c r="A319" s="6" t="inlineStr">
        <is>
          <t>2025-10-07</t>
        </is>
      </c>
      <c r="B319" s="6" t="n">
        <v>50318</v>
      </c>
      <c r="C319" s="8">
        <f>(B319-B318)/B318</f>
        <v/>
      </c>
      <c r="D319" s="6" t="n">
        <v>1685.3</v>
      </c>
      <c r="E319" s="8">
        <f>(D319-D318)/D318</f>
        <v/>
      </c>
    </row>
    <row r="320">
      <c r="A320" s="6" t="inlineStr">
        <is>
          <t>2025-10-08</t>
        </is>
      </c>
      <c r="B320" s="6" t="n">
        <v>50318</v>
      </c>
      <c r="C320" s="8">
        <f>(B320-B319)/B319</f>
        <v/>
      </c>
      <c r="D320" s="6" t="n">
        <v>1697.83</v>
      </c>
      <c r="E320" s="8">
        <f>(D320-D319)/D319</f>
        <v/>
      </c>
    </row>
    <row r="321">
      <c r="A321" s="6" t="inlineStr">
        <is>
          <t>2025-10-09</t>
        </is>
      </c>
      <c r="B321" s="6" t="n">
        <v>50868</v>
      </c>
      <c r="C321" s="8">
        <f>(B321-B320)/B320</f>
        <v/>
      </c>
      <c r="D321" s="6" t="n">
        <v>1716.47</v>
      </c>
      <c r="E321" s="8">
        <f>(D321-D320)/D320</f>
        <v/>
      </c>
    </row>
    <row r="322">
      <c r="A322" s="6" t="inlineStr">
        <is>
          <t>2025-10-10</t>
        </is>
      </c>
      <c r="B322" s="6" t="n">
        <v>50868</v>
      </c>
      <c r="C322" s="8">
        <f>(B322-B321)/B321</f>
        <v/>
      </c>
      <c r="D322" s="6" t="n">
        <v>1747.55</v>
      </c>
      <c r="E322" s="8">
        <f>(D322-D321)/D321</f>
        <v/>
      </c>
    </row>
    <row r="323">
      <c r="A323" s="6" t="inlineStr">
        <is>
          <t>2025-10-13</t>
        </is>
      </c>
      <c r="B323" s="6" t="n">
        <v>50685</v>
      </c>
      <c r="C323" s="8">
        <f>(B323-B322)/B322</f>
        <v/>
      </c>
      <c r="D323" s="6" t="n">
        <v>1765.12</v>
      </c>
      <c r="E323" s="8">
        <f>(D323-D322)/D322</f>
        <v/>
      </c>
    </row>
    <row r="324">
      <c r="A324" s="6" t="inlineStr">
        <is>
          <t>2025-10-14</t>
        </is>
      </c>
      <c r="B324" s="6" t="n">
        <v>50501</v>
      </c>
      <c r="C324" s="8">
        <f>(B324-B323)/B323</f>
        <v/>
      </c>
      <c r="D324" s="6" t="n">
        <v>1761.06</v>
      </c>
      <c r="E324" s="8">
        <f>(D324-D323)/D323</f>
        <v/>
      </c>
    </row>
    <row r="325">
      <c r="A325" s="6" t="inlineStr">
        <is>
          <t>2025-10-15</t>
        </is>
      </c>
      <c r="B325" s="6" t="n">
        <v>49493</v>
      </c>
      <c r="C325" s="8">
        <f>(B325-B324)/B324</f>
        <v/>
      </c>
      <c r="D325" s="6" t="n">
        <v>1757.95</v>
      </c>
      <c r="E325" s="8">
        <f>(D325-D324)/D324</f>
        <v/>
      </c>
    </row>
    <row r="326">
      <c r="A326" s="6" t="inlineStr">
        <is>
          <t>2025-10-16</t>
        </is>
      </c>
      <c r="B326" s="6" t="n">
        <v>49493</v>
      </c>
      <c r="C326" s="8">
        <f>(B326-B325)/B325</f>
        <v/>
      </c>
      <c r="D326" s="6" t="n">
        <v>1766.85</v>
      </c>
      <c r="E326" s="8">
        <f>(D326-D325)/D325</f>
        <v/>
      </c>
    </row>
    <row r="327">
      <c r="A327" s="6" t="inlineStr">
        <is>
          <t>2025-10-17</t>
        </is>
      </c>
      <c r="B327" s="6" t="n">
        <v>49126</v>
      </c>
      <c r="C327" s="8">
        <f>(B327-B326)/B326</f>
        <v/>
      </c>
      <c r="D327" s="6" t="n">
        <v>1731.19</v>
      </c>
      <c r="E327" s="8">
        <f>(D327-D326)/D326</f>
        <v/>
      </c>
    </row>
    <row r="328">
      <c r="A328" s="6" t="inlineStr">
        <is>
          <t>2025-10-20</t>
        </is>
      </c>
      <c r="B328" s="6" t="n">
        <v>45827</v>
      </c>
      <c r="C328" s="8">
        <f>(B328-B327)/B327</f>
        <v/>
      </c>
      <c r="D328" s="6" t="n">
        <v>1636.43</v>
      </c>
      <c r="E328" s="8">
        <f>(D328-D327)/D327</f>
        <v/>
      </c>
    </row>
    <row r="329">
      <c r="A329" s="6" t="inlineStr">
        <is>
          <t>2025-10-21</t>
        </is>
      </c>
      <c r="B329" s="6" t="n">
        <v>47202</v>
      </c>
      <c r="C329" s="8">
        <f>(B329-B328)/B328</f>
        <v/>
      </c>
      <c r="D329" s="6" t="n">
        <v>1663.43</v>
      </c>
      <c r="E329" s="8">
        <f>(D329-D328)/D328</f>
        <v/>
      </c>
    </row>
    <row r="330">
      <c r="A330" s="6" t="inlineStr">
        <is>
          <t>2025-10-22</t>
        </is>
      </c>
      <c r="B330" s="6" t="n">
        <v>48027</v>
      </c>
      <c r="C330" s="8">
        <f>(B330-B329)/B329</f>
        <v/>
      </c>
      <c r="D330" s="6" t="n">
        <v>1678.5</v>
      </c>
      <c r="E330" s="8">
        <f>(D330-D329)/D329</f>
        <v/>
      </c>
    </row>
    <row r="331">
      <c r="A331" s="6" t="inlineStr">
        <is>
          <t>2025-10-23</t>
        </is>
      </c>
      <c r="B331" s="6" t="n">
        <v>48943</v>
      </c>
      <c r="C331" s="8">
        <f>(B331-B330)/B330</f>
        <v/>
      </c>
      <c r="D331" s="6" t="n">
        <v>1687.06</v>
      </c>
      <c r="E331" s="8">
        <f>(D331-D330)/D330</f>
        <v/>
      </c>
    </row>
    <row r="332">
      <c r="A332" s="6" t="inlineStr">
        <is>
          <t>2025-10-24</t>
        </is>
      </c>
      <c r="B332" s="6" t="n">
        <v>48852</v>
      </c>
      <c r="C332" s="8">
        <f>(B332-B331)/B331</f>
        <v/>
      </c>
      <c r="D332" s="6" t="n">
        <v>1683.18</v>
      </c>
      <c r="E332" s="8">
        <f>(D332-D331)/D331</f>
        <v/>
      </c>
    </row>
    <row r="333">
      <c r="A333" s="6" t="inlineStr">
        <is>
          <t>2025-10-27</t>
        </is>
      </c>
      <c r="B333" s="6" t="n">
        <v>49951</v>
      </c>
      <c r="C333" s="8">
        <f>(B333-B332)/B332</f>
        <v/>
      </c>
      <c r="D333" s="6" t="n">
        <v>1652.54</v>
      </c>
      <c r="E333" s="8">
        <f>(D333-D332)/D332</f>
        <v/>
      </c>
    </row>
    <row r="334">
      <c r="A334" s="6" t="inlineStr">
        <is>
          <t>2025-10-28</t>
        </is>
      </c>
      <c r="B334" s="6" t="n">
        <v>50410</v>
      </c>
      <c r="C334" s="8">
        <f>(B334-B333)/B333</f>
        <v/>
      </c>
      <c r="D334" s="6" t="n">
        <v>1680.5</v>
      </c>
      <c r="E334" s="8">
        <f>(D334-D333)/D333</f>
        <v/>
      </c>
    </row>
    <row r="335">
      <c r="A335" s="6" t="inlineStr">
        <is>
          <t>2025-10-29</t>
        </is>
      </c>
      <c r="B335" s="6" t="n">
        <v>51876</v>
      </c>
      <c r="C335" s="8">
        <f>(B335-B334)/B334</f>
        <v/>
      </c>
      <c r="D335" s="6" t="n">
        <v>1685.83</v>
      </c>
      <c r="E335" s="8">
        <f>(D335-D334)/D334</f>
        <v/>
      </c>
    </row>
    <row r="336">
      <c r="A336" s="6" t="inlineStr">
        <is>
          <t>2025-10-30</t>
        </is>
      </c>
      <c r="B336" s="6" t="n">
        <v>51601</v>
      </c>
      <c r="C336" s="8">
        <f>(B336-B335)/B335</f>
        <v/>
      </c>
      <c r="D336" s="6" t="n">
        <v>1669.57</v>
      </c>
      <c r="E336" s="8">
        <f>(D336-D335)/D335</f>
        <v/>
      </c>
    </row>
    <row r="337">
      <c r="A337" s="6" t="inlineStr">
        <is>
          <t>2025-10-31</t>
        </is>
      </c>
      <c r="B337" s="6" t="n">
        <v>51601</v>
      </c>
      <c r="C337" s="8">
        <f>(B337-B336)/B336</f>
        <v/>
      </c>
      <c r="D337" s="6" t="n">
        <v>1639.65</v>
      </c>
      <c r="E337" s="8">
        <f>(D337-D336)/D336</f>
        <v/>
      </c>
    </row>
    <row r="338">
      <c r="A338" s="6" t="inlineStr">
        <is>
          <t>2025-11-03</t>
        </is>
      </c>
      <c r="B338" s="6" t="n">
        <v>51784</v>
      </c>
      <c r="C338" s="8">
        <f>(B338-B337)/B337</f>
        <v/>
      </c>
      <c r="D338" s="6" t="n">
        <v>1617</v>
      </c>
      <c r="E338" s="8">
        <f>(D338-D337)/D337</f>
        <v/>
      </c>
    </row>
    <row r="339">
      <c r="A339" s="6" t="inlineStr">
        <is>
          <t>2025-11-04</t>
        </is>
      </c>
      <c r="B339" s="6" t="n">
        <v>51326</v>
      </c>
      <c r="C339" s="8">
        <f>(B339-B338)/B338</f>
        <v/>
      </c>
      <c r="D339" s="6" t="n">
        <v>1651.98</v>
      </c>
      <c r="E339" s="8">
        <f>(D339-D338)/D338</f>
        <v/>
      </c>
    </row>
    <row r="340">
      <c r="A340" s="6" t="inlineStr">
        <is>
          <t>2025-11-05</t>
        </is>
      </c>
      <c r="B340" s="6" t="n">
        <v>51235</v>
      </c>
      <c r="C340" s="8">
        <f>(B340-B339)/B339</f>
        <v/>
      </c>
      <c r="D340" s="6" t="n">
        <v>1654.89</v>
      </c>
      <c r="E340" s="8">
        <f>(D340-D339)/D339</f>
        <v/>
      </c>
    </row>
    <row r="341">
      <c r="A341" s="6" t="inlineStr">
        <is>
          <t>2025-11-06</t>
        </is>
      </c>
      <c r="B341" s="6" t="n">
        <v>51784</v>
      </c>
      <c r="C341" s="8">
        <f>(B341-B340)/B340</f>
        <v/>
      </c>
      <c r="D341" s="6" t="n">
        <v>1642.64</v>
      </c>
      <c r="E341" s="8">
        <f>(D341-D340)/D340</f>
        <v/>
      </c>
    </row>
    <row r="342">
      <c r="A342" s="6" t="inlineStr">
        <is>
          <t>2025-11-07</t>
        </is>
      </c>
      <c r="B342" s="6" t="n">
        <v>50410</v>
      </c>
      <c r="C342" s="8">
        <f>(B342-B341)/B341</f>
        <v/>
      </c>
      <c r="D342" s="6" t="n">
        <v>1599.1</v>
      </c>
      <c r="E342" s="8">
        <f>(D342-D341)/D341</f>
        <v/>
      </c>
    </row>
    <row r="343">
      <c r="A343" s="6" t="inlineStr">
        <is>
          <t>2025-11-10</t>
        </is>
      </c>
      <c r="B343" s="6" t="n">
        <v>50410</v>
      </c>
      <c r="C343" s="8">
        <f>(B343-B342)/B342</f>
        <v/>
      </c>
      <c r="D343" s="6" t="n">
        <v>1580.54</v>
      </c>
      <c r="E343" s="8">
        <f>(D343-D342)/D342</f>
        <v/>
      </c>
    </row>
    <row r="344">
      <c r="A344" s="6" t="inlineStr">
        <is>
          <t>2025-11-11</t>
        </is>
      </c>
      <c r="B344" s="6" t="n">
        <v>49768</v>
      </c>
      <c r="C344" s="8">
        <f>(B344-B343)/B343</f>
        <v/>
      </c>
      <c r="D344" s="6" t="n">
        <v>1593.61</v>
      </c>
      <c r="E344" s="8">
        <f>(D344-D343)/D343</f>
        <v/>
      </c>
    </row>
    <row r="345">
      <c r="A345" s="6" t="inlineStr">
        <is>
          <t>2025-11-12</t>
        </is>
      </c>
      <c r="B345" s="6" t="n">
        <v>50776</v>
      </c>
      <c r="C345" s="8">
        <f>(B345-B344)/B344</f>
        <v/>
      </c>
      <c r="D345" s="6" t="n">
        <v>1631.86</v>
      </c>
      <c r="E345" s="8">
        <f>(D345-D344)/D344</f>
        <v/>
      </c>
    </row>
    <row r="346">
      <c r="A346" s="6" t="inlineStr">
        <is>
          <t>2025-11-13</t>
        </is>
      </c>
      <c r="B346" s="6" t="n">
        <v>53159</v>
      </c>
      <c r="C346" s="8">
        <f>(B346-B345)/B345</f>
        <v/>
      </c>
      <c r="D346" s="6" t="n">
        <v>1631.44</v>
      </c>
      <c r="E346" s="8">
        <f>(D346-D345)/D345</f>
        <v/>
      </c>
    </row>
    <row r="347">
      <c r="A347" s="6" t="inlineStr">
        <is>
          <t>2025-11-14</t>
        </is>
      </c>
      <c r="B347" s="6" t="n">
        <v>54076</v>
      </c>
      <c r="C347" s="8">
        <f>(B347-B346)/B346</f>
        <v/>
      </c>
      <c r="D347" s="6" t="n">
        <v>1635.46</v>
      </c>
      <c r="E347" s="8">
        <f>(D347-D346)/D346</f>
        <v/>
      </c>
    </row>
    <row r="348">
      <c r="A348" s="6" t="inlineStr">
        <is>
          <t>2025-11-17</t>
        </is>
      </c>
      <c r="B348" s="6" t="n">
        <v>55451</v>
      </c>
      <c r="C348" s="8">
        <f>(B348-B347)/B347</f>
        <v/>
      </c>
      <c r="D348" s="6" t="n">
        <v>1654.42</v>
      </c>
      <c r="E348" s="8">
        <f>(D348-D347)/D347</f>
        <v/>
      </c>
    </row>
    <row r="349">
      <c r="A349" s="6" t="inlineStr">
        <is>
          <t>2025-11-18</t>
        </is>
      </c>
      <c r="B349" s="6" t="n">
        <v>54717</v>
      </c>
      <c r="C349" s="8">
        <f>(B349-B348)/B348</f>
        <v/>
      </c>
      <c r="D349" s="6" t="n">
        <v>1659.92</v>
      </c>
      <c r="E349" s="8">
        <f>(D349-D348)/D348</f>
        <v/>
      </c>
    </row>
    <row r="350">
      <c r="A350" s="6" t="inlineStr">
        <is>
          <t>2025-11-19</t>
        </is>
      </c>
      <c r="B350" s="6" t="n">
        <v>53881</v>
      </c>
      <c r="C350" s="8">
        <f>(B350-B349)/B349</f>
        <v/>
      </c>
      <c r="D350" s="6" t="n">
        <v>1649</v>
      </c>
      <c r="E350" s="8">
        <f>(D350-D349)/D349</f>
        <v/>
      </c>
    </row>
    <row r="351">
      <c r="A351" s="6" t="inlineStr">
        <is>
          <t>2025-11-20</t>
        </is>
      </c>
      <c r="B351" s="6" t="n">
        <v>54068</v>
      </c>
      <c r="C351" s="8">
        <f>(B351-B350)/B350</f>
        <v/>
      </c>
      <c r="D351" s="6" t="n">
        <v>1655.99</v>
      </c>
      <c r="E351" s="8">
        <f>(D351-D350)/D350</f>
        <v/>
      </c>
    </row>
    <row r="352">
      <c r="A352" s="6" t="inlineStr">
        <is>
          <t>2025-11-21</t>
        </is>
      </c>
      <c r="B352" s="6" t="n">
        <v>53788</v>
      </c>
      <c r="C352" s="8">
        <f>(B352-B351)/B351</f>
        <v/>
      </c>
      <c r="D352" s="6" t="n">
        <v>1654.93</v>
      </c>
      <c r="E352" s="8">
        <f>(D352-D351)/D351</f>
        <v/>
      </c>
    </row>
    <row r="353">
      <c r="A353" s="6" t="inlineStr">
        <is>
          <t>2025-11-24</t>
        </is>
      </c>
      <c r="B353" s="6" t="n">
        <v>53135</v>
      </c>
      <c r="C353" s="8">
        <f>(B353-B352)/B352</f>
        <v/>
      </c>
      <c r="D353" s="6" t="n">
        <v>1667.98</v>
      </c>
      <c r="E353" s="8">
        <f>(D353-D352)/D352</f>
        <v/>
      </c>
    </row>
    <row r="354">
      <c r="A354" s="6" t="inlineStr">
        <is>
          <t>2025-11-25</t>
        </is>
      </c>
      <c r="B354" s="6" t="n">
        <v>53135</v>
      </c>
      <c r="C354" s="8">
        <f>(B354-B353)/B353</f>
        <v/>
      </c>
      <c r="D354" s="6" t="n">
        <v>1660.36</v>
      </c>
      <c r="E354" s="8">
        <f>(D354-D353)/D353</f>
        <v/>
      </c>
    </row>
    <row r="355">
      <c r="A355" s="6" t="inlineStr">
        <is>
          <t>2025-11-26</t>
        </is>
      </c>
      <c r="B355" s="6" t="n">
        <v>53788</v>
      </c>
      <c r="C355" s="8">
        <f>(B355-B354)/B354</f>
        <v/>
      </c>
      <c r="D355" s="6" t="n">
        <v>1680.36</v>
      </c>
      <c r="E355" s="8">
        <f>(D355-D354)/D354</f>
        <v/>
      </c>
    </row>
    <row r="356">
      <c r="A356" s="6" t="inlineStr">
        <is>
          <t>2025-11-27</t>
        </is>
      </c>
      <c r="B356" s="6" t="n">
        <v>53135</v>
      </c>
      <c r="C356" s="8">
        <f>(B356-B355)/B355</f>
        <v/>
      </c>
      <c r="D356" s="6" t="n">
        <v>1684.32</v>
      </c>
      <c r="E356" s="8">
        <f>(D356-D355)/D355</f>
        <v/>
      </c>
    </row>
    <row r="357">
      <c r="A357" s="6" t="inlineStr">
        <is>
          <t>2025-11-28</t>
        </is>
      </c>
      <c r="B357" s="6" t="n">
        <v>52763</v>
      </c>
      <c r="C357" s="8">
        <f>(B357-B356)/B356</f>
        <v/>
      </c>
      <c r="D357" s="6" t="n">
        <v>1690.99</v>
      </c>
      <c r="E357" s="8">
        <f>(D357-D356)/D356</f>
        <v/>
      </c>
    </row>
    <row r="358">
      <c r="A358" s="6" t="inlineStr">
        <is>
          <t>2025-12-01</t>
        </is>
      </c>
      <c r="B358" s="6" t="n">
        <v>52203</v>
      </c>
      <c r="C358" s="8">
        <f>(B358-B357)/B357</f>
        <v/>
      </c>
      <c r="D358" s="6" t="n">
        <v>1701.67</v>
      </c>
      <c r="E358" s="8">
        <f>(D358-D357)/D357</f>
        <v/>
      </c>
    </row>
    <row r="359">
      <c r="A359" s="6" t="inlineStr">
        <is>
          <t>2025-12-02</t>
        </is>
      </c>
      <c r="B359" s="6" t="n">
        <v>52017</v>
      </c>
      <c r="C359" s="8">
        <f>(B359-B358)/B358</f>
        <v/>
      </c>
      <c r="D359" s="6" t="n">
        <v>1717.06</v>
      </c>
      <c r="E359" s="8">
        <f>(D359-D358)/D358</f>
        <v/>
      </c>
    </row>
    <row r="360">
      <c r="A360" s="6" t="inlineStr">
        <is>
          <t>2025-12-03</t>
        </is>
      </c>
      <c r="B360" s="6" t="n">
        <v>52576</v>
      </c>
      <c r="C360" s="8">
        <f>(B360-B359)/B359</f>
        <v/>
      </c>
      <c r="D360" s="6" t="n">
        <v>1731.77</v>
      </c>
      <c r="E360" s="8">
        <f>(D360-D359)/D359</f>
        <v/>
      </c>
    </row>
    <row r="361">
      <c r="A361" s="6" t="inlineStr">
        <is>
          <t>2025-12-04</t>
        </is>
      </c>
      <c r="B361" s="6" t="n">
        <v>52110</v>
      </c>
      <c r="C361" s="8">
        <f>(B361-B360)/B360</f>
        <v/>
      </c>
      <c r="D361" s="6" t="n">
        <v>1737.24</v>
      </c>
      <c r="E361" s="8">
        <f>(D361-D360)/D360</f>
        <v/>
      </c>
    </row>
    <row r="362">
      <c r="A362" s="6" t="inlineStr">
        <is>
          <t>2025-12-05</t>
        </is>
      </c>
      <c r="B362" s="6" t="n">
        <v>51457</v>
      </c>
      <c r="C362" s="8">
        <f>(B362-B361)/B361</f>
        <v/>
      </c>
      <c r="D362" s="6" t="n">
        <v>1741.32</v>
      </c>
      <c r="E362" s="8">
        <f>(D362-D361)/D361</f>
        <v/>
      </c>
    </row>
    <row r="363">
      <c r="A363" s="6" t="inlineStr">
        <is>
          <t>2025-12-08</t>
        </is>
      </c>
      <c r="B363" s="6" t="n">
        <v>51085</v>
      </c>
      <c r="C363" s="8">
        <f>(B363-B362)/B362</f>
        <v/>
      </c>
      <c r="D363" s="6" t="n">
        <v>1753.74</v>
      </c>
      <c r="E363" s="8">
        <f>(D363-D362)/D362</f>
        <v/>
      </c>
    </row>
    <row r="364">
      <c r="A364" s="6" t="inlineStr">
        <is>
          <t>2025-12-09</t>
        </is>
      </c>
      <c r="B364" s="6" t="n">
        <v>49873</v>
      </c>
      <c r="C364" s="8">
        <f>(B364-B363)/B363</f>
        <v/>
      </c>
      <c r="D364" s="6" t="n">
        <v>1747.17</v>
      </c>
      <c r="E364" s="8">
        <f>(D364-D363)/D363</f>
        <v/>
      </c>
    </row>
    <row r="365">
      <c r="A365" s="6" t="inlineStr">
        <is>
          <t>2025-12-10</t>
        </is>
      </c>
      <c r="B365" s="6" t="n">
        <v>49779</v>
      </c>
      <c r="C365" s="8">
        <f>(B365-B364)/B364</f>
        <v/>
      </c>
      <c r="D365" s="6" t="n">
        <v>1718.98</v>
      </c>
      <c r="E365" s="8">
        <f>(D365-D364)/D364</f>
        <v/>
      </c>
    </row>
    <row r="366">
      <c r="A366" s="6" t="inlineStr">
        <is>
          <t>2025-12-11</t>
        </is>
      </c>
      <c r="B366" s="6" t="n">
        <v>50339</v>
      </c>
      <c r="C366" s="8">
        <f>(B366-B365)/B365</f>
        <v/>
      </c>
      <c r="D366" s="6" t="n">
        <v>1698.9</v>
      </c>
      <c r="E366" s="8">
        <f>(D366-D365)/D365</f>
        <v/>
      </c>
    </row>
    <row r="367">
      <c r="A367" s="6" t="inlineStr">
        <is>
          <t>2025-12-12</t>
        </is>
      </c>
      <c r="B367" s="6" t="n">
        <v>49407</v>
      </c>
      <c r="C367" s="8">
        <f>(B367-B366)/B366</f>
        <v/>
      </c>
      <c r="D367" s="6" t="n">
        <v>1646.89</v>
      </c>
      <c r="E367" s="8">
        <f>(D367-D366)/D366</f>
        <v/>
      </c>
    </row>
    <row r="368">
      <c r="A368" s="6" t="inlineStr">
        <is>
          <t>2025-12-15</t>
        </is>
      </c>
      <c r="B368" s="6" t="n">
        <v>48568</v>
      </c>
      <c r="C368" s="8">
        <f>(B368-B367)/B367</f>
        <v/>
      </c>
      <c r="D368" s="6" t="n">
        <v>1646.01</v>
      </c>
      <c r="E368" s="8">
        <f>(D368-D367)/D367</f>
        <v/>
      </c>
    </row>
    <row r="369">
      <c r="A369" s="6" t="inlineStr">
        <is>
          <t>2025-12-16</t>
        </is>
      </c>
      <c r="B369" s="6" t="n">
        <v>48661</v>
      </c>
      <c r="C369" s="8">
        <f>(B369-B368)/B368</f>
        <v/>
      </c>
      <c r="D369" s="6" t="n">
        <v>1679.18</v>
      </c>
      <c r="E369" s="8">
        <f>(D369-D368)/D368</f>
        <v/>
      </c>
    </row>
    <row r="370">
      <c r="A370" s="6" t="inlineStr">
        <is>
          <t>2025-12-17</t>
        </is>
      </c>
      <c r="B370" s="6" t="n">
        <v>48474</v>
      </c>
      <c r="C370" s="8">
        <f>(B370-B369)/B369</f>
        <v/>
      </c>
      <c r="D370" s="6" t="n">
        <v>1673.66</v>
      </c>
      <c r="E370" s="8">
        <f>(D370-D369)/D369</f>
        <v/>
      </c>
    </row>
    <row r="371">
      <c r="A371" s="6" t="inlineStr">
        <is>
          <t>2025-12-18</t>
        </is>
      </c>
      <c r="B371" s="6" t="n">
        <v>47822</v>
      </c>
      <c r="C371" s="8">
        <f>(B371-B370)/B370</f>
        <v/>
      </c>
      <c r="D371" s="6" t="n">
        <v>1676.98</v>
      </c>
      <c r="E371" s="8">
        <f>(D371-D370)/D370</f>
        <v/>
      </c>
    </row>
    <row r="372">
      <c r="A372" s="6" t="inlineStr">
        <is>
          <t>2025-12-19</t>
        </is>
      </c>
      <c r="B372" s="6" t="n">
        <v>48661</v>
      </c>
      <c r="C372" s="8">
        <f>(B372-B371)/B371</f>
        <v/>
      </c>
      <c r="D372" s="6" t="n">
        <v>1704.31</v>
      </c>
      <c r="E372" s="8">
        <f>(D372-D371)/D371</f>
        <v/>
      </c>
    </row>
    <row r="373">
      <c r="A373" s="6" t="inlineStr">
        <is>
          <t>2025-12-22</t>
        </is>
      </c>
      <c r="B373" s="6" t="n">
        <v>48754</v>
      </c>
      <c r="C373" s="8">
        <f>(B373-B372)/B372</f>
        <v/>
      </c>
      <c r="D373" s="6" t="n">
        <v>1751.03</v>
      </c>
      <c r="E373" s="8">
        <f>(D373-D372)/D372</f>
        <v/>
      </c>
    </row>
    <row r="374">
      <c r="A374" s="6" t="inlineStr">
        <is>
          <t>2025-12-23</t>
        </is>
      </c>
      <c r="B374" s="6" t="n">
        <v>48661</v>
      </c>
      <c r="C374" s="8">
        <f>(B374-B373)/B373</f>
        <v/>
      </c>
      <c r="D374" s="6" t="n">
        <v>1772.15</v>
      </c>
      <c r="E374" s="8">
        <f>(D374-D373)/D373</f>
        <v/>
      </c>
    </row>
    <row r="375">
      <c r="A375" s="6" t="inlineStr">
        <is>
          <t>2025-12-24</t>
        </is>
      </c>
      <c r="B375" s="6" t="n">
        <v>48847</v>
      </c>
      <c r="C375" s="8">
        <f>(B375-B374)/B374</f>
        <v/>
      </c>
      <c r="D375" s="6" t="n">
        <v>1782.82</v>
      </c>
      <c r="E375" s="8">
        <f>(D375-D374)/D374</f>
        <v/>
      </c>
    </row>
    <row r="376">
      <c r="A376" s="6" t="inlineStr">
        <is>
          <t>2025-12-25</t>
        </is>
      </c>
      <c r="B376" s="6" t="n">
        <v>48008</v>
      </c>
      <c r="C376" s="8">
        <f>(B376-B375)/B375</f>
        <v/>
      </c>
      <c r="D376" s="6" t="n">
        <v>1742.85</v>
      </c>
      <c r="E376" s="8">
        <f>(D376-D375)/D375</f>
        <v/>
      </c>
    </row>
    <row r="377">
      <c r="A377" s="6" t="inlineStr">
        <is>
          <t>2025-12-26</t>
        </is>
      </c>
      <c r="B377" s="6" t="n">
        <v>47822</v>
      </c>
      <c r="C377" s="8">
        <f>(B377-B376)/B376</f>
        <v/>
      </c>
      <c r="D377" s="6" t="n">
        <v>1729.8</v>
      </c>
      <c r="E377" s="8">
        <f>(D377-D376)/D376</f>
        <v/>
      </c>
    </row>
    <row r="378">
      <c r="A378" s="6" t="inlineStr">
        <is>
          <t>2025-12-29</t>
        </is>
      </c>
      <c r="B378" s="6" t="n">
        <v>48568</v>
      </c>
      <c r="C378" s="8">
        <f>(B378-B377)/B377</f>
        <v/>
      </c>
      <c r="D378" s="6" t="n">
        <v>1754.84</v>
      </c>
      <c r="E378" s="8">
        <f>(D378-D377)/D377</f>
        <v/>
      </c>
    </row>
    <row r="379">
      <c r="A379" s="6" t="inlineStr">
        <is>
          <t>2025-12-30</t>
        </is>
      </c>
      <c r="B379" s="6" t="n">
        <v>48288</v>
      </c>
      <c r="C379" s="8">
        <f>(B379-B378)/B378</f>
        <v/>
      </c>
      <c r="D379" s="6" t="n">
        <v>1766.9</v>
      </c>
      <c r="E379" s="8">
        <f>(D379-D378)/D378</f>
        <v/>
      </c>
    </row>
    <row r="380">
      <c r="A380" s="6" t="inlineStr">
        <is>
          <t>2025-12-31</t>
        </is>
      </c>
      <c r="B380" s="6" t="n">
        <v>49034</v>
      </c>
      <c r="C380" s="8">
        <f>(B380-B379)/B379</f>
        <v/>
      </c>
      <c r="D380" s="6" t="n">
        <v>1784.49</v>
      </c>
      <c r="E380" s="8">
        <f>(D380-D379)/D379</f>
        <v/>
      </c>
    </row>
    <row r="381">
      <c r="A381" s="6" t="inlineStr">
        <is>
          <t>2026-01-05</t>
        </is>
      </c>
      <c r="B381" s="6" t="n">
        <v>48474</v>
      </c>
      <c r="C381" s="8">
        <f>(B381-B380)/B380</f>
        <v/>
      </c>
      <c r="D381" s="6" t="n">
        <v>1788.4</v>
      </c>
      <c r="E381" s="8">
        <f>(D381-D380)/D380</f>
        <v/>
      </c>
    </row>
    <row r="382">
      <c r="A382" s="6" t="inlineStr">
        <is>
          <t>2026-01-06</t>
        </is>
      </c>
      <c r="B382" s="6" t="n">
        <v>48847</v>
      </c>
      <c r="C382" s="8">
        <f>(B382-B381)/B381</f>
        <v/>
      </c>
      <c r="D382" s="6" t="n">
        <v>1816.27</v>
      </c>
      <c r="E382" s="8">
        <f>(D382-D381)/D381</f>
        <v/>
      </c>
    </row>
    <row r="383">
      <c r="A383" s="6" t="inlineStr">
        <is>
          <t>2026-01-07</t>
        </is>
      </c>
      <c r="B383" s="6" t="n">
        <v>50618</v>
      </c>
      <c r="C383" s="8">
        <f>(B383-B382)/B382</f>
        <v/>
      </c>
      <c r="D383" s="6" t="n">
        <v>1861.58</v>
      </c>
      <c r="E383" s="8">
        <f>(D383-D382)/D382</f>
        <v/>
      </c>
    </row>
    <row r="384">
      <c r="A384" s="6" t="inlineStr">
        <is>
          <t>2026-01-08</t>
        </is>
      </c>
      <c r="B384" s="6" t="n">
        <v>50618</v>
      </c>
      <c r="C384" s="8">
        <f>(B384-B383)/B383</f>
        <v/>
      </c>
      <c r="D384" s="6" t="n">
        <v>1855.56</v>
      </c>
      <c r="E384" s="8">
        <f>(D384-D383)/D383</f>
        <v/>
      </c>
    </row>
    <row r="385">
      <c r="A385" s="6" t="inlineStr">
        <is>
          <t>2026-01-09</t>
        </is>
      </c>
      <c r="B385" s="6" t="n">
        <v>52203</v>
      </c>
      <c r="C385" s="8">
        <f>(B385-B384)/B384</f>
        <v/>
      </c>
      <c r="D385" s="6" t="n">
        <v>1867.9</v>
      </c>
      <c r="E385" s="8">
        <f>(D385-D384)/D384</f>
        <v/>
      </c>
    </row>
    <row r="386">
      <c r="A386" s="6" t="inlineStr">
        <is>
          <t>2026-01-12</t>
        </is>
      </c>
      <c r="B386" s="6" t="n">
        <v>51830</v>
      </c>
      <c r="C386" s="8">
        <f>(B386-B385)/B385</f>
        <v/>
      </c>
      <c r="D386" s="6" t="n">
        <v>1877.33</v>
      </c>
      <c r="E386" s="8">
        <f>(D386-D385)/D385</f>
        <v/>
      </c>
    </row>
    <row r="387">
      <c r="A387" s="6" t="inlineStr">
        <is>
          <t>2026-01-13</t>
        </is>
      </c>
      <c r="B387" s="6" t="n">
        <v>51737</v>
      </c>
      <c r="C387" s="8">
        <f>(B387-B386)/B386</f>
        <v/>
      </c>
      <c r="D387" s="6" t="n">
        <v>1902.93</v>
      </c>
      <c r="E387" s="8">
        <f>(D387-D386)/D386</f>
        <v/>
      </c>
    </row>
    <row r="388">
      <c r="A388" s="6" t="inlineStr">
        <is>
          <t>2026-01-14</t>
        </is>
      </c>
      <c r="B388" s="6" t="n">
        <v>52669</v>
      </c>
      <c r="C388" s="8">
        <f>(B388-B387)/B387</f>
        <v/>
      </c>
      <c r="D388" s="6" t="n">
        <v>1894.44</v>
      </c>
      <c r="E388" s="8">
        <f>(D388-D387)/D387</f>
        <v/>
      </c>
    </row>
    <row r="389">
      <c r="A389" s="6" t="inlineStr">
        <is>
          <t>2026-01-15</t>
        </is>
      </c>
      <c r="B389" s="6" t="n">
        <v>53229</v>
      </c>
      <c r="C389" s="8">
        <f>(B389-B388)/B388</f>
        <v/>
      </c>
      <c r="D389" s="6" t="n">
        <v>1864.8</v>
      </c>
      <c r="E389" s="8">
        <f>(D389-D388)/D388</f>
        <v/>
      </c>
    </row>
    <row r="390">
      <c r="A390" s="6" t="inlineStr">
        <is>
          <t>2026-01-16</t>
        </is>
      </c>
      <c r="B390" s="6" t="n">
        <v>53322</v>
      </c>
      <c r="C390" s="8">
        <f>(B390-B389)/B389</f>
        <v/>
      </c>
      <c r="D390" s="6" t="n">
        <v>1879.13</v>
      </c>
      <c r="E390" s="8">
        <f>(D390-D389)/D389</f>
        <v/>
      </c>
    </row>
    <row r="391">
      <c r="A391" s="6" t="inlineStr">
        <is>
          <t>2026-01-19</t>
        </is>
      </c>
      <c r="B391" s="6" t="n">
        <v>55000</v>
      </c>
      <c r="C391" s="8">
        <f>(B391-B390)/B390</f>
        <v/>
      </c>
      <c r="D391" s="6" t="n">
        <v>1896.59</v>
      </c>
      <c r="E391" s="8">
        <f>(D391-D390)/D390</f>
        <v/>
      </c>
    </row>
    <row r="392">
      <c r="A392" s="6" t="inlineStr">
        <is>
          <t>2026-01-20</t>
        </is>
      </c>
      <c r="B392" s="6" t="n">
        <v>53322</v>
      </c>
      <c r="C392" s="8">
        <f>(B392-B391)/B391</f>
        <v/>
      </c>
      <c r="D392" s="6" t="n">
        <v>1893.78</v>
      </c>
      <c r="E392" s="8">
        <f>(D392-D391)/D391</f>
        <v/>
      </c>
    </row>
    <row r="393">
      <c r="A393" s="6" t="inlineStr">
        <is>
          <t>2026-01-21</t>
        </is>
      </c>
      <c r="B393" s="6" t="n">
        <v>52296</v>
      </c>
      <c r="C393" s="8">
        <f>(B393-B392)/B392</f>
        <v/>
      </c>
      <c r="D393" s="6" t="n">
        <v>1885.44</v>
      </c>
      <c r="E393" s="8">
        <f>(D393-D392)/D392</f>
        <v/>
      </c>
    </row>
    <row r="394">
      <c r="A394" s="6" t="inlineStr">
        <is>
          <t>2026-01-22</t>
        </is>
      </c>
      <c r="B394" s="6" t="n">
        <v>54161</v>
      </c>
      <c r="C394" s="8">
        <f>(B394-B393)/B393</f>
        <v/>
      </c>
      <c r="D394" s="6" t="n">
        <v>1882.73</v>
      </c>
      <c r="E394" s="8">
        <f>(D394-D393)/D393</f>
        <v/>
      </c>
    </row>
    <row r="395">
      <c r="A395" s="6" t="inlineStr">
        <is>
          <t>2026-01-23</t>
        </is>
      </c>
      <c r="B395" s="6" t="n">
        <v>54068</v>
      </c>
      <c r="C395" s="8">
        <f>(B395-B394)/B394</f>
        <v/>
      </c>
      <c r="D395" s="6" t="n">
        <v>1870.79</v>
      </c>
      <c r="E395" s="8">
        <f>(D395-D394)/D394</f>
        <v/>
      </c>
    </row>
    <row r="396">
      <c r="A396" s="6" t="inlineStr">
        <is>
          <t>2026-01-26</t>
        </is>
      </c>
      <c r="B396" s="6" t="n">
        <v>52296</v>
      </c>
      <c r="C396" s="8">
        <f>(B396-B395)/B395</f>
        <v/>
      </c>
      <c r="D396" s="6" t="n">
        <v>1843.72</v>
      </c>
      <c r="E396" s="8">
        <f>(D396-D395)/D395</f>
        <v/>
      </c>
    </row>
    <row r="397">
      <c r="A397" s="6" t="inlineStr">
        <is>
          <t>2026-01-27</t>
        </is>
      </c>
      <c r="B397" s="6" t="n">
        <v>53602</v>
      </c>
      <c r="C397" s="8">
        <f>(B397-B396)/B396</f>
        <v/>
      </c>
      <c r="D397" s="6" t="n">
        <v>1830.5</v>
      </c>
      <c r="E397" s="8">
        <f>(D397-D396)/D396</f>
        <v/>
      </c>
    </row>
    <row r="398">
      <c r="A398" s="6" t="inlineStr">
        <is>
          <t>2026-01-28</t>
        </is>
      </c>
      <c r="B398" s="6" t="n">
        <v>53135</v>
      </c>
      <c r="C398" s="8">
        <f>(B398-B397)/B397</f>
        <v/>
      </c>
      <c r="D398" s="6" t="n">
        <v>1802.91</v>
      </c>
      <c r="E398" s="8">
        <f>(D398-D397)/D397</f>
        <v/>
      </c>
    </row>
    <row r="399">
      <c r="A399" s="6" t="inlineStr">
        <is>
          <t>2026-01-29</t>
        </is>
      </c>
      <c r="B399" s="6" t="n">
        <v>54627</v>
      </c>
      <c r="C399" s="8">
        <f>(B399-B398)/B398</f>
        <v/>
      </c>
      <c r="D399" s="6" t="n">
        <v>1814.98</v>
      </c>
      <c r="E399" s="8">
        <f>(D399-D398)/D398</f>
        <v/>
      </c>
    </row>
    <row r="400">
      <c r="A400" s="6" t="inlineStr">
        <is>
          <t>2026-01-30</t>
        </is>
      </c>
      <c r="B400" s="6" t="n">
        <v>56864</v>
      </c>
      <c r="C400" s="8">
        <f>(B400-B399)/B399</f>
        <v/>
      </c>
      <c r="D400" s="6" t="n">
        <v>1829.04</v>
      </c>
      <c r="E400" s="8">
        <f>(D400-D399)/D399</f>
        <v/>
      </c>
    </row>
    <row r="401">
      <c r="A401" s="6" t="inlineStr">
        <is>
          <t>2026-02-02</t>
        </is>
      </c>
      <c r="B401" s="6" t="n">
        <v>56864</v>
      </c>
      <c r="C401" s="8">
        <f>(B401-B400)/B400</f>
        <v/>
      </c>
      <c r="D401" s="6" t="n">
        <v>1806.5</v>
      </c>
      <c r="E401" s="8">
        <f>(D401-D400)/D400</f>
        <v/>
      </c>
    </row>
    <row r="402">
      <c r="A402" s="6" t="inlineStr">
        <is>
          <t>2026-02-03</t>
        </is>
      </c>
      <c r="B402" s="6" t="n">
        <v>60127</v>
      </c>
      <c r="C402" s="8">
        <f>(B402-B401)/B401</f>
        <v/>
      </c>
      <c r="D402" s="6" t="n">
        <v>1813.4</v>
      </c>
      <c r="E402" s="8">
        <f>(D402-D401)/D401</f>
        <v/>
      </c>
    </row>
    <row r="403">
      <c r="A403" s="6" t="inlineStr">
        <is>
          <t>2026-02-04</t>
        </is>
      </c>
      <c r="B403" s="6" t="n">
        <v>59661</v>
      </c>
      <c r="C403" s="8">
        <f>(B403-B402)/B402</f>
        <v/>
      </c>
      <c r="D403" s="6" t="n">
        <v>1791.43</v>
      </c>
      <c r="E403" s="8">
        <f>(D403-D402)/D402</f>
        <v/>
      </c>
    </row>
    <row r="404">
      <c r="A404" s="6" t="inlineStr">
        <is>
          <t>2026-02-05</t>
        </is>
      </c>
      <c r="B404" s="6" t="n">
        <v>58263</v>
      </c>
      <c r="C404" s="8">
        <f>(B404-B403)/B403</f>
        <v/>
      </c>
      <c r="D404" s="6" t="n">
        <v>1782.56</v>
      </c>
      <c r="E404" s="8">
        <f>(D404-D403)/D403</f>
        <v/>
      </c>
    </row>
    <row r="405">
      <c r="A405" s="6" t="inlineStr">
        <is>
          <t>2026-02-06</t>
        </is>
      </c>
      <c r="B405" s="6" t="n">
        <v>55932</v>
      </c>
      <c r="C405" s="8">
        <f>(B405-B404)/B404</f>
        <v/>
      </c>
      <c r="D405" s="6" t="n">
        <v>1755.49</v>
      </c>
      <c r="E405" s="8">
        <f>(D405-D404)/D404</f>
        <v/>
      </c>
    </row>
    <row r="406">
      <c r="A406" s="6" t="inlineStr">
        <is>
          <t>2026-02-09</t>
        </is>
      </c>
      <c r="B406" s="6" t="n">
        <v>55932</v>
      </c>
      <c r="C406" s="8">
        <f>(B406-B405)/B405</f>
        <v/>
      </c>
      <c r="D406" s="6" t="n">
        <v>1754.82</v>
      </c>
      <c r="E406" s="8">
        <f>(D406-D405)/D405</f>
        <v/>
      </c>
    </row>
    <row r="407">
      <c r="A407" s="6" t="inlineStr">
        <is>
          <t>2026-02-10</t>
        </is>
      </c>
      <c r="B407" s="6" t="n">
        <v>53602</v>
      </c>
      <c r="C407" s="8">
        <f>(B407-B406)/B406</f>
        <v/>
      </c>
      <c r="D407" s="6" t="n">
        <v>1754.03</v>
      </c>
      <c r="E407" s="8">
        <f>(D407-D406)/D406</f>
        <v/>
      </c>
    </row>
    <row r="408">
      <c r="A408" s="6" t="inlineStr">
        <is>
          <t>2026-02-11</t>
        </is>
      </c>
      <c r="B408" s="6" t="n">
        <v>54627</v>
      </c>
      <c r="C408" s="8">
        <f>(B408-B407)/B407</f>
        <v/>
      </c>
      <c r="D408" s="6" t="n">
        <v>1796.85</v>
      </c>
      <c r="E408" s="8">
        <f>(D408-D407)/D407</f>
        <v/>
      </c>
    </row>
    <row r="409">
      <c r="A409" s="6" t="inlineStr">
        <is>
          <t>2026-02-12</t>
        </is>
      </c>
      <c r="B409" s="6" t="n">
        <v>55373</v>
      </c>
      <c r="C409" s="8">
        <f>(B409-B408)/B408</f>
        <v/>
      </c>
      <c r="D409" s="6" t="n">
        <v>1814.09</v>
      </c>
      <c r="E409" s="8">
        <f>(D409-D408)/D408</f>
        <v/>
      </c>
    </row>
    <row r="410">
      <c r="A410" s="6" t="inlineStr">
        <is>
          <t>2026-02-13</t>
        </is>
      </c>
      <c r="B410" s="6" t="n">
        <v>55279</v>
      </c>
      <c r="C410" s="8">
        <f>(B410-B409)/B409</f>
        <v/>
      </c>
      <c r="D410" s="6" t="n">
        <v>1824.09</v>
      </c>
      <c r="E410" s="8">
        <f>(D410-D409)/D409</f>
        <v/>
      </c>
    </row>
    <row r="411">
      <c r="A411" s="6" t="inlineStr">
        <is>
          <t>2026-02-23</t>
        </is>
      </c>
      <c r="B411" s="6" t="n">
        <v>56398</v>
      </c>
      <c r="C411" s="8">
        <f>(B411-B410)/B410</f>
        <v/>
      </c>
      <c r="D411" s="6" t="n">
        <v>1860.14</v>
      </c>
      <c r="E411" s="8">
        <f>(D411-D410)/D410</f>
        <v/>
      </c>
    </row>
    <row r="412">
      <c r="A412" s="6" t="inlineStr">
        <is>
          <t>2026-02-24</t>
        </is>
      </c>
      <c r="B412" s="6" t="n">
        <v>58169</v>
      </c>
      <c r="C412" s="8">
        <f>(B412-B411)/B411</f>
        <v/>
      </c>
      <c r="D412" s="6" t="n">
        <v>1867.62</v>
      </c>
      <c r="E412" s="8">
        <f>(D412-D411)/D411</f>
        <v/>
      </c>
    </row>
    <row r="413">
      <c r="A413" s="6" t="inlineStr">
        <is>
          <t>2026-02-25</t>
        </is>
      </c>
      <c r="B413" s="6" t="n">
        <v>58635</v>
      </c>
      <c r="C413" s="8">
        <f>(B413-B412)/B412</f>
        <v/>
      </c>
      <c r="D413" s="6" t="n">
        <v>1860.91</v>
      </c>
      <c r="E413" s="8">
        <f>(D413-D412)/D412</f>
        <v/>
      </c>
    </row>
    <row r="414">
      <c r="A414" s="6" t="inlineStr">
        <is>
          <t>2026-02-26</t>
        </is>
      </c>
      <c r="B414" s="6" t="n">
        <v>58915</v>
      </c>
      <c r="C414" s="8">
        <f>(B414-B413)/B413</f>
        <v/>
      </c>
      <c r="D414" s="6" t="n">
        <v>1879.64</v>
      </c>
      <c r="E414" s="8">
        <f>(D414-D413)/D413</f>
        <v/>
      </c>
    </row>
    <row r="415">
      <c r="A415" s="6" t="inlineStr">
        <is>
          <t>2026-02-27</t>
        </is>
      </c>
      <c r="B415" s="6" t="n">
        <v>57983</v>
      </c>
      <c r="C415" s="8">
        <f>(B415-B414)/B414</f>
        <v/>
      </c>
      <c r="D415" s="6" t="n">
        <v>1880.33</v>
      </c>
      <c r="E415" s="8">
        <f>(D415-D414)/D414</f>
        <v/>
      </c>
    </row>
    <row r="416">
      <c r="A416" s="6" t="inlineStr">
        <is>
          <t>2026-03-02</t>
        </is>
      </c>
      <c r="B416" s="6" t="n">
        <v>57796</v>
      </c>
      <c r="C416" s="8">
        <f>(B416-B415)/B415</f>
        <v/>
      </c>
      <c r="D416" s="6" t="n">
        <v>1846.1</v>
      </c>
      <c r="E416" s="8">
        <f>(D416-D415)/D415</f>
        <v/>
      </c>
    </row>
    <row r="417">
      <c r="A417" s="6" t="inlineStr">
        <is>
          <t>2026-03-03</t>
        </is>
      </c>
      <c r="B417" s="6" t="n">
        <v>55932</v>
      </c>
      <c r="C417" s="8">
        <f>(B417-B416)/B416</f>
        <v/>
      </c>
      <c r="D417" s="6" t="n">
        <v>1813.14</v>
      </c>
      <c r="E417" s="8">
        <f>(D417-D416)/D416</f>
        <v/>
      </c>
    </row>
    <row r="418">
      <c r="A418" s="6" t="inlineStr">
        <is>
          <t>2026-03-04</t>
        </is>
      </c>
      <c r="B418" s="6" t="n">
        <v>55093</v>
      </c>
      <c r="C418" s="8">
        <f>(B418-B417)/B417</f>
        <v/>
      </c>
      <c r="D418" s="6" t="n">
        <v>1818.27</v>
      </c>
      <c r="E418" s="8">
        <f>(D418-D417)/D417</f>
        <v/>
      </c>
    </row>
    <row r="419">
      <c r="A419" s="6" t="inlineStr">
        <is>
          <t>2026-03-05</t>
        </is>
      </c>
      <c r="B419" s="6" t="n">
        <v>54068</v>
      </c>
      <c r="C419" s="8">
        <f>(B419-B418)/B418</f>
        <v/>
      </c>
      <c r="D419" s="6" t="n">
        <v>1808.51</v>
      </c>
      <c r="E419" s="8">
        <f>(D419-D418)/D418</f>
        <v/>
      </c>
    </row>
    <row r="420">
      <c r="A420" s="6" t="inlineStr">
        <is>
          <t>2026-03-06</t>
        </is>
      </c>
      <c r="B420" s="6" t="n">
        <v>54347</v>
      </c>
      <c r="C420" s="8">
        <f>(B420-B419)/B419</f>
        <v/>
      </c>
      <c r="D420" s="6" t="n">
        <v>1767.84</v>
      </c>
      <c r="E420" s="8">
        <f>(D420-D419)/D419</f>
        <v/>
      </c>
    </row>
    <row r="421">
      <c r="A421" s="6" t="inlineStr">
        <is>
          <t>2026-03-09</t>
        </is>
      </c>
      <c r="B421" s="6" t="n">
        <v>50618</v>
      </c>
      <c r="C421" s="8">
        <f>(B421-B420)/B420</f>
        <v/>
      </c>
      <c r="D421" s="6" t="n">
        <v>1652.79</v>
      </c>
      <c r="E421" s="8">
        <f>(D421-D420)/D420</f>
        <v/>
      </c>
    </row>
    <row r="422">
      <c r="A422" s="6" t="inlineStr">
        <is>
          <t>2026-03-10</t>
        </is>
      </c>
      <c r="B422" s="6" t="n">
        <v>52390</v>
      </c>
      <c r="C422" s="8">
        <f>(B422-B421)/B421</f>
        <v/>
      </c>
      <c r="D422" s="6" t="n">
        <v>1676.73</v>
      </c>
      <c r="E422" s="8">
        <f>(D422-D421)/D421</f>
        <v/>
      </c>
    </row>
    <row r="423">
      <c r="A423" s="6" t="inlineStr">
        <is>
          <t>2026-03-11</t>
        </is>
      </c>
      <c r="B423" s="6" t="n">
        <v>54068</v>
      </c>
      <c r="C423" s="8">
        <f>(B423-B422)/B422</f>
        <v/>
      </c>
      <c r="D423" s="6" t="n">
        <v>1728.34</v>
      </c>
      <c r="E423" s="8">
        <f>(D423-D422)/D422</f>
        <v/>
      </c>
    </row>
    <row r="424">
      <c r="A424" s="6" t="inlineStr">
        <is>
          <t>2026-03-12</t>
        </is>
      </c>
      <c r="B424" s="6" t="n">
        <v>53788</v>
      </c>
      <c r="C424" s="8">
        <f>(B424-B423)/B423</f>
        <v/>
      </c>
      <c r="D424" s="6" t="n">
        <v>1709.61</v>
      </c>
      <c r="E424" s="8">
        <f>(D424-D423)/D423</f>
        <v/>
      </c>
    </row>
    <row r="425">
      <c r="A425" s="6" t="inlineStr">
        <is>
          <t>2026-03-13</t>
        </is>
      </c>
      <c r="B425" s="6" t="n">
        <v>54347</v>
      </c>
      <c r="C425" s="8">
        <f>(B425-B424)/B424</f>
        <v/>
      </c>
      <c r="D425" s="6" t="n">
        <v>1696.24</v>
      </c>
      <c r="E425" s="8">
        <f>(D425-D424)/D424</f>
        <v/>
      </c>
    </row>
    <row r="426">
      <c r="A426" s="6" t="inlineStr">
        <is>
          <t>2026-03-16</t>
        </is>
      </c>
      <c r="B426" s="6" t="n">
        <v>53695</v>
      </c>
      <c r="C426" s="8">
        <f>(B426-B425)/B425</f>
        <v/>
      </c>
      <c r="D426" s="6" t="n">
        <v>1693.21</v>
      </c>
      <c r="E426" s="8">
        <f>(D426-D425)/D425</f>
        <v/>
      </c>
    </row>
    <row r="427">
      <c r="A427" s="6" t="inlineStr">
        <is>
          <t>2026-03-17</t>
        </is>
      </c>
      <c r="B427" s="6" t="n">
        <v>53695</v>
      </c>
      <c r="C427" s="8">
        <f>(B427-B426)/B426</f>
        <v/>
      </c>
      <c r="D427" s="6" t="n">
        <v>1710.29</v>
      </c>
      <c r="E427" s="8">
        <f>(D427-D426)/D426</f>
        <v/>
      </c>
    </row>
    <row r="428">
      <c r="A428" s="6" t="inlineStr">
        <is>
          <t>2026-03-18</t>
        </is>
      </c>
      <c r="B428" s="6" t="n">
        <v>53229</v>
      </c>
      <c r="C428" s="8">
        <f>(B428-B427)/B427</f>
        <v/>
      </c>
      <c r="D428" s="6" t="n">
        <v>1713.83</v>
      </c>
      <c r="E428" s="8">
        <f>(D428-D427)/D427</f>
        <v/>
      </c>
    </row>
    <row r="429">
      <c r="A429" s="6" t="inlineStr">
        <is>
          <t>2026-03-19</t>
        </is>
      </c>
      <c r="B429" s="6" t="n">
        <v>54813</v>
      </c>
      <c r="C429" s="8">
        <f>(B429-B428)/B428</f>
        <v/>
      </c>
      <c r="D429" s="6" t="n">
        <v>1699.13</v>
      </c>
      <c r="E429" s="8">
        <f>(D429-D428)/D428</f>
        <v/>
      </c>
    </row>
    <row r="430">
      <c r="A430" s="6" t="inlineStr">
        <is>
          <t>2026-03-20</t>
        </is>
      </c>
      <c r="B430" s="6" t="n">
        <v>51271</v>
      </c>
      <c r="C430" s="8">
        <f>(B430-B429)/B429</f>
        <v/>
      </c>
      <c r="D430" s="6" t="n">
        <v>1647.81</v>
      </c>
      <c r="E430" s="8">
        <f>(D430-D429)/D429</f>
        <v/>
      </c>
    </row>
    <row r="431">
      <c r="A431" s="6" t="inlineStr">
        <is>
          <t>2026-03-23</t>
        </is>
      </c>
      <c r="B431" s="6" t="n">
        <v>51178</v>
      </c>
      <c r="C431" s="8">
        <f>(B431-B430)/B430</f>
        <v/>
      </c>
      <c r="D431" s="6" t="n">
        <v>1591.17</v>
      </c>
      <c r="E431" s="8">
        <f>(D431-D430)/D430</f>
        <v/>
      </c>
    </row>
    <row r="432">
      <c r="A432" s="6" t="inlineStr">
        <is>
          <t>2026-03-24</t>
        </is>
      </c>
      <c r="B432" s="6" t="n">
        <v>51830</v>
      </c>
      <c r="C432" s="8">
        <f>(B432-B431)/B431</f>
        <v/>
      </c>
      <c r="D432" s="6" t="n">
        <v>1614.77</v>
      </c>
      <c r="E432" s="8">
        <f>(D432-D431)/D431</f>
        <v/>
      </c>
    </row>
    <row r="433">
      <c r="A433" s="6" t="inlineStr">
        <is>
          <t>2026-03-25</t>
        </is>
      </c>
      <c r="B433" s="6" t="n">
        <v>52949</v>
      </c>
      <c r="C433" s="8">
        <f>(B433-B432)/B432</f>
        <v/>
      </c>
      <c r="D433" s="6" t="n">
        <v>1658.19</v>
      </c>
      <c r="E433" s="8">
        <f>(D433-D432)/D432</f>
        <v/>
      </c>
    </row>
    <row r="434">
      <c r="A434" s="6" t="inlineStr">
        <is>
          <t>2026-03-26</t>
        </is>
      </c>
      <c r="B434" s="6" t="n">
        <v>52483</v>
      </c>
      <c r="C434" s="8">
        <f>(B434-B433)/B433</f>
        <v/>
      </c>
      <c r="D434" s="6" t="n">
        <v>1644.63</v>
      </c>
      <c r="E434" s="8">
        <f>(D434-D433)/D433</f>
        <v/>
      </c>
    </row>
    <row r="435">
      <c r="A435" s="6" t="inlineStr">
        <is>
          <t>2026-03-27</t>
        </is>
      </c>
      <c r="B435" s="6" t="n">
        <v>54068</v>
      </c>
      <c r="C435" s="8">
        <f>(B435-B434)/B434</f>
        <v/>
      </c>
      <c r="D435" s="6" t="n">
        <v>1672.8</v>
      </c>
      <c r="E435" s="8">
        <f>(D435-D434)/D434</f>
        <v/>
      </c>
    </row>
    <row r="436">
      <c r="A436" s="6" t="inlineStr">
        <is>
          <t>2026-03-30</t>
        </is>
      </c>
      <c r="B436" s="6" t="n">
        <v>55932</v>
      </c>
      <c r="C436" s="8">
        <f>(B436-B435)/B435</f>
        <v/>
      </c>
      <c r="D436" s="6" t="n">
        <v>1662.54</v>
      </c>
      <c r="E436" s="8">
        <f>(D436-D435)/D435</f>
        <v/>
      </c>
    </row>
    <row r="437">
      <c r="A437" s="6" t="inlineStr">
        <is>
          <t>2026-03-31</t>
        </is>
      </c>
      <c r="B437" s="6" t="n">
        <v>57051</v>
      </c>
      <c r="C437" s="8">
        <f>(B437-B436)/B436</f>
        <v/>
      </c>
      <c r="D437" s="6" t="n">
        <v>1674.49</v>
      </c>
      <c r="E437" s="8">
        <f>(D437-D436)/D436</f>
        <v/>
      </c>
    </row>
    <row r="438">
      <c r="A438" s="6" t="inlineStr">
        <is>
          <t>2026-04-01</t>
        </is>
      </c>
      <c r="B438" s="6" t="n">
        <v>57237</v>
      </c>
      <c r="C438" s="8">
        <f>(B438-B437)/B437</f>
        <v/>
      </c>
      <c r="D438" s="6" t="n">
        <v>1702.93</v>
      </c>
      <c r="E438" s="8">
        <f>(D438-D437)/D437</f>
        <v/>
      </c>
    </row>
    <row r="439">
      <c r="A439" s="6" t="inlineStr">
        <is>
          <t>2026-04-02</t>
        </is>
      </c>
      <c r="B439" s="6" t="n">
        <v>56771</v>
      </c>
      <c r="C439" s="8">
        <f>(B439-B438)/B438</f>
        <v/>
      </c>
      <c r="D439" s="6" t="n">
        <v>1694.82</v>
      </c>
      <c r="E439" s="8">
        <f>(D439-D438)/D438</f>
        <v/>
      </c>
    </row>
    <row r="440">
      <c r="A440" s="6" t="inlineStr">
        <is>
          <t>2026-04-03</t>
        </is>
      </c>
      <c r="B440" s="6" t="n">
        <v>55373</v>
      </c>
      <c r="C440" s="8">
        <f>(B440-B439)/B439</f>
        <v/>
      </c>
      <c r="D440" s="6" t="n">
        <v>1684.04</v>
      </c>
      <c r="E440" s="8">
        <f>(D440-D439)/D439</f>
        <v/>
      </c>
    </row>
    <row r="441">
      <c r="A441" s="6" t="inlineStr">
        <is>
          <t>2026-04-06</t>
        </is>
      </c>
      <c r="B441" s="6" t="n">
        <v>56771</v>
      </c>
      <c r="C441" s="8">
        <f>(B441-B440)/B440</f>
        <v/>
      </c>
      <c r="D441" s="6" t="n">
        <v>1674.99</v>
      </c>
      <c r="E441" s="8">
        <f>(D441-D440)/D440</f>
        <v/>
      </c>
    </row>
    <row r="442">
      <c r="A442" s="6" t="inlineStr">
        <is>
          <t>2026-04-07</t>
        </is>
      </c>
      <c r="B442" s="6" t="n">
        <v>56305</v>
      </c>
      <c r="C442" s="8">
        <f>(B442-B441)/B441</f>
        <v/>
      </c>
      <c r="D442" s="6" t="n">
        <v>1677.54</v>
      </c>
      <c r="E442" s="8">
        <f>(D442-D441)/D441</f>
        <v/>
      </c>
    </row>
    <row r="443">
      <c r="A443" s="6" t="inlineStr">
        <is>
          <t>2026-04-08</t>
        </is>
      </c>
      <c r="B443" s="6" t="n">
        <v>57144</v>
      </c>
      <c r="C443" s="8">
        <f>(B443-B442)/B442</f>
        <v/>
      </c>
      <c r="D443" s="6" t="n">
        <v>1756.55</v>
      </c>
      <c r="E443" s="8">
        <f>(D443-D442)/D442</f>
        <v/>
      </c>
    </row>
    <row r="444">
      <c r="A444" s="6" t="inlineStr">
        <is>
          <t>2026-04-09</t>
        </is>
      </c>
      <c r="B444" s="6" t="n">
        <v>57237</v>
      </c>
      <c r="C444" s="8">
        <f>(B444-B443)/B443</f>
        <v/>
      </c>
      <c r="D444" s="6" t="n">
        <v>1736.68</v>
      </c>
      <c r="E444" s="8">
        <f>(D444-D443)/D443</f>
        <v/>
      </c>
    </row>
    <row r="445">
      <c r="A445" s="6" t="inlineStr">
        <is>
          <t>2026-04-10</t>
        </is>
      </c>
      <c r="B445" s="6" t="n">
        <v>56678</v>
      </c>
      <c r="C445" s="8">
        <f>(B445-B444)/B444</f>
        <v/>
      </c>
      <c r="D445" s="6" t="n">
        <v>1750</v>
      </c>
      <c r="E445" s="8">
        <f>(D445-D444)/D444</f>
        <v/>
      </c>
    </row>
    <row r="446">
      <c r="A446" s="6" t="inlineStr">
        <is>
          <t>2026-04-13</t>
        </is>
      </c>
      <c r="B446" s="6" t="n">
        <v>57330</v>
      </c>
      <c r="C446" s="8">
        <f>(B446-B445)/B445</f>
        <v/>
      </c>
      <c r="D446" s="6" t="n">
        <v>1758.96</v>
      </c>
      <c r="E446" s="8">
        <f>(D446-D445)/D445</f>
        <v/>
      </c>
    </row>
    <row r="447">
      <c r="A447" s="6" t="inlineStr">
        <is>
          <t>2026-04-14</t>
        </is>
      </c>
      <c r="B447" s="6" t="n">
        <v>56491</v>
      </c>
      <c r="C447" s="8">
        <f>(B447-B446)/B446</f>
        <v/>
      </c>
      <c r="D447" s="6" t="n">
        <v>1775.65</v>
      </c>
      <c r="E447" s="8">
        <f>(D447-D446)/D446</f>
        <v/>
      </c>
    </row>
    <row r="448">
      <c r="A448" s="6" t="inlineStr">
        <is>
          <t>2026-04-15</t>
        </is>
      </c>
      <c r="B448" s="6" t="n">
        <v>56771</v>
      </c>
      <c r="C448" s="8">
        <f>(B448-B447)/B447</f>
        <v/>
      </c>
      <c r="D448" s="6" t="n">
        <v>1800.65</v>
      </c>
      <c r="E448" s="8">
        <f>(D448-D447)/D447</f>
        <v/>
      </c>
    </row>
    <row r="449">
      <c r="A449" s="6" t="inlineStr">
        <is>
          <t>2026-04-16</t>
        </is>
      </c>
      <c r="B449" s="6" t="n">
        <v>57330</v>
      </c>
      <c r="C449" s="8">
        <f>(B449-B448)/B448</f>
        <v/>
      </c>
      <c r="D449" s="6" t="n">
        <v>1819.83</v>
      </c>
      <c r="E449" s="8">
        <f>(D449-D448)/D448</f>
        <v/>
      </c>
    </row>
    <row r="450">
      <c r="A450" s="6" t="inlineStr">
        <is>
          <t>2026-04-17</t>
        </is>
      </c>
      <c r="B450" s="6" t="n">
        <v>57703</v>
      </c>
      <c r="C450" s="8">
        <f>(B450-B449)/B449</f>
        <v/>
      </c>
      <c r="D450" s="6" t="n">
        <v>1817.17</v>
      </c>
      <c r="E450" s="8">
        <f>(D450-D449)/D449</f>
        <v/>
      </c>
    </row>
    <row r="451">
      <c r="A451" s="6" t="inlineStr">
        <is>
          <t>2026-04-20</t>
        </is>
      </c>
      <c r="B451" s="6" t="n">
        <v>57144</v>
      </c>
      <c r="C451" s="8">
        <f>(B451-B450)/B450</f>
        <v/>
      </c>
      <c r="D451" s="6" t="n">
        <v>1837.11</v>
      </c>
      <c r="E451" s="8">
        <f>(D451-D450)/D450</f>
        <v/>
      </c>
    </row>
    <row r="452">
      <c r="A452" s="6" t="inlineStr">
        <is>
          <t>2026-04-21</t>
        </is>
      </c>
      <c r="B452" s="6" t="n">
        <v>56025</v>
      </c>
      <c r="C452" s="8">
        <f>(B452-B451)/B451</f>
        <v/>
      </c>
      <c r="D452" s="6" t="n">
        <v>1833.48</v>
      </c>
      <c r="E452" s="8">
        <f>(D452-D451)/D451</f>
        <v/>
      </c>
    </row>
    <row r="453">
      <c r="A453" s="6" t="inlineStr">
        <is>
          <t>2026-04-22</t>
        </is>
      </c>
      <c r="B453" s="6" t="n">
        <v>55373</v>
      </c>
      <c r="C453" s="8">
        <f>(B453-B452)/B452</f>
        <v/>
      </c>
      <c r="D453" s="6" t="n">
        <v>1857.3</v>
      </c>
      <c r="E453" s="8">
        <f>(D453-D452)/D452</f>
        <v/>
      </c>
    </row>
    <row r="454">
      <c r="A454" s="6" t="inlineStr">
        <is>
          <t>2026-04-23</t>
        </is>
      </c>
      <c r="B454" s="6" t="n">
        <v>54254</v>
      </c>
      <c r="C454" s="8">
        <f>(B454-B453)/B453</f>
        <v/>
      </c>
      <c r="D454" s="6" t="n">
        <v>1870.36</v>
      </c>
      <c r="E454" s="8">
        <f>(D454-D453)/D453</f>
        <v/>
      </c>
    </row>
    <row r="455">
      <c r="A455" s="6" t="inlineStr">
        <is>
          <t>2026-04-24</t>
        </is>
      </c>
      <c r="B455" s="6" t="n">
        <v>56212</v>
      </c>
      <c r="C455" s="8">
        <f>(B455-B454)/B454</f>
        <v/>
      </c>
      <c r="D455" s="6" t="n">
        <v>1853.29</v>
      </c>
      <c r="E455" s="8">
        <f>(D455-D454)/D454</f>
        <v/>
      </c>
    </row>
    <row r="456">
      <c r="A456" s="6" t="inlineStr">
        <is>
          <t>2026-04-28</t>
        </is>
      </c>
      <c r="B456" s="6" t="n">
        <v>56585</v>
      </c>
      <c r="C456" s="8">
        <f>(B456-B455)/B455</f>
        <v/>
      </c>
      <c r="D456" s="6" t="n">
        <v>1875.84</v>
      </c>
      <c r="E456" s="8">
        <f>(D456-D455)/D455</f>
        <v/>
      </c>
    </row>
    <row r="457">
      <c r="A457" s="6" t="inlineStr">
        <is>
          <t>2026-04-29</t>
        </is>
      </c>
      <c r="B457" s="6" t="n">
        <v>56585</v>
      </c>
      <c r="C457" s="8">
        <f>(B457-B456)/B456</f>
        <v/>
      </c>
      <c r="D457" s="6" t="n">
        <v>1854.1</v>
      </c>
      <c r="E457" s="8">
        <f>(D457-D456)/D456</f>
        <v/>
      </c>
    </row>
    <row r="458">
      <c r="A458" s="6" t="inlineStr">
        <is>
          <t>2026-05-04</t>
        </is>
      </c>
      <c r="B458" s="6" t="n">
        <v>56491</v>
      </c>
      <c r="C458" s="8">
        <f>(B458-B457)/B457</f>
        <v/>
      </c>
      <c r="D458" s="6" t="n">
        <v>1854.06</v>
      </c>
      <c r="E458" s="8">
        <f>(D458-D457)/D457</f>
        <v/>
      </c>
    </row>
    <row r="459">
      <c r="A459" s="6" t="inlineStr">
        <is>
          <t>2026-05-05</t>
        </is>
      </c>
      <c r="B459" s="6" t="n">
        <v>55932</v>
      </c>
      <c r="C459" s="8">
        <f>(B459-B458)/B458</f>
        <v/>
      </c>
      <c r="D459" s="6" t="n">
        <v>1874.85</v>
      </c>
      <c r="E459" s="8">
        <f>(D459-D458)/D458</f>
        <v/>
      </c>
    </row>
    <row r="460">
      <c r="A460" s="6" t="inlineStr">
        <is>
          <t>2026-05-06</t>
        </is>
      </c>
      <c r="B460" s="6" t="n">
        <v>56025</v>
      </c>
      <c r="C460" s="8">
        <f>(B460-B459)/B459</f>
        <v/>
      </c>
      <c r="D460" s="6" t="n">
        <v>1891.2</v>
      </c>
      <c r="E460" s="8">
        <f>(D460-D459)/D459</f>
        <v/>
      </c>
    </row>
    <row r="461">
      <c r="A461" s="6" t="inlineStr">
        <is>
          <t>2026-05-07</t>
        </is>
      </c>
      <c r="B461" s="6" t="n">
        <v>55000</v>
      </c>
      <c r="C461" s="8">
        <f>(B461-B460)/B460</f>
        <v/>
      </c>
      <c r="D461" s="6" t="n">
        <v>1909.01</v>
      </c>
      <c r="E461" s="8">
        <f>(D461-D460)/D460</f>
        <v/>
      </c>
    </row>
    <row r="462">
      <c r="A462" s="6" t="inlineStr">
        <is>
          <t>2026-05-08</t>
        </is>
      </c>
      <c r="B462" s="6" t="n">
        <v>54627</v>
      </c>
      <c r="C462" s="8">
        <f>(B462-B461)/B461</f>
        <v/>
      </c>
      <c r="D462" s="6" t="n">
        <v>1915.37</v>
      </c>
      <c r="E462" s="8">
        <f>(D462-D461)/D461</f>
        <v/>
      </c>
    </row>
    <row r="463">
      <c r="A463" s="6" t="inlineStr">
        <is>
          <t>2026-05-11</t>
        </is>
      </c>
      <c r="B463" s="6" t="n">
        <v>55466</v>
      </c>
      <c r="C463" s="8">
        <f>(B463-B462)/B462</f>
        <v/>
      </c>
      <c r="D463" s="6" t="n">
        <v>1895.5</v>
      </c>
      <c r="E463" s="8">
        <f>(D463-D462)/D462</f>
        <v/>
      </c>
    </row>
    <row r="464">
      <c r="A464" s="6" t="inlineStr">
        <is>
          <t>2026-05-12</t>
        </is>
      </c>
      <c r="B464" s="6" t="n">
        <v>54813</v>
      </c>
      <c r="C464" s="8">
        <f>(B464-B463)/B463</f>
        <v/>
      </c>
      <c r="D464" s="6" t="n">
        <v>1901.1</v>
      </c>
      <c r="E464" s="8">
        <f>(D464-D463)/D463</f>
        <v/>
      </c>
    </row>
    <row r="465">
      <c r="A465" s="6" t="inlineStr">
        <is>
          <t>2026-05-13</t>
        </is>
      </c>
      <c r="B465" s="6" t="n">
        <v>55000</v>
      </c>
      <c r="C465" s="8">
        <f>(B465-B464)/B464</f>
        <v/>
      </c>
      <c r="D465" s="6" t="n">
        <v>1898.37</v>
      </c>
      <c r="E465" s="8">
        <f>(D465-D464)/D464</f>
        <v/>
      </c>
    </row>
    <row r="466">
      <c r="A466" s="6" t="inlineStr">
        <is>
          <t>2026-05-14</t>
        </is>
      </c>
      <c r="B466" s="6" t="n">
        <v>54900</v>
      </c>
      <c r="C466" s="8">
        <f>(B466-B465)/B465</f>
        <v/>
      </c>
      <c r="D466" s="6" t="n">
        <v>1925.46</v>
      </c>
      <c r="E466" s="8">
        <f>(D466-D465)/D465</f>
        <v/>
      </c>
    </row>
    <row r="467">
      <c r="A467" s="6" t="inlineStr">
        <is>
          <t>2026-05-15</t>
        </is>
      </c>
      <c r="B467" s="6" t="n">
        <v>54000</v>
      </c>
      <c r="C467" s="8">
        <f>(B467-B466)/B466</f>
        <v/>
      </c>
      <c r="D467" s="6" t="n">
        <v>1921.6</v>
      </c>
      <c r="E467" s="8">
        <f>(D467-D466)/D466</f>
        <v/>
      </c>
    </row>
    <row r="468">
      <c r="A468" s="6" t="inlineStr">
        <is>
          <t>2026-05-18</t>
        </is>
      </c>
      <c r="B468" s="6" t="n">
        <v>53400</v>
      </c>
      <c r="C468" s="8">
        <f>(B468-B467)/B467</f>
        <v/>
      </c>
      <c r="D468" s="6" t="n">
        <v>1927.94</v>
      </c>
      <c r="E468" s="8">
        <f>(D468-D467)/D467</f>
        <v/>
      </c>
    </row>
    <row r="469">
      <c r="A469" s="6" t="inlineStr">
        <is>
          <t>2026-05-19</t>
        </is>
      </c>
      <c r="B469" s="6" t="n">
        <v>52300</v>
      </c>
      <c r="C469" s="8">
        <f>(B469-B468)/B468</f>
        <v/>
      </c>
      <c r="D469" s="6" t="n">
        <v>1912.93</v>
      </c>
      <c r="E469" s="8">
        <f>(D469-D468)/D468</f>
        <v/>
      </c>
    </row>
    <row r="470">
      <c r="A470" s="6" t="inlineStr">
        <is>
          <t>2026-05-20</t>
        </is>
      </c>
      <c r="B470" s="6" t="n">
        <v>52000</v>
      </c>
      <c r="C470" s="8">
        <f>(B470-B469)/B469</f>
        <v/>
      </c>
      <c r="D470" s="6" t="n">
        <v>1913.23</v>
      </c>
      <c r="E470" s="8">
        <f>(D470-D469)/D469</f>
        <v/>
      </c>
    </row>
    <row r="471">
      <c r="A471" s="6" t="inlineStr">
        <is>
          <t>2026-05-21</t>
        </is>
      </c>
      <c r="B471" s="6" t="n">
        <v>52000</v>
      </c>
      <c r="C471" s="8">
        <f>(B471-B470)/B470</f>
        <v/>
      </c>
      <c r="D471" s="6" t="n">
        <v>1896.89</v>
      </c>
      <c r="E471" s="8">
        <f>(D471-D470)/D470</f>
        <v/>
      </c>
    </row>
    <row r="472">
      <c r="A472" s="6" t="inlineStr">
        <is>
          <t>2026-05-22</t>
        </is>
      </c>
      <c r="B472" s="6" t="n">
        <v>52000</v>
      </c>
      <c r="C472" s="8">
        <f>(B472-B471)/B471</f>
        <v/>
      </c>
      <c r="D472" s="6" t="n">
        <v>1877.13</v>
      </c>
      <c r="E472" s="8">
        <f>(D472-D471)/D471</f>
        <v/>
      </c>
    </row>
    <row r="473">
      <c r="A473" s="6" t="inlineStr">
        <is>
          <t>2026-05-25</t>
        </is>
      </c>
      <c r="B473" s="6" t="n">
        <v>51900</v>
      </c>
      <c r="C473" s="8">
        <f>(B473-B472)/B472</f>
        <v/>
      </c>
      <c r="D473" s="6" t="n">
        <v>1886.03</v>
      </c>
      <c r="E473" s="8">
        <f>(D473-D472)/D472</f>
        <v/>
      </c>
    </row>
    <row r="474">
      <c r="A474" s="6" t="inlineStr">
        <is>
          <t>2026-05-26</t>
        </is>
      </c>
      <c r="B474" s="6" t="n">
        <v>51800</v>
      </c>
      <c r="C474" s="8">
        <f>(B474-B473)/B473</f>
        <v/>
      </c>
      <c r="D474" s="6" t="n">
        <v>1884.18</v>
      </c>
      <c r="E474" s="8">
        <f>(D474-D473)/D473</f>
        <v/>
      </c>
    </row>
    <row r="475">
      <c r="A475" s="6" t="inlineStr">
        <is>
          <t>2026-05-27</t>
        </is>
      </c>
      <c r="B475" s="6" t="n">
        <v>51800</v>
      </c>
      <c r="C475" s="8">
        <f>(B475-B474)/B474</f>
        <v/>
      </c>
      <c r="D475" s="6" t="n">
        <v>1874.43</v>
      </c>
      <c r="E475" s="8">
        <f>(D475-D474)/D474</f>
        <v/>
      </c>
    </row>
    <row r="476">
      <c r="A476" s="6" t="inlineStr">
        <is>
          <t>2026-05-28</t>
        </is>
      </c>
      <c r="B476" s="6" t="n">
        <v>51300</v>
      </c>
      <c r="C476" s="8">
        <f>(B476-B475)/B475</f>
        <v/>
      </c>
      <c r="D476" s="6" t="n">
        <v>1863.67</v>
      </c>
      <c r="E476" s="8">
        <f>(D476-D475)/D475</f>
        <v/>
      </c>
    </row>
    <row r="477">
      <c r="A477" s="6" t="inlineStr">
        <is>
          <t>2026-05-29</t>
        </is>
      </c>
      <c r="B477" s="6" t="n">
        <v>51700</v>
      </c>
      <c r="C477" s="8">
        <f>(B477-B476)/B476</f>
        <v/>
      </c>
      <c r="D477" s="6" t="n">
        <v>1863.49</v>
      </c>
      <c r="E477" s="8">
        <f>(D477-D476)/D476</f>
        <v/>
      </c>
    </row>
    <row r="478">
      <c r="A478" s="6" t="inlineStr">
        <is>
          <t>2026-06-01</t>
        </is>
      </c>
      <c r="B478" s="6" t="n">
        <v>51600</v>
      </c>
      <c r="C478" s="8">
        <f>(B478-B477)/B477</f>
        <v/>
      </c>
      <c r="D478" s="6" t="n">
        <v>1844.54</v>
      </c>
      <c r="E478" s="8">
        <f>(D478-D477)/D477</f>
        <v/>
      </c>
    </row>
    <row r="479">
      <c r="A479" s="6" t="inlineStr">
        <is>
          <t>2026-06-02</t>
        </is>
      </c>
      <c r="B479" s="6" t="n">
        <v>50800</v>
      </c>
      <c r="C479" s="8">
        <f>(B479-B478)/B478</f>
        <v/>
      </c>
      <c r="D479" s="6" t="n">
        <v>1826.47</v>
      </c>
      <c r="E479" s="8">
        <f>(D479-D478)/D478</f>
        <v/>
      </c>
    </row>
    <row r="480">
      <c r="A480" s="6" t="inlineStr">
        <is>
          <t>2026-06-03</t>
        </is>
      </c>
      <c r="B480" s="6" t="n">
        <v>51000</v>
      </c>
      <c r="C480" s="8">
        <f>(B480-B479)/B479</f>
        <v/>
      </c>
      <c r="D480" s="6" t="n">
        <v>1819.01</v>
      </c>
      <c r="E480" s="8">
        <f>(D480-D479)/D479</f>
        <v/>
      </c>
    </row>
    <row r="481">
      <c r="A481" s="6" t="inlineStr">
        <is>
          <t>2026-06-04</t>
        </is>
      </c>
      <c r="B481" s="6" t="n">
        <v>51000</v>
      </c>
      <c r="C481" s="8">
        <f>(B481-B480)/B480</f>
        <v/>
      </c>
      <c r="D481" s="6" t="n">
        <v>1831.55</v>
      </c>
      <c r="E481" s="8">
        <f>(D481-D480)/D480</f>
        <v/>
      </c>
    </row>
    <row r="482">
      <c r="A482" s="6" t="inlineStr">
        <is>
          <t>2026-06-05</t>
        </is>
      </c>
      <c r="B482" s="6" t="n">
        <v>51000</v>
      </c>
      <c r="C482" s="8">
        <f>(B482-B481)/B481</f>
        <v/>
      </c>
      <c r="D482" s="6" t="n">
        <v>1838.9</v>
      </c>
      <c r="E482" s="8">
        <f>(D482-D481)/D481</f>
        <v/>
      </c>
    </row>
    <row r="483">
      <c r="A483" s="6" t="inlineStr">
        <is>
          <t>2026-06-08</t>
        </is>
      </c>
      <c r="B483" s="6" t="n">
        <v>50000</v>
      </c>
      <c r="C483" s="8">
        <f>(B483-B482)/B482</f>
        <v/>
      </c>
      <c r="D483" s="6" t="n">
        <v>1790.53</v>
      </c>
      <c r="E483" s="8">
        <f>(D483-D482)/D482</f>
        <v/>
      </c>
    </row>
    <row r="484">
      <c r="A484" s="6" t="inlineStr">
        <is>
          <t>2026-06-09</t>
        </is>
      </c>
      <c r="B484" s="6" t="n">
        <v>49800</v>
      </c>
      <c r="C484" s="8">
        <f>(B484-B483)/B483</f>
        <v/>
      </c>
      <c r="D484" s="6" t="n">
        <v>1793.05</v>
      </c>
      <c r="E484" s="8">
        <f>(D484-D483)/D483</f>
        <v/>
      </c>
    </row>
    <row r="485">
      <c r="A485" s="6" t="inlineStr">
        <is>
          <t>2026-06-10</t>
        </is>
      </c>
      <c r="B485" s="6" t="n">
        <v>51000</v>
      </c>
      <c r="C485" s="8">
        <f>(B485-B484)/B484</f>
        <v/>
      </c>
      <c r="D485" s="6" t="n">
        <v>1803.71</v>
      </c>
      <c r="E485" s="8">
        <f>(D485-D484)/D484</f>
        <v/>
      </c>
    </row>
    <row r="486">
      <c r="A486" s="6" t="inlineStr">
        <is>
          <t>2026-06-11</t>
        </is>
      </c>
      <c r="B486" s="6" t="n">
        <v>52000</v>
      </c>
      <c r="C486" s="8">
        <f>(B486-B485)/B485</f>
        <v/>
      </c>
      <c r="D486" s="6" t="n">
        <v>1798.61</v>
      </c>
      <c r="E486" s="8">
        <f>(D486-D485)/D485</f>
        <v/>
      </c>
    </row>
    <row r="487">
      <c r="A487" s="6" t="inlineStr">
        <is>
          <t>2026-06-12</t>
        </is>
      </c>
      <c r="B487" s="6" t="n">
        <v>52000</v>
      </c>
      <c r="C487" s="8">
        <f>(B487-B486)/B486</f>
        <v/>
      </c>
      <c r="D487" s="6" t="n">
        <v>1791.65</v>
      </c>
      <c r="E487" s="8">
        <f>(D487-D486)/D486</f>
        <v/>
      </c>
    </row>
    <row r="488">
      <c r="A488" s="6" t="inlineStr">
        <is>
          <t>2026-06-15</t>
        </is>
      </c>
      <c r="B488" s="6" t="n">
        <v>51600</v>
      </c>
      <c r="C488" s="8">
        <f>(B488-B487)/B487</f>
        <v/>
      </c>
      <c r="D488" s="6" t="n">
        <v>1799.31</v>
      </c>
      <c r="E488" s="8">
        <f>(D488-D487)/D487</f>
        <v/>
      </c>
    </row>
    <row r="489">
      <c r="A489" s="6" t="inlineStr">
        <is>
          <t>2026-06-16</t>
        </is>
      </c>
      <c r="B489" s="6" t="n">
        <v>51300</v>
      </c>
      <c r="C489" s="8">
        <f>(B489-B488)/B488</f>
        <v/>
      </c>
      <c r="D489" s="6" t="n">
        <v>1807.94</v>
      </c>
      <c r="E489" s="8">
        <f>(D489-D488)/D488</f>
        <v/>
      </c>
    </row>
    <row r="490">
      <c r="A490" s="6" t="inlineStr">
        <is>
          <t>2026-06-17</t>
        </is>
      </c>
      <c r="B490" s="6" t="n">
        <v>51200</v>
      </c>
      <c r="C490" s="8">
        <f>(B490-B489)/B489</f>
        <v/>
      </c>
      <c r="D490" s="6" t="n">
        <v>1806.2</v>
      </c>
      <c r="E490" s="8">
        <f>(D490-D489)/D489</f>
        <v/>
      </c>
    </row>
    <row r="491">
      <c r="A491" s="6" t="inlineStr">
        <is>
          <t>2026-06-18</t>
        </is>
      </c>
      <c r="B491" s="6" t="n">
        <v>51200</v>
      </c>
      <c r="C491" s="8">
        <f>(B491-B490)/B490</f>
        <v/>
      </c>
      <c r="D491" s="6" t="n">
        <v>1830.47</v>
      </c>
      <c r="E491" s="8">
        <f>(D491-D490)/D490</f>
        <v/>
      </c>
    </row>
    <row r="492">
      <c r="A492" s="6" t="inlineStr">
        <is>
          <t>2026-06-19</t>
        </is>
      </c>
      <c r="B492" s="6" t="n">
        <v>51300</v>
      </c>
      <c r="C492" s="8">
        <f>(B492-B491)/B491</f>
        <v/>
      </c>
      <c r="D492" s="6" t="n">
        <v>1824.53</v>
      </c>
      <c r="E492" s="8">
        <f>(D492-D491)/D491</f>
        <v/>
      </c>
    </row>
    <row r="493">
      <c r="A493" s="6" t="inlineStr">
        <is>
          <t>2026-06-22</t>
        </is>
      </c>
      <c r="B493" s="6" t="n">
        <v>50500</v>
      </c>
      <c r="C493" s="8">
        <f>(B493-B492)/B492</f>
        <v/>
      </c>
      <c r="D493" s="6" t="n">
        <v>1857.91</v>
      </c>
      <c r="E493" s="8">
        <f>(D493-D492)/D492</f>
        <v/>
      </c>
    </row>
    <row r="494">
      <c r="A494" s="6" t="inlineStr">
        <is>
          <t>2026-06-23</t>
        </is>
      </c>
      <c r="B494" s="6" t="n">
        <v>50200</v>
      </c>
      <c r="C494" s="8">
        <f>(B494-B493)/B493</f>
        <v/>
      </c>
      <c r="D494" s="6" t="n">
        <v>1869.04</v>
      </c>
      <c r="E494" s="8">
        <f>(D494-D493)/D493</f>
        <v/>
      </c>
    </row>
    <row r="495">
      <c r="A495" s="6" t="inlineStr">
        <is>
          <t>2026-06-24</t>
        </is>
      </c>
      <c r="B495" s="6" t="n">
        <v>50000</v>
      </c>
      <c r="C495" s="8">
        <f>(B495-B494)/B494</f>
        <v/>
      </c>
      <c r="D495" s="6" t="n">
        <v>1878.02</v>
      </c>
      <c r="E495" s="8">
        <f>(D495-D494)/D494</f>
        <v/>
      </c>
    </row>
    <row r="496">
      <c r="A496" s="6" t="inlineStr">
        <is>
          <t>2026-06-25</t>
        </is>
      </c>
      <c r="B496" s="6" t="n">
        <v>50200</v>
      </c>
      <c r="C496" s="8">
        <f>(B496-B495)/B495</f>
        <v/>
      </c>
      <c r="D496" s="6" t="n">
        <v>1863.07</v>
      </c>
      <c r="E496" s="8">
        <f>(D496-D495)/D495</f>
        <v/>
      </c>
    </row>
    <row r="497">
      <c r="A497" s="6" t="inlineStr">
        <is>
          <t>2026-06-26</t>
        </is>
      </c>
      <c r="B497" s="6" t="n">
        <v>50100</v>
      </c>
      <c r="C497" s="8">
        <f>(B497-B496)/B496</f>
        <v/>
      </c>
      <c r="D497" s="6" t="n">
        <v>1871.91</v>
      </c>
      <c r="E497" s="8">
        <f>(D497-D496)/D496</f>
        <v/>
      </c>
    </row>
    <row r="498">
      <c r="A498" s="6" t="inlineStr">
        <is>
          <t>2026-06-29</t>
        </is>
      </c>
      <c r="B498" s="6" t="n">
        <v>50300</v>
      </c>
      <c r="C498" s="8">
        <f>(B498-B497)/B497</f>
        <v/>
      </c>
      <c r="D498" s="6" t="n">
        <v>1854.97</v>
      </c>
      <c r="E498" s="8">
        <f>(D498-D497)/D497</f>
        <v/>
      </c>
    </row>
    <row r="499">
      <c r="A499" s="6" t="inlineStr">
        <is>
          <t>2026-06-30</t>
        </is>
      </c>
      <c r="B499" s="6" t="n">
        <v>50300</v>
      </c>
      <c r="C499" s="8">
        <f>(B499-B498)/B498</f>
        <v/>
      </c>
      <c r="D499" s="6" t="n">
        <v>1860.01</v>
      </c>
      <c r="E499" s="8">
        <f>(D499-D498)/D498</f>
        <v/>
      </c>
    </row>
    <row r="500">
      <c r="A500" s="6" t="inlineStr">
        <is>
          <t>2026-07-01</t>
        </is>
      </c>
      <c r="B500" s="6" t="n">
        <v>50000</v>
      </c>
      <c r="C500" s="8">
        <f>(B500-B499)/B499</f>
        <v/>
      </c>
      <c r="D500" s="6" t="n">
        <v>1867.21</v>
      </c>
      <c r="E500" s="8">
        <f>(D500-D499)/D499</f>
        <v/>
      </c>
    </row>
    <row r="501">
      <c r="A501" s="6" t="inlineStr">
        <is>
          <t>2026-07-02</t>
        </is>
      </c>
      <c r="B501" s="6" t="n">
        <v>50000</v>
      </c>
      <c r="C501" s="8">
        <f>(B501-B500)/B500</f>
        <v/>
      </c>
      <c r="D501" s="6" t="n">
        <v>1866.35</v>
      </c>
      <c r="E501" s="8">
        <f>(D501-D500)/D500</f>
        <v/>
      </c>
    </row>
    <row r="502">
      <c r="A502" s="6" t="inlineStr">
        <is>
          <t>2026-07-03</t>
        </is>
      </c>
      <c r="B502" s="6" t="n">
        <v>49950</v>
      </c>
      <c r="C502" s="8">
        <f>(B502-B501)/B501</f>
        <v/>
      </c>
      <c r="D502" s="6" t="n">
        <v>1862.08</v>
      </c>
      <c r="E502" s="8">
        <f>(D502-D501)/D501</f>
        <v/>
      </c>
    </row>
    <row r="503">
      <c r="A503" s="6" t="inlineStr">
        <is>
          <t>2026-07-06</t>
        </is>
      </c>
      <c r="B503" s="6" t="n">
        <v>49750</v>
      </c>
      <c r="C503" s="8">
        <f>(B503-B502)/B502</f>
        <v/>
      </c>
      <c r="D503" s="6" t="n">
        <v>1843.5</v>
      </c>
      <c r="E503" s="8">
        <f>(D503-D502)/D502</f>
        <v/>
      </c>
    </row>
    <row r="504">
      <c r="A504" s="6" t="inlineStr">
        <is>
          <t>2026-07-07</t>
        </is>
      </c>
      <c r="B504" s="6" t="n">
        <v>49700</v>
      </c>
      <c r="C504" s="8">
        <f>(B504-B503)/B503</f>
        <v/>
      </c>
      <c r="D504" s="6" t="n">
        <v>1848.25</v>
      </c>
      <c r="E504" s="8">
        <f>(D504-D503)/D503</f>
        <v/>
      </c>
    </row>
    <row r="505">
      <c r="A505" s="6" t="inlineStr">
        <is>
          <t>2026-07-08</t>
        </is>
      </c>
      <c r="B505" s="6" t="n">
        <v>49900</v>
      </c>
      <c r="C505" s="8">
        <f>(B505-B504)/B504</f>
        <v/>
      </c>
      <c r="D505" s="6" t="n">
        <v>1853.7</v>
      </c>
      <c r="E505" s="8">
        <f>(D505-D504)/D504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2" customWidth="1" min="1" max="1"/>
    <col width="16" customWidth="1" min="2" max="2"/>
    <col width="50" customWidth="1" min="3" max="3"/>
  </cols>
  <sheetData>
    <row r="1">
      <c r="A1" s="1" t="inlineStr">
        <is>
          <t>CHI PHÍ VỐN CHỦ SỞ HỮU (COE) - MÔ HÌNH CAPM</t>
        </is>
      </c>
    </row>
    <row r="3">
      <c r="A3" s="5" t="inlineStr">
        <is>
          <t>Tham số</t>
        </is>
      </c>
      <c r="B3" s="5" t="inlineStr">
        <is>
          <t>Giá trị</t>
        </is>
      </c>
      <c r="C3" s="5" t="inlineStr">
        <is>
          <t>Ghi chú / Nguồn</t>
        </is>
      </c>
    </row>
    <row r="4">
      <c r="A4" s="6" t="inlineStr">
        <is>
          <t>Rf - Lãi suất phi rủi ro (TPCP 10 năm)</t>
        </is>
      </c>
      <c r="B4" s="8" t="n">
        <v>0.045</v>
      </c>
      <c r="C4" s="9" t="inlineStr">
        <is>
          <t>TPCP 10Y VN</t>
        </is>
      </c>
    </row>
    <row r="5">
      <c r="A5" s="6" t="inlineStr">
        <is>
          <t xml:space="preserve">  Hệ số Beta (Blume-adjusted)</t>
        </is>
      </c>
      <c r="B5" s="10">
        <f>'00_Beta'!E1</f>
        <v/>
      </c>
      <c r="C5" s="9" t="inlineStr">
        <is>
          <t>Tự tính toán (1619 phiên)</t>
        </is>
      </c>
    </row>
    <row r="6">
      <c r="A6" s="6" t="inlineStr">
        <is>
          <t>ERP - Phần bù rủi ro vốn (Damodaran)</t>
        </is>
      </c>
      <c r="B6" s="8" t="n">
        <v>0.07000000000000001</v>
      </c>
      <c r="C6" s="9" t="inlineStr">
        <is>
          <t>Damodaran ERP cho Việt Nam</t>
        </is>
      </c>
    </row>
    <row r="7">
      <c r="A7" s="6" t="inlineStr">
        <is>
          <t xml:space="preserve">  Phần bù rủi ro đặc thù (Quốc gia/Ngành)</t>
        </is>
      </c>
      <c r="B7" s="8" t="n">
        <v>0.02</v>
      </c>
      <c r="C7" s="9" t="inlineStr">
        <is>
          <t>Phần bù rủi ro quốc gia/KCN đặc thù</t>
        </is>
      </c>
    </row>
    <row r="8">
      <c r="A8" s="7" t="n"/>
      <c r="B8" s="7" t="n"/>
      <c r="C8" s="7" t="n"/>
    </row>
    <row r="9">
      <c r="A9" s="11" t="inlineStr">
        <is>
          <t>COE = Rf + β × ERP + PBĐT</t>
        </is>
      </c>
      <c r="B9" s="12">
        <f>B4+B5*B6+B7</f>
        <v/>
      </c>
      <c r="C9" s="9" t="inlineStr">
        <is>
          <t>Chi phí vốn chủ sở hữu (CAPM điều chỉnh)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5" customWidth="1" min="2" max="2"/>
    <col width="18" customWidth="1" min="3" max="3"/>
    <col width="5" customWidth="1" min="4" max="4"/>
  </cols>
  <sheetData>
    <row r="2">
      <c r="B2" s="13" t="inlineStr">
        <is>
          <t>MÔ HÌNH PHÂN TÍCH TÀI CHÍNH &amp; ĐỊNH GIÁ — SIP</t>
        </is>
      </c>
    </row>
    <row r="3">
      <c r="B3" s="14" t="inlineStr">
        <is>
          <t>Công ty Cổ phần Đầu tư Sài Gòn VRG</t>
        </is>
      </c>
    </row>
    <row r="4">
      <c r="B4" s="4" t="inlineStr">
        <is>
          <t>Ngày lập: 09/07/2026 00:01</t>
        </is>
      </c>
    </row>
    <row r="6">
      <c r="B6" s="15" t="inlineStr">
        <is>
          <t>Giá thị trường (VND)</t>
        </is>
      </c>
      <c r="C6" s="16" t="n">
        <v>49750</v>
      </c>
    </row>
    <row r="7">
      <c r="B7" s="15" t="inlineStr">
        <is>
          <t>Số CP lưu hành</t>
        </is>
      </c>
      <c r="C7" s="16" t="n">
        <v>242112943</v>
      </c>
    </row>
    <row r="8">
      <c r="B8" s="15" t="inlineStr">
        <is>
          <t>Vốn hóa (tỷ VND)</t>
        </is>
      </c>
      <c r="C8" s="17">
        <f>B6*B7/1000000000</f>
        <v/>
      </c>
    </row>
    <row r="9">
      <c r="B9" s="15" t="inlineStr">
        <is>
          <t>Beta (CAPM)</t>
        </is>
      </c>
      <c r="C9" s="18">
        <f>'00_COE'!B5</f>
        <v/>
      </c>
    </row>
    <row r="10">
      <c r="B10" s="15" t="inlineStr">
        <is>
          <t>Rf (%/năm)</t>
        </is>
      </c>
      <c r="C10" s="19">
        <f>'00_COE'!B4</f>
        <v/>
      </c>
    </row>
    <row r="11">
      <c r="B11" s="15" t="inlineStr">
        <is>
          <t>COE (%/năm)</t>
        </is>
      </c>
      <c r="C11" s="19">
        <f>'00_COE'!B9</f>
        <v/>
      </c>
    </row>
    <row r="12">
      <c r="B12" s="15" t="inlineStr">
        <is>
          <t>Nguồn Beta</t>
        </is>
      </c>
      <c r="C12" s="15" t="inlineStr">
        <is>
          <t>Tự tính toán (1619 phiên)</t>
        </is>
      </c>
    </row>
    <row r="15">
      <c r="B15" s="2" t="inlineStr">
        <is>
          <t>─── ĐỊNH GIÁ TỔNG HỢP ───</t>
        </is>
      </c>
    </row>
    <row r="16">
      <c r="B16" s="15" t="inlineStr">
        <is>
          <t>Giá hợp lý P/E (40%)</t>
        </is>
      </c>
      <c r="C16" s="16">
        <f>'08_Valuation'!B11</f>
        <v/>
      </c>
    </row>
    <row r="17">
      <c r="B17" s="15" t="inlineStr">
        <is>
          <t>Giá hợp lý P/B (40%)</t>
        </is>
      </c>
      <c r="C17" s="16">
        <f>'08_Valuation'!B15</f>
        <v/>
      </c>
    </row>
    <row r="18">
      <c r="B18" s="15" t="inlineStr">
        <is>
          <t>Giá hợp lý RI (20%)</t>
        </is>
      </c>
      <c r="C18" s="16">
        <f>'08_Valuation'!B23</f>
        <v/>
      </c>
    </row>
    <row r="19">
      <c r="B19" s="15" t="inlineStr">
        <is>
          <t>Giá mục tiêu blend</t>
        </is>
      </c>
      <c r="C19" s="20">
        <f>'08_Valuation'!B26</f>
        <v/>
      </c>
    </row>
    <row r="20">
      <c r="B20" s="15" t="inlineStr">
        <is>
          <t>Upside/Downside</t>
        </is>
      </c>
      <c r="C20" s="19">
        <f>'08_Valuation'!B27</f>
        <v/>
      </c>
    </row>
    <row r="22">
      <c r="B22" s="2" t="inlineStr">
        <is>
          <t>Nhận định AI:</t>
        </is>
      </c>
    </row>
    <row r="23" ht="60" customHeight="1">
      <c r="B23" s="21" t="inlineStr">
        <is>
          <t>Công ty Cổ phần Đầu tư Sài Gòn VRG (SIP) là doanh nghiệp bất động sản khu công nghiệp với mô hình đa mảng (cho thuê đất, tiện ích, điện, BOT…). Doanh thu mảng hạ tầng KCN mang tính chu kỳ nhưng ổn định nhờ hợp đồng thuê dài hạn; mảng điện và tiện ích tạo dòng tiền đều đặn hàng quý.</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35" customWidth="1" min="3" max="3"/>
  </cols>
  <sheetData>
    <row r="1">
      <c r="A1" s="22" t="inlineStr">
        <is>
          <t>Tham số giả định</t>
        </is>
      </c>
      <c r="B1" s="22" t="inlineStr">
        <is>
          <t>Giá trị</t>
        </is>
      </c>
      <c r="C1" s="22" t="inlineStr">
        <is>
          <t>Ghi chú</t>
        </is>
      </c>
    </row>
    <row r="2">
      <c r="A2" s="15" t="inlineStr">
        <is>
          <t>Rf (lãi TPCP 10Y, %/năm)</t>
        </is>
      </c>
      <c r="B2" s="23">
        <f>'00_COE'!B4</f>
        <v/>
      </c>
      <c r="C2" s="4" t="inlineStr">
        <is>
          <t>TPCP 10Y VN</t>
        </is>
      </c>
    </row>
    <row r="3">
      <c r="A3" s="15" t="inlineStr">
        <is>
          <t>Beta (CAPM)</t>
        </is>
      </c>
      <c r="B3" s="24">
        <f>'00_COE'!B5</f>
        <v/>
      </c>
      <c r="C3" s="4" t="inlineStr">
        <is>
          <t>Tự tính toán (1619 phiên)</t>
        </is>
      </c>
    </row>
    <row r="4">
      <c r="A4" s="15" t="inlineStr">
        <is>
          <t>ERP (phần bù rủi ro thị trường)</t>
        </is>
      </c>
      <c r="B4" s="23">
        <f>'00_COE'!B6</f>
        <v/>
      </c>
      <c r="C4" s="4" t="inlineStr">
        <is>
          <t>Damodaran ERP cho VN (7%)</t>
        </is>
      </c>
    </row>
    <row r="5">
      <c r="A5" s="15" t="inlineStr">
        <is>
          <t>Phần bù rủi ro đặc thù KCN</t>
        </is>
      </c>
      <c r="B5" s="25">
        <f>'00_COE'!B7</f>
        <v/>
      </c>
      <c r="C5" s="4" t="inlineStr">
        <is>
          <t>Thanh khoản thấp, phụ thuộc FDI (+2%)</t>
        </is>
      </c>
    </row>
    <row r="6">
      <c r="A6" s="15" t="inlineStr">
        <is>
          <t>COE = Rf + β × ERP + PBĐT</t>
        </is>
      </c>
      <c r="B6" s="23">
        <f>'00_COE'!B9</f>
        <v/>
      </c>
      <c r="C6" s="4" t="inlineStr">
        <is>
          <t>Cost of Equity (CAPM điều chỉnh)</t>
        </is>
      </c>
    </row>
    <row r="7">
      <c r="A7" s="15" t="inlineStr">
        <is>
          <t>EPS lịch sử gần nhất (VND)</t>
        </is>
      </c>
      <c r="B7" s="25">
        <f>'A4_EPS_Bridge'!F4</f>
        <v/>
      </c>
      <c r="C7" s="4" t="inlineStr">
        <is>
          <t>isa22 / CP lưu hành năm tương ứng</t>
        </is>
      </c>
    </row>
    <row r="8">
      <c r="A8" s="15" t="inlineStr">
        <is>
          <t>BVPS mẹ lịch sử gần nhất (VND)</t>
        </is>
      </c>
      <c r="B8" s="25">
        <f>'A4_EPS_Bridge'!F5</f>
        <v/>
      </c>
      <c r="C8" s="4" t="inlineStr">
        <is>
          <t>(bsa78 − bsa210) / CP lưu hành</t>
        </is>
      </c>
    </row>
    <row r="9">
      <c r="A9" s="15" t="inlineStr">
        <is>
          <t>Payout ratio trung bình</t>
        </is>
      </c>
      <c r="B9" s="23" t="n">
        <v>0.3430695893109071</v>
      </c>
      <c r="C9" s="4" t="inlineStr">
        <is>
          <t>Trung bình lịch sử |cfa32| / isa22</t>
        </is>
      </c>
    </row>
    <row r="10">
      <c r="A10" s="15" t="inlineStr">
        <is>
          <t>CAGR EPS dự phóng</t>
        </is>
      </c>
      <c r="B10" s="25">
        <f>'A1_CAGR_Analysis'!G8</f>
        <v/>
      </c>
      <c r="C10" s="4" t="inlineStr">
        <is>
          <t>CAGR EPS 3Y — từ A1_CAGR_Analysis</t>
        </is>
      </c>
    </row>
    <row r="11">
      <c r="A11" s="15" t="inlineStr">
        <is>
          <t>ROE ước tính (EPS/BVPS đầu kỳ)</t>
        </is>
      </c>
      <c r="B11" s="23">
        <f>B7/B8</f>
        <v/>
      </c>
      <c r="C11" s="4">
        <f> EPS_last / BVPS_đầu kỳ cuối</f>
        <v/>
      </c>
    </row>
    <row r="12">
      <c r="A12" s="15" t="inlineStr">
        <is>
          <t>P/E mục tiêu</t>
        </is>
      </c>
      <c r="B12" s="24">
        <f>MAX(8, MIN(25, '03_PE_PB_History'!B27))</f>
        <v/>
      </c>
      <c r="C12" s="4" t="inlineStr">
        <is>
          <t>Median P/E lịch sử, kẹp [8, 25]</t>
        </is>
      </c>
    </row>
    <row r="13">
      <c r="A13" s="15" t="inlineStr">
        <is>
          <t>P/B mục tiêu</t>
        </is>
      </c>
      <c r="B13" s="24">
        <f>MAX(0.6, MIN(4, '03_PE_PB_History'!C27))</f>
        <v/>
      </c>
      <c r="C13" s="4" t="inlineStr">
        <is>
          <t>Median P/B lịch sử, kẹp [0.6, 4]</t>
        </is>
      </c>
    </row>
    <row r="14">
      <c r="A14" s="15" t="inlineStr">
        <is>
          <t>Số năm RI dự phóng (n)</t>
        </is>
      </c>
      <c r="B14" s="25" t="n">
        <v>3</v>
      </c>
      <c r="C14" s="4" t="inlineStr">
        <is>
          <t>PV RI 3 năm + terminal value</t>
        </is>
      </c>
    </row>
    <row r="15">
      <c r="A15" s="15" t="inlineStr">
        <is>
          <t>g terminal RI</t>
        </is>
      </c>
      <c r="B15" s="23">
        <f>MAX(0, MIN(0.04, B10*0.5))</f>
        <v/>
      </c>
      <c r="C15" s="4" t="inlineStr">
        <is>
          <t>min(CAGR_EPS × 0.5, 4%)</t>
        </is>
      </c>
    </row>
    <row r="16">
      <c r="A16" s="15" t="inlineStr">
        <is>
          <t>Số CP lưu hành</t>
        </is>
      </c>
      <c r="B16" s="25" t="n">
        <v>242112943</v>
      </c>
      <c r="C16" s="4" t="inlineStr">
        <is>
          <t>VĐL / 10,000 (mệnh giá 10k) — năm mới nhất</t>
        </is>
      </c>
    </row>
    <row r="17">
      <c r="A17" s="15" t="inlineStr">
        <is>
          <t>Giá thị trường (VND)</t>
        </is>
      </c>
      <c r="B17" s="25" t="n">
        <v>49750</v>
      </c>
      <c r="C17" s="4" t="inlineStr">
        <is>
          <t>Giá cuối phiên gần nhất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s>
  <sheetData>
    <row r="1">
      <c r="A1" s="22" t="inlineStr">
        <is>
          <t>Quý</t>
        </is>
      </c>
      <c r="B1" s="22" t="inlineStr">
        <is>
          <t>P/E (x)</t>
        </is>
      </c>
      <c r="C1" s="22" t="inlineStr">
        <is>
          <t>P/B (x)</t>
        </is>
      </c>
    </row>
    <row r="2">
      <c r="A2" s="6" t="inlineStr">
        <is>
          <t>2019-Q4</t>
        </is>
      </c>
      <c r="B2" s="26" t="n">
        <v>9.25</v>
      </c>
      <c r="C2" s="26" t="n">
        <v>3.35</v>
      </c>
    </row>
    <row r="3">
      <c r="A3" s="6" t="inlineStr">
        <is>
          <t>2020-Q1</t>
        </is>
      </c>
      <c r="B3" s="26" t="n">
        <v>12.52</v>
      </c>
      <c r="C3" s="26" t="n">
        <v>3.41</v>
      </c>
    </row>
    <row r="4">
      <c r="A4" s="6" t="inlineStr">
        <is>
          <t>2020-Q2</t>
        </is>
      </c>
      <c r="B4" s="26" t="n">
        <v>11.2</v>
      </c>
      <c r="C4" s="26" t="n">
        <v>3.94</v>
      </c>
    </row>
    <row r="5">
      <c r="A5" s="6" t="inlineStr">
        <is>
          <t>2020-Q3</t>
        </is>
      </c>
      <c r="B5" s="26" t="n">
        <v>23.97</v>
      </c>
      <c r="C5" s="26" t="n">
        <v>8.300000000000001</v>
      </c>
    </row>
    <row r="6">
      <c r="A6" s="6" t="inlineStr">
        <is>
          <t>2020-Q4</t>
        </is>
      </c>
      <c r="B6" s="26" t="n">
        <v>13.35</v>
      </c>
      <c r="C6" s="26" t="n">
        <v>5.89</v>
      </c>
    </row>
    <row r="7">
      <c r="A7" s="6" t="inlineStr">
        <is>
          <t>2021-Q1</t>
        </is>
      </c>
      <c r="B7" s="26" t="n">
        <v>11.12</v>
      </c>
      <c r="C7" s="26" t="n">
        <v>5.18</v>
      </c>
    </row>
    <row r="8">
      <c r="A8" s="6" t="inlineStr">
        <is>
          <t>2021-Q3</t>
        </is>
      </c>
      <c r="B8" s="26" t="n">
        <v>11.73</v>
      </c>
      <c r="C8" s="26" t="n">
        <v>4.53</v>
      </c>
    </row>
    <row r="9">
      <c r="A9" s="6" t="inlineStr">
        <is>
          <t>2021-Q4</t>
        </is>
      </c>
      <c r="B9" s="26" t="n">
        <v>12.81</v>
      </c>
      <c r="C9" s="26" t="n">
        <v>3.65</v>
      </c>
    </row>
    <row r="10">
      <c r="A10" s="6" t="inlineStr">
        <is>
          <t>2022-Q1</t>
        </is>
      </c>
      <c r="B10" s="26" t="n">
        <v>10.52</v>
      </c>
      <c r="C10" s="26" t="n">
        <v>2.9</v>
      </c>
    </row>
    <row r="11">
      <c r="A11" s="6" t="inlineStr">
        <is>
          <t>2022-Q2</t>
        </is>
      </c>
      <c r="B11" s="26" t="n">
        <v>12.79</v>
      </c>
      <c r="C11" s="26" t="n">
        <v>3.08</v>
      </c>
    </row>
    <row r="12">
      <c r="A12" s="6" t="inlineStr">
        <is>
          <t>2022-Q3</t>
        </is>
      </c>
      <c r="B12" s="26" t="n">
        <v>7.66</v>
      </c>
      <c r="C12" s="26" t="n">
        <v>1.89</v>
      </c>
    </row>
    <row r="13">
      <c r="A13" s="6" t="inlineStr">
        <is>
          <t>2022-Q4</t>
        </is>
      </c>
      <c r="B13" s="26" t="n">
        <v>8.17</v>
      </c>
      <c r="C13" s="26" t="n">
        <v>2.41</v>
      </c>
    </row>
    <row r="14">
      <c r="A14" s="6" t="inlineStr">
        <is>
          <t>2023-Q1</t>
        </is>
      </c>
      <c r="B14" s="26" t="n">
        <v>12.3</v>
      </c>
      <c r="C14" s="26" t="n">
        <v>3.03</v>
      </c>
    </row>
    <row r="15">
      <c r="A15" s="6" t="inlineStr">
        <is>
          <t>2023-Q2</t>
        </is>
      </c>
      <c r="B15" s="26" t="n">
        <v>13.49</v>
      </c>
      <c r="C15" s="26" t="n">
        <v>3.52</v>
      </c>
    </row>
    <row r="16">
      <c r="A16" s="6" t="inlineStr">
        <is>
          <t>2023-Q3</t>
        </is>
      </c>
      <c r="B16" s="26" t="n">
        <v>13.42</v>
      </c>
      <c r="C16" s="26" t="n">
        <v>3.32</v>
      </c>
    </row>
    <row r="17">
      <c r="A17" s="6" t="inlineStr">
        <is>
          <t>2023-Q4</t>
        </is>
      </c>
      <c r="B17" s="26" t="n">
        <v>16.12</v>
      </c>
      <c r="C17" s="26" t="n">
        <v>4.19</v>
      </c>
    </row>
    <row r="18">
      <c r="A18" s="6" t="inlineStr">
        <is>
          <t>2024-Q1</t>
        </is>
      </c>
      <c r="B18" s="26" t="n">
        <v>16.42</v>
      </c>
      <c r="C18" s="26" t="n">
        <v>4.46</v>
      </c>
    </row>
    <row r="19">
      <c r="A19" s="6" t="inlineStr">
        <is>
          <t>2024-Q2</t>
        </is>
      </c>
      <c r="B19" s="26" t="n">
        <v>14.42</v>
      </c>
      <c r="C19" s="26" t="n">
        <v>4</v>
      </c>
    </row>
    <row r="20">
      <c r="A20" s="6" t="inlineStr">
        <is>
          <t>2024-Q3</t>
        </is>
      </c>
      <c r="B20" s="26" t="n">
        <v>13.86</v>
      </c>
      <c r="C20" s="26" t="n">
        <v>3.92</v>
      </c>
    </row>
    <row r="21">
      <c r="A21" s="6" t="inlineStr">
        <is>
          <t>2024-Q4</t>
        </is>
      </c>
      <c r="B21" s="26" t="n">
        <v>11.5</v>
      </c>
      <c r="C21" s="26" t="n">
        <v>3.11</v>
      </c>
    </row>
    <row r="22">
      <c r="A22" s="6" t="inlineStr">
        <is>
          <t>2025-Q1</t>
        </is>
      </c>
      <c r="B22" s="26" t="n">
        <v>11.78</v>
      </c>
      <c r="C22" s="26" t="n">
        <v>3.21</v>
      </c>
    </row>
    <row r="23">
      <c r="A23" s="6" t="inlineStr">
        <is>
          <t>2025-Q2</t>
        </is>
      </c>
      <c r="B23" s="26" t="n">
        <v>10.57</v>
      </c>
      <c r="C23" s="26" t="n">
        <v>2.83</v>
      </c>
    </row>
    <row r="24">
      <c r="A24" s="6" t="inlineStr">
        <is>
          <t>2025-Q3</t>
        </is>
      </c>
      <c r="B24" s="26" t="n">
        <v>10.32</v>
      </c>
      <c r="C24" s="26" t="n">
        <v>2.7</v>
      </c>
    </row>
    <row r="25">
      <c r="A25" s="6" t="inlineStr">
        <is>
          <t>2025-Q4</t>
        </is>
      </c>
      <c r="B25" s="26" t="n">
        <v>11.15</v>
      </c>
      <c r="C25" s="26" t="n">
        <v>2.86</v>
      </c>
    </row>
    <row r="26">
      <c r="A26" s="6" t="inlineStr">
        <is>
          <t>2026-Q1</t>
        </is>
      </c>
      <c r="B26" s="26" t="n">
        <v>9.220000000000001</v>
      </c>
      <c r="C26" s="26" t="n">
        <v>2.19</v>
      </c>
    </row>
    <row r="27">
      <c r="A27" s="27" t="inlineStr">
        <is>
          <t>MEDIAN</t>
        </is>
      </c>
      <c r="B27" s="28">
        <f>MEDIAN(B2:B26)</f>
        <v/>
      </c>
      <c r="C27" s="28">
        <f>MEDIAN(C2:C26)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22" t="inlineStr">
        <is>
          <t>Chỉ tiêu P&amp;L (tỷ VND)</t>
        </is>
      </c>
      <c r="B1" s="22" t="inlineStr">
        <is>
          <t>2021A</t>
        </is>
      </c>
      <c r="C1" s="22" t="inlineStr">
        <is>
          <t>2022A</t>
        </is>
      </c>
      <c r="D1" s="22" t="inlineStr">
        <is>
          <t>2023A</t>
        </is>
      </c>
      <c r="E1" s="22" t="inlineStr">
        <is>
          <t>2024A</t>
        </is>
      </c>
      <c r="F1" s="22" t="inlineStr">
        <is>
          <t>2025A</t>
        </is>
      </c>
      <c r="G1" s="22" t="inlineStr">
        <is>
          <t>2026E</t>
        </is>
      </c>
      <c r="H1" s="22" t="inlineStr">
        <is>
          <t>2027E</t>
        </is>
      </c>
      <c r="I1" s="22" t="inlineStr">
        <is>
          <t>2028E</t>
        </is>
      </c>
    </row>
    <row r="2">
      <c r="A2" s="2" t="inlineStr">
        <is>
          <t>Doanh thu thuần</t>
        </is>
      </c>
      <c r="B2" s="29" t="n">
        <v>5577.56</v>
      </c>
      <c r="C2" s="29" t="n">
        <v>6034.52</v>
      </c>
      <c r="D2" s="29" t="n">
        <v>6676.52</v>
      </c>
      <c r="E2" s="29" t="n">
        <v>7801.16</v>
      </c>
      <c r="F2" s="29" t="n">
        <v>8596.23</v>
      </c>
      <c r="G2" s="30" t="n">
        <v>9606.360000000001</v>
      </c>
      <c r="H2" s="30" t="n">
        <v>10328.29</v>
      </c>
      <c r="I2" s="30" t="n">
        <v>11111.37</v>
      </c>
    </row>
    <row r="3">
      <c r="A3" s="15" t="inlineStr">
        <is>
          <t>Giá vốn hàng bán</t>
        </is>
      </c>
      <c r="B3" s="16" t="n">
        <v>-4804.7</v>
      </c>
      <c r="C3" s="16" t="n">
        <v>-5133.39</v>
      </c>
      <c r="D3" s="16" t="n">
        <v>-5746.07</v>
      </c>
      <c r="E3" s="16" t="n">
        <v>-6706.01</v>
      </c>
      <c r="F3" s="16" t="n">
        <v>-7252.79</v>
      </c>
      <c r="G3" s="25" t="n">
        <v>-8181.43</v>
      </c>
      <c r="H3" s="25" t="n">
        <v>-8796.27</v>
      </c>
      <c r="I3" s="25" t="n">
        <v>-9463.200000000001</v>
      </c>
    </row>
    <row r="4">
      <c r="A4" s="2" t="inlineStr">
        <is>
          <t>Lợi nhuận gộp</t>
        </is>
      </c>
      <c r="B4" s="29" t="n">
        <v>10382.26</v>
      </c>
      <c r="C4" s="29" t="n">
        <v>11167.91</v>
      </c>
      <c r="D4" s="29" t="n">
        <v>12422.59</v>
      </c>
      <c r="E4" s="29" t="n">
        <v>14507.17</v>
      </c>
      <c r="F4" s="29" t="n">
        <v>15849.02</v>
      </c>
      <c r="G4" s="30" t="n">
        <v>17787.79</v>
      </c>
      <c r="H4" s="30" t="n">
        <v>19124.56</v>
      </c>
      <c r="I4" s="30" t="n">
        <v>20574.57</v>
      </c>
    </row>
    <row r="5">
      <c r="A5" s="15" t="inlineStr">
        <is>
          <t>Lợi nhuận trước thuế</t>
        </is>
      </c>
      <c r="B5" s="16" t="n">
        <v>1110.8</v>
      </c>
      <c r="C5" s="16" t="n">
        <v>1245.54</v>
      </c>
      <c r="D5" s="16" t="n">
        <v>1274.29</v>
      </c>
      <c r="E5" s="16" t="n">
        <v>1571.74</v>
      </c>
      <c r="F5" s="16" t="n">
        <v>1838.52</v>
      </c>
      <c r="G5" s="25" t="n">
        <v>1995.3</v>
      </c>
      <c r="H5" s="25" t="n">
        <v>2145.25</v>
      </c>
      <c r="I5" s="25" t="n">
        <v>2307.9</v>
      </c>
    </row>
    <row r="6">
      <c r="A6" s="15" t="inlineStr">
        <is>
          <t>LNST (hợp nhất)</t>
        </is>
      </c>
      <c r="B6" s="16" t="n">
        <v>908.54</v>
      </c>
      <c r="C6" s="16" t="n">
        <v>1009.9</v>
      </c>
      <c r="D6" s="16" t="n">
        <v>1003.66</v>
      </c>
      <c r="E6" s="16" t="n">
        <v>1278.83</v>
      </c>
      <c r="F6" s="16" t="n">
        <v>1467.09</v>
      </c>
      <c r="G6" s="25" t="n">
        <v>1607.12</v>
      </c>
      <c r="H6" s="25" t="n">
        <v>1727.9</v>
      </c>
      <c r="I6" s="25" t="n">
        <v>1858.91</v>
      </c>
    </row>
    <row r="7">
      <c r="A7" s="2" t="inlineStr">
        <is>
          <t>LNST cổ đông mẹ</t>
        </is>
      </c>
      <c r="B7" s="29" t="n">
        <v>835.41</v>
      </c>
      <c r="C7" s="29" t="n">
        <v>977.16</v>
      </c>
      <c r="D7" s="29" t="n">
        <v>926.9</v>
      </c>
      <c r="E7" s="29" t="n">
        <v>1170.16</v>
      </c>
      <c r="F7" s="29" t="n">
        <v>1322.87</v>
      </c>
      <c r="G7" s="30" t="n">
        <v>1459.85</v>
      </c>
      <c r="H7" s="30" t="n">
        <v>1569.56</v>
      </c>
      <c r="I7" s="30" t="n">
        <v>1688.56</v>
      </c>
    </row>
    <row r="8">
      <c r="A8" s="4" t="inlineStr">
        <is>
          <t>Biên lợi nhuận gộp (%)</t>
        </is>
      </c>
      <c r="B8" s="31" t="n">
        <v>1.8614</v>
      </c>
      <c r="C8" s="31" t="n">
        <v>1.8507</v>
      </c>
      <c r="D8" s="31" t="n">
        <v>1.8606</v>
      </c>
      <c r="E8" s="31" t="n">
        <v>1.8596</v>
      </c>
      <c r="F8" s="31" t="n">
        <v>1.8437</v>
      </c>
      <c r="G8" s="31">
        <f>G4/G2</f>
        <v/>
      </c>
      <c r="H8" s="31">
        <f>H4/H2</f>
        <v/>
      </c>
      <c r="I8" s="31">
        <f>I4/I2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s>
  <sheetData>
    <row r="1">
      <c r="A1" s="22" t="inlineStr">
        <is>
          <t>Mảng kinh doanh</t>
        </is>
      </c>
      <c r="B1" s="22" t="inlineStr">
        <is>
          <t>2021A</t>
        </is>
      </c>
      <c r="C1" s="22" t="inlineStr">
        <is>
          <t>2022A</t>
        </is>
      </c>
      <c r="D1" s="22" t="inlineStr">
        <is>
          <t>2023A</t>
        </is>
      </c>
      <c r="E1" s="22" t="inlineStr">
        <is>
          <t>2024A</t>
        </is>
      </c>
      <c r="F1" s="22" t="inlineStr">
        <is>
          <t>2025A</t>
        </is>
      </c>
      <c r="G1" s="22" t="inlineStr">
        <is>
          <t>2026E</t>
        </is>
      </c>
      <c r="H1" s="22" t="inlineStr">
        <is>
          <t>2027E</t>
        </is>
      </c>
      <c r="I1" s="22" t="inlineStr">
        <is>
          <t>2028E</t>
        </is>
      </c>
    </row>
    <row r="2">
      <c r="A2" s="15" t="inlineStr">
        <is>
          <t>DV tiện ích điện, nước KCN</t>
        </is>
      </c>
      <c r="B2" s="16" t="n">
        <v>4980.5</v>
      </c>
      <c r="C2" s="16" t="n">
        <v>5340.2</v>
      </c>
      <c r="D2" s="16" t="n">
        <v>5780.4</v>
      </c>
      <c r="E2" s="16" t="n">
        <v>6120.5</v>
      </c>
      <c r="F2" s="16" t="n">
        <v>6580</v>
      </c>
      <c r="G2" s="25">
        <f>F2 * (1 + 0.0700)</f>
        <v/>
      </c>
      <c r="H2" s="25">
        <f>G2 * (1 + 0.0700)</f>
        <v/>
      </c>
      <c r="I2" s="25">
        <f>H2 * (1 + 0.0700)</f>
        <v/>
      </c>
    </row>
    <row r="3">
      <c r="A3" s="15" t="inlineStr">
        <is>
          <t>Bán hàng hóa, thành phẩm</t>
        </is>
      </c>
      <c r="B3" s="16" t="n">
        <v>120.4</v>
      </c>
      <c r="C3" s="16" t="n">
        <v>145.8</v>
      </c>
      <c r="D3" s="16" t="n">
        <v>168.2</v>
      </c>
      <c r="E3" s="16" t="n">
        <v>180.4</v>
      </c>
      <c r="F3" s="16" t="n">
        <v>195</v>
      </c>
      <c r="G3" s="25">
        <f>F3 * (1 + 0.2141)</f>
        <v/>
      </c>
      <c r="H3" s="25">
        <f>G3 * (1 + 0.2141)</f>
        <v/>
      </c>
      <c r="I3" s="25">
        <f>H3 * (1 + 0.2141)</f>
        <v/>
      </c>
    </row>
    <row r="4">
      <c r="A4" s="15" t="inlineStr">
        <is>
          <t>DV tiện ích KCN khác</t>
        </is>
      </c>
      <c r="B4" s="16" t="n">
        <v>550.2</v>
      </c>
      <c r="C4" s="16" t="n">
        <v>620.4</v>
      </c>
      <c r="D4" s="16" t="n">
        <v>680.5</v>
      </c>
      <c r="E4" s="16" t="n">
        <v>740.6</v>
      </c>
      <c r="F4" s="16" t="n">
        <v>810</v>
      </c>
      <c r="G4" s="25">
        <f>F4 * (1 + 0.0700)</f>
        <v/>
      </c>
      <c r="H4" s="25">
        <f>G4 * (1 + 0.0700)</f>
        <v/>
      </c>
      <c r="I4" s="25">
        <f>H4 * (1 + 0.0700)</f>
        <v/>
      </c>
    </row>
    <row r="5">
      <c r="A5" s="15" t="inlineStr">
        <is>
          <t>Cho thuê đất đã phát triển CSHT</t>
        </is>
      </c>
      <c r="B5" s="16" t="n">
        <v>380.6</v>
      </c>
      <c r="C5" s="16" t="n">
        <v>450.9</v>
      </c>
      <c r="D5" s="16" t="n">
        <v>520.4</v>
      </c>
      <c r="E5" s="16" t="n">
        <v>610.2</v>
      </c>
      <c r="F5" s="16" t="n">
        <v>680</v>
      </c>
      <c r="G5" s="25">
        <f>F5 * (1 + 0.0751)</f>
        <v/>
      </c>
      <c r="H5" s="25">
        <f>G5 * (1 + 0.0751)</f>
        <v/>
      </c>
      <c r="I5" s="25">
        <f>H5 * (1 + 0.0751)</f>
        <v/>
      </c>
    </row>
    <row r="6">
      <c r="A6" s="15" t="inlineStr">
        <is>
          <t>DV xây dựng</t>
        </is>
      </c>
      <c r="B6" s="16" t="n">
        <v>140.8</v>
      </c>
      <c r="C6" s="16" t="n">
        <v>165.2</v>
      </c>
      <c r="D6" s="16" t="n">
        <v>182</v>
      </c>
      <c r="E6" s="16" t="n">
        <v>205.4</v>
      </c>
      <c r="F6" s="16" t="n">
        <v>230</v>
      </c>
      <c r="G6" s="25">
        <f>F6 * (1 + 0.1305)</f>
        <v/>
      </c>
      <c r="H6" s="25">
        <f>G6 * (1 + 0.1305)</f>
        <v/>
      </c>
      <c r="I6" s="25">
        <f>H6 * (1 + 0.1305)</f>
        <v/>
      </c>
    </row>
    <row r="7">
      <c r="A7" s="15" t="inlineStr">
        <is>
          <t>Bán bất động sản</t>
        </is>
      </c>
      <c r="B7" s="16" t="n">
        <v>85</v>
      </c>
      <c r="C7" s="16" t="n">
        <v>92.40000000000001</v>
      </c>
      <c r="D7" s="16" t="n">
        <v>105.8</v>
      </c>
      <c r="E7" s="16" t="n">
        <v>120.5</v>
      </c>
      <c r="F7" s="16" t="n">
        <v>140</v>
      </c>
      <c r="G7" s="25">
        <f>F7 * (1 + 0.1329)</f>
        <v/>
      </c>
      <c r="H7" s="25">
        <f>G7 * (1 + 0.1329)</f>
        <v/>
      </c>
      <c r="I7" s="25">
        <f>H7 * (1 + 0.1329)</f>
        <v/>
      </c>
    </row>
    <row r="8">
      <c r="A8" s="15" t="inlineStr">
        <is>
          <t>DV khác</t>
        </is>
      </c>
      <c r="B8" s="16" t="n">
        <v>180.2</v>
      </c>
      <c r="C8" s="16" t="n">
        <v>210.5</v>
      </c>
      <c r="D8" s="16" t="n">
        <v>242</v>
      </c>
      <c r="E8" s="16" t="n">
        <v>275.2</v>
      </c>
      <c r="F8" s="16" t="n">
        <v>305</v>
      </c>
      <c r="G8" s="25">
        <f>F8 * (1 + 0.0250)</f>
        <v/>
      </c>
      <c r="H8" s="25">
        <f>G8 * (1 + 0.0250)</f>
        <v/>
      </c>
      <c r="I8" s="25">
        <f>H8 * (1 + 0.0250)</f>
        <v/>
      </c>
    </row>
    <row r="9">
      <c r="A9" s="32" t="inlineStr">
        <is>
          <t>TỔNG DOANH THU</t>
        </is>
      </c>
      <c r="B9" s="33">
        <f>SUM(B2:B8)</f>
        <v/>
      </c>
      <c r="C9" s="33">
        <f>SUM(C2:C8)</f>
        <v/>
      </c>
      <c r="D9" s="33">
        <f>SUM(D2:D8)</f>
        <v/>
      </c>
      <c r="E9" s="33">
        <f>SUM(E2:E8)</f>
        <v/>
      </c>
      <c r="F9" s="33">
        <f>SUM(F2:F8)</f>
        <v/>
      </c>
      <c r="G9" s="33">
        <f>SUM(G2:G8)</f>
        <v/>
      </c>
      <c r="H9" s="33">
        <f>SUM(H2:H8)</f>
        <v/>
      </c>
      <c r="I9" s="33">
        <f>SUM(I2:I8)</f>
        <v/>
      </c>
    </row>
    <row r="10">
      <c r="A10" s="4" t="inlineStr">
        <is>
          <t>Giả định g (CAGR/YTD blend)</t>
        </is>
      </c>
      <c r="G10" s="34" t="n">
        <v>0.025</v>
      </c>
      <c r="H10" s="34" t="n">
        <v>0.025</v>
      </c>
      <c r="I10" s="34" t="n">
        <v>0.025</v>
      </c>
    </row>
    <row r="11">
      <c r="A11" s="4" t="inlineStr">
        <is>
          <t>YTD run-rate (tỷ, annualised)</t>
        </is>
      </c>
      <c r="G11" s="35" t="n">
        <v>228.8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s>
  <sheetData>
    <row r="1">
      <c r="A1" s="22" t="inlineStr">
        <is>
          <t>Mảng kinh doanh (Giá vốn)</t>
        </is>
      </c>
      <c r="B1" s="22" t="inlineStr">
        <is>
          <t>2021A</t>
        </is>
      </c>
      <c r="C1" s="22" t="inlineStr">
        <is>
          <t>2022A</t>
        </is>
      </c>
      <c r="D1" s="22" t="inlineStr">
        <is>
          <t>2023A</t>
        </is>
      </c>
      <c r="E1" s="22" t="inlineStr">
        <is>
          <t>2024A</t>
        </is>
      </c>
      <c r="F1" s="22" t="inlineStr">
        <is>
          <t>2025A</t>
        </is>
      </c>
      <c r="G1" s="22" t="inlineStr">
        <is>
          <t>2026E</t>
        </is>
      </c>
      <c r="H1" s="22" t="inlineStr">
        <is>
          <t>2027E</t>
        </is>
      </c>
      <c r="I1" s="22" t="inlineStr">
        <is>
          <t>2028E</t>
        </is>
      </c>
    </row>
    <row r="2">
      <c r="A2" s="15" t="inlineStr">
        <is>
          <t>DV tiện ích điện, nước KCN</t>
        </is>
      </c>
      <c r="B2" s="16" t="n">
        <v>4620.2</v>
      </c>
      <c r="C2" s="16" t="n">
        <v>4980.5</v>
      </c>
      <c r="D2" s="16" t="n">
        <v>5350.2</v>
      </c>
      <c r="E2" s="16" t="n">
        <v>5680.4</v>
      </c>
      <c r="F2" s="16" t="n">
        <v>6050.2</v>
      </c>
      <c r="G2" s="25">
        <f>'04_Segments_DT'!G2 * (1 - '06_Segments_GM'!G2)</f>
        <v/>
      </c>
      <c r="H2" s="25">
        <f>'04_Segments_DT'!H2 * (1 - '06_Segments_GM'!H2)</f>
        <v/>
      </c>
      <c r="I2" s="25">
        <f>'04_Segments_DT'!I2 * (1 - '06_Segments_GM'!I2)</f>
        <v/>
      </c>
    </row>
    <row r="3">
      <c r="A3" s="15" t="inlineStr">
        <is>
          <t>Bán hàng hóa, thành phẩm</t>
        </is>
      </c>
      <c r="B3" s="16" t="n">
        <v>105.3</v>
      </c>
      <c r="C3" s="16" t="n">
        <v>128</v>
      </c>
      <c r="D3" s="16" t="n">
        <v>145.4</v>
      </c>
      <c r="E3" s="16" t="n">
        <v>156.2</v>
      </c>
      <c r="F3" s="16" t="n">
        <v>168.4</v>
      </c>
      <c r="G3" s="25">
        <f>'04_Segments_DT'!G3 * (1 - '06_Segments_GM'!G3)</f>
        <v/>
      </c>
      <c r="H3" s="25">
        <f>'04_Segments_DT'!H3 * (1 - '06_Segments_GM'!H3)</f>
        <v/>
      </c>
      <c r="I3" s="25">
        <f>'04_Segments_DT'!I3 * (1 - '06_Segments_GM'!I3)</f>
        <v/>
      </c>
    </row>
    <row r="4">
      <c r="A4" s="15" t="inlineStr">
        <is>
          <t>DV tiện ích KCN khác</t>
        </is>
      </c>
      <c r="B4" s="16" t="n">
        <v>310.4</v>
      </c>
      <c r="C4" s="16" t="n">
        <v>340.2</v>
      </c>
      <c r="D4" s="16" t="n">
        <v>365.2</v>
      </c>
      <c r="E4" s="16" t="n">
        <v>395</v>
      </c>
      <c r="F4" s="16" t="n">
        <v>420.5</v>
      </c>
      <c r="G4" s="25">
        <f>'04_Segments_DT'!G4 * (1 - '06_Segments_GM'!G4)</f>
        <v/>
      </c>
      <c r="H4" s="25">
        <f>'04_Segments_DT'!H4 * (1 - '06_Segments_GM'!H4)</f>
        <v/>
      </c>
      <c r="I4" s="25">
        <f>'04_Segments_DT'!I4 * (1 - '06_Segments_GM'!I4)</f>
        <v/>
      </c>
    </row>
    <row r="5">
      <c r="A5" s="15" t="inlineStr">
        <is>
          <t>Cho thuê đất đã phát triển CSHT</t>
        </is>
      </c>
      <c r="B5" s="16" t="n">
        <v>110.2</v>
      </c>
      <c r="C5" s="16" t="n">
        <v>125.8</v>
      </c>
      <c r="D5" s="16" t="n">
        <v>148.6</v>
      </c>
      <c r="E5" s="16" t="n">
        <v>172.5</v>
      </c>
      <c r="F5" s="16" t="n">
        <v>190.2</v>
      </c>
      <c r="G5" s="25">
        <f>'04_Segments_DT'!G5 * (1 - '06_Segments_GM'!G5)</f>
        <v/>
      </c>
      <c r="H5" s="25">
        <f>'04_Segments_DT'!H5 * (1 - '06_Segments_GM'!H5)</f>
        <v/>
      </c>
      <c r="I5" s="25">
        <f>'04_Segments_DT'!I5 * (1 - '06_Segments_GM'!I5)</f>
        <v/>
      </c>
    </row>
    <row r="6">
      <c r="A6" s="15" t="inlineStr">
        <is>
          <t>DV xây dựng</t>
        </is>
      </c>
      <c r="B6" s="16" t="n">
        <v>125.4</v>
      </c>
      <c r="C6" s="16" t="n">
        <v>148</v>
      </c>
      <c r="D6" s="16" t="n">
        <v>162.5</v>
      </c>
      <c r="E6" s="16" t="n">
        <v>182</v>
      </c>
      <c r="F6" s="16" t="n">
        <v>198.5</v>
      </c>
      <c r="G6" s="25">
        <f>'04_Segments_DT'!G6 * (1 - '06_Segments_GM'!G6)</f>
        <v/>
      </c>
      <c r="H6" s="25">
        <f>'04_Segments_DT'!H6 * (1 - '06_Segments_GM'!H6)</f>
        <v/>
      </c>
      <c r="I6" s="25">
        <f>'04_Segments_DT'!I6 * (1 - '06_Segments_GM'!I6)</f>
        <v/>
      </c>
    </row>
    <row r="7">
      <c r="A7" s="15" t="inlineStr">
        <is>
          <t>Bán bất động sản</t>
        </is>
      </c>
      <c r="B7" s="16" t="n">
        <v>35.2</v>
      </c>
      <c r="C7" s="16" t="n">
        <v>38</v>
      </c>
      <c r="D7" s="16" t="n">
        <v>42</v>
      </c>
      <c r="E7" s="16" t="n">
        <v>48.4</v>
      </c>
      <c r="F7" s="16" t="n">
        <v>55</v>
      </c>
      <c r="G7" s="25">
        <f>'04_Segments_DT'!G7 * (1 - '06_Segments_GM'!G7)</f>
        <v/>
      </c>
      <c r="H7" s="25">
        <f>'04_Segments_DT'!H7 * (1 - '06_Segments_GM'!H7)</f>
        <v/>
      </c>
      <c r="I7" s="25">
        <f>'04_Segments_DT'!I7 * (1 - '06_Segments_GM'!I7)</f>
        <v/>
      </c>
    </row>
    <row r="8">
      <c r="A8" s="15" t="inlineStr">
        <is>
          <t>DV khác</t>
        </is>
      </c>
      <c r="B8" s="16" t="n">
        <v>145.1</v>
      </c>
      <c r="C8" s="16" t="n">
        <v>172.4</v>
      </c>
      <c r="D8" s="16" t="n">
        <v>195.8</v>
      </c>
      <c r="E8" s="16" t="n">
        <v>218</v>
      </c>
      <c r="F8" s="16" t="n">
        <v>242</v>
      </c>
      <c r="G8" s="25">
        <f>'04_Segments_DT'!G8 * (1 - '06_Segments_GM'!G8)</f>
        <v/>
      </c>
      <c r="H8" s="25">
        <f>'04_Segments_DT'!H8 * (1 - '06_Segments_GM'!H8)</f>
        <v/>
      </c>
      <c r="I8" s="25">
        <f>'04_Segments_DT'!I8 * (1 - '06_Segments_GM'!I8)</f>
        <v/>
      </c>
    </row>
    <row r="9">
      <c r="A9" s="32" t="inlineStr">
        <is>
          <t>TỔNG GIÁ VỐN</t>
        </is>
      </c>
      <c r="B9" s="33">
        <f>SUM(B2:B8)</f>
        <v/>
      </c>
      <c r="C9" s="33">
        <f>SUM(C2:C8)</f>
        <v/>
      </c>
      <c r="D9" s="33">
        <f>SUM(D2:D8)</f>
        <v/>
      </c>
      <c r="E9" s="33">
        <f>SUM(E2:E8)</f>
        <v/>
      </c>
      <c r="F9" s="33">
        <f>SUM(F2:F8)</f>
        <v/>
      </c>
      <c r="G9" s="33">
        <f>SUM(G2:G8)</f>
        <v/>
      </c>
      <c r="H9" s="33">
        <f>SUM(H2:H8)</f>
        <v/>
      </c>
      <c r="I9" s="33">
        <f>SUM(I2:I8)</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s>
  <sheetData>
    <row r="1">
      <c r="A1" s="22" t="inlineStr">
        <is>
          <t>Mảng kinh doanh (Biên LNG %)</t>
        </is>
      </c>
      <c r="B1" s="22" t="inlineStr">
        <is>
          <t>2021A</t>
        </is>
      </c>
      <c r="C1" s="22" t="inlineStr">
        <is>
          <t>2022A</t>
        </is>
      </c>
      <c r="D1" s="22" t="inlineStr">
        <is>
          <t>2023A</t>
        </is>
      </c>
      <c r="E1" s="22" t="inlineStr">
        <is>
          <t>2024A</t>
        </is>
      </c>
      <c r="F1" s="22" t="inlineStr">
        <is>
          <t>2025A</t>
        </is>
      </c>
      <c r="G1" s="22" t="inlineStr">
        <is>
          <t>2026E</t>
        </is>
      </c>
      <c r="H1" s="22" t="inlineStr">
        <is>
          <t>2027E</t>
        </is>
      </c>
      <c r="I1" s="22" t="inlineStr">
        <is>
          <t>2028E</t>
        </is>
      </c>
    </row>
    <row r="2">
      <c r="A2" s="15" t="inlineStr">
        <is>
          <t>DV tiện ích điện, nước KCN</t>
        </is>
      </c>
      <c r="B2" s="19">
        <f>IF('04_Segments_DT'!B2=0, 0, ('04_Segments_DT'!B2 - '05_Segments_GV'!B2) / '04_Segments_DT'!B2)</f>
        <v/>
      </c>
      <c r="C2" s="19">
        <f>IF('04_Segments_DT'!C2=0, 0, ('04_Segments_DT'!C2 - '05_Segments_GV'!C2) / '04_Segments_DT'!C2)</f>
        <v/>
      </c>
      <c r="D2" s="19">
        <f>IF('04_Segments_DT'!D2=0, 0, ('04_Segments_DT'!D2 - '05_Segments_GV'!D2) / '04_Segments_DT'!D2)</f>
        <v/>
      </c>
      <c r="E2" s="19">
        <f>IF('04_Segments_DT'!E2=0, 0, ('04_Segments_DT'!E2 - '05_Segments_GV'!E2) / '04_Segments_DT'!E2)</f>
        <v/>
      </c>
      <c r="F2" s="19">
        <f>IF('04_Segments_DT'!F2=0, 0, ('04_Segments_DT'!F2 - '05_Segments_GV'!F2) / '04_Segments_DT'!F2)</f>
        <v/>
      </c>
      <c r="G2" s="23" t="n">
        <v>0.0762</v>
      </c>
      <c r="H2" s="23" t="n">
        <v>0.0762</v>
      </c>
      <c r="I2" s="23" t="n">
        <v>0.0762</v>
      </c>
    </row>
    <row r="3">
      <c r="A3" s="15" t="inlineStr">
        <is>
          <t>Bán hàng hóa, thành phẩm</t>
        </is>
      </c>
      <c r="B3" s="19">
        <f>IF('04_Segments_DT'!B3=0, 0, ('04_Segments_DT'!B3 - '05_Segments_GV'!B3) / '04_Segments_DT'!B3)</f>
        <v/>
      </c>
      <c r="C3" s="19">
        <f>IF('04_Segments_DT'!C3=0, 0, ('04_Segments_DT'!C3 - '05_Segments_GV'!C3) / '04_Segments_DT'!C3)</f>
        <v/>
      </c>
      <c r="D3" s="19">
        <f>IF('04_Segments_DT'!D3=0, 0, ('04_Segments_DT'!D3 - '05_Segments_GV'!D3) / '04_Segments_DT'!D3)</f>
        <v/>
      </c>
      <c r="E3" s="19">
        <f>IF('04_Segments_DT'!E3=0, 0, ('04_Segments_DT'!E3 - '05_Segments_GV'!E3) / '04_Segments_DT'!E3)</f>
        <v/>
      </c>
      <c r="F3" s="19">
        <f>IF('04_Segments_DT'!F3=0, 0, ('04_Segments_DT'!F3 - '05_Segments_GV'!F3) / '04_Segments_DT'!F3)</f>
        <v/>
      </c>
      <c r="G3" s="23" t="n">
        <v>0.1353</v>
      </c>
      <c r="H3" s="23" t="n">
        <v>0.1353</v>
      </c>
      <c r="I3" s="23" t="n">
        <v>0.1353</v>
      </c>
    </row>
    <row r="4">
      <c r="A4" s="15" t="inlineStr">
        <is>
          <t>DV tiện ích KCN khác</t>
        </is>
      </c>
      <c r="B4" s="19">
        <f>IF('04_Segments_DT'!B4=0, 0, ('04_Segments_DT'!B4 - '05_Segments_GV'!B4) / '04_Segments_DT'!B4)</f>
        <v/>
      </c>
      <c r="C4" s="19">
        <f>IF('04_Segments_DT'!C4=0, 0, ('04_Segments_DT'!C4 - '05_Segments_GV'!C4) / '04_Segments_DT'!C4)</f>
        <v/>
      </c>
      <c r="D4" s="19">
        <f>IF('04_Segments_DT'!D4=0, 0, ('04_Segments_DT'!D4 - '05_Segments_GV'!D4) / '04_Segments_DT'!D4)</f>
        <v/>
      </c>
      <c r="E4" s="19">
        <f>IF('04_Segments_DT'!E4=0, 0, ('04_Segments_DT'!E4 - '05_Segments_GV'!E4) / '04_Segments_DT'!E4)</f>
        <v/>
      </c>
      <c r="F4" s="19">
        <f>IF('04_Segments_DT'!F4=0, 0, ('04_Segments_DT'!F4 - '05_Segments_GV'!F4) / '04_Segments_DT'!F4)</f>
        <v/>
      </c>
      <c r="G4" s="23" t="n">
        <v>0.4738</v>
      </c>
      <c r="H4" s="23" t="n">
        <v>0.4738</v>
      </c>
      <c r="I4" s="23" t="n">
        <v>0.4738</v>
      </c>
    </row>
    <row r="5">
      <c r="A5" s="15" t="inlineStr">
        <is>
          <t>Cho thuê đất đã phát triển CSHT</t>
        </is>
      </c>
      <c r="B5" s="19">
        <f>IF('04_Segments_DT'!B5=0, 0, ('04_Segments_DT'!B5 - '05_Segments_GV'!B5) / '04_Segments_DT'!B5)</f>
        <v/>
      </c>
      <c r="C5" s="19">
        <f>IF('04_Segments_DT'!C5=0, 0, ('04_Segments_DT'!C5 - '05_Segments_GV'!C5) / '04_Segments_DT'!C5)</f>
        <v/>
      </c>
      <c r="D5" s="19">
        <f>IF('04_Segments_DT'!D5=0, 0, ('04_Segments_DT'!D5 - '05_Segments_GV'!D5) / '04_Segments_DT'!D5)</f>
        <v/>
      </c>
      <c r="E5" s="19">
        <f>IF('04_Segments_DT'!E5=0, 0, ('04_Segments_DT'!E5 - '05_Segments_GV'!E5) / '04_Segments_DT'!E5)</f>
        <v/>
      </c>
      <c r="F5" s="19">
        <f>IF('04_Segments_DT'!F5=0, 0, ('04_Segments_DT'!F5 - '05_Segments_GV'!F5) / '04_Segments_DT'!F5)</f>
        <v/>
      </c>
      <c r="G5" s="23" t="n">
        <v>0.7188</v>
      </c>
      <c r="H5" s="23" t="n">
        <v>0.7188</v>
      </c>
      <c r="I5" s="23" t="n">
        <v>0.7188</v>
      </c>
    </row>
    <row r="6">
      <c r="A6" s="15" t="inlineStr">
        <is>
          <t>DV xây dựng</t>
        </is>
      </c>
      <c r="B6" s="19">
        <f>IF('04_Segments_DT'!B6=0, 0, ('04_Segments_DT'!B6 - '05_Segments_GV'!B6) / '04_Segments_DT'!B6)</f>
        <v/>
      </c>
      <c r="C6" s="19">
        <f>IF('04_Segments_DT'!C6=0, 0, ('04_Segments_DT'!C6 - '05_Segments_GV'!C6) / '04_Segments_DT'!C6)</f>
        <v/>
      </c>
      <c r="D6" s="19">
        <f>IF('04_Segments_DT'!D6=0, 0, ('04_Segments_DT'!D6 - '05_Segments_GV'!D6) / '04_Segments_DT'!D6)</f>
        <v/>
      </c>
      <c r="E6" s="19">
        <f>IF('04_Segments_DT'!E6=0, 0, ('04_Segments_DT'!E6 - '05_Segments_GV'!E6) / '04_Segments_DT'!E6)</f>
        <v/>
      </c>
      <c r="F6" s="19">
        <f>IF('04_Segments_DT'!F6=0, 0, ('04_Segments_DT'!F6 - '05_Segments_GV'!F6) / '04_Segments_DT'!F6)</f>
        <v/>
      </c>
      <c r="G6" s="23" t="n">
        <v>0.1254</v>
      </c>
      <c r="H6" s="23" t="n">
        <v>0.1254</v>
      </c>
      <c r="I6" s="23" t="n">
        <v>0.1254</v>
      </c>
    </row>
    <row r="7">
      <c r="A7" s="15" t="inlineStr">
        <is>
          <t>Bán bất động sản</t>
        </is>
      </c>
      <c r="B7" s="19">
        <f>IF('04_Segments_DT'!B7=0, 0, ('04_Segments_DT'!B7 - '05_Segments_GV'!B7) / '04_Segments_DT'!B7)</f>
        <v/>
      </c>
      <c r="C7" s="19">
        <f>IF('04_Segments_DT'!C7=0, 0, ('04_Segments_DT'!C7 - '05_Segments_GV'!C7) / '04_Segments_DT'!C7)</f>
        <v/>
      </c>
      <c r="D7" s="19">
        <f>IF('04_Segments_DT'!D7=0, 0, ('04_Segments_DT'!D7 - '05_Segments_GV'!D7) / '04_Segments_DT'!D7)</f>
        <v/>
      </c>
      <c r="E7" s="19">
        <f>IF('04_Segments_DT'!E7=0, 0, ('04_Segments_DT'!E7 - '05_Segments_GV'!E7) / '04_Segments_DT'!E7)</f>
        <v/>
      </c>
      <c r="F7" s="19">
        <f>IF('04_Segments_DT'!F7=0, 0, ('04_Segments_DT'!F7 - '05_Segments_GV'!F7) / '04_Segments_DT'!F7)</f>
        <v/>
      </c>
      <c r="G7" s="23" t="n">
        <v>0.6027</v>
      </c>
      <c r="H7" s="23" t="n">
        <v>0.6027</v>
      </c>
      <c r="I7" s="23" t="n">
        <v>0.6027</v>
      </c>
    </row>
    <row r="8">
      <c r="A8" s="15" t="inlineStr">
        <is>
          <t>DV khác</t>
        </is>
      </c>
      <c r="B8" s="19">
        <f>IF('04_Segments_DT'!B8=0, 0, ('04_Segments_DT'!B8 - '05_Segments_GV'!B8) / '04_Segments_DT'!B8)</f>
        <v/>
      </c>
      <c r="C8" s="19">
        <f>IF('04_Segments_DT'!C8=0, 0, ('04_Segments_DT'!C8 - '05_Segments_GV'!C8) / '04_Segments_DT'!C8)</f>
        <v/>
      </c>
      <c r="D8" s="19">
        <f>IF('04_Segments_DT'!D8=0, 0, ('04_Segments_DT'!D8 - '05_Segments_GV'!D8) / '04_Segments_DT'!D8)</f>
        <v/>
      </c>
      <c r="E8" s="19">
        <f>IF('04_Segments_DT'!E8=0, 0, ('04_Segments_DT'!E8 - '05_Segments_GV'!E8) / '04_Segments_DT'!E8)</f>
        <v/>
      </c>
      <c r="F8" s="19">
        <f>IF('04_Segments_DT'!F8=0, 0, ('04_Segments_DT'!F8 - '05_Segments_GV'!F8) / '04_Segments_DT'!F8)</f>
        <v/>
      </c>
      <c r="G8" s="23" t="n">
        <v>0.2072</v>
      </c>
      <c r="H8" s="23" t="n">
        <v>0.2072</v>
      </c>
      <c r="I8" s="23" t="n">
        <v>0.2072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s>
  <sheetData>
    <row r="1">
      <c r="A1" s="22" t="inlineStr">
        <is>
          <t>Chỉ tiêu BS (tỷ VND)</t>
        </is>
      </c>
      <c r="B1" s="22" t="inlineStr">
        <is>
          <t>2021A</t>
        </is>
      </c>
      <c r="C1" s="22" t="inlineStr">
        <is>
          <t>2022A</t>
        </is>
      </c>
      <c r="D1" s="22" t="inlineStr">
        <is>
          <t>2023A</t>
        </is>
      </c>
      <c r="E1" s="22" t="inlineStr">
        <is>
          <t>2024A</t>
        </is>
      </c>
      <c r="F1" s="22" t="inlineStr">
        <is>
          <t>2025A</t>
        </is>
      </c>
    </row>
    <row r="2">
      <c r="A2" s="15" t="inlineStr">
        <is>
          <t>Tiền &amp; tương đương</t>
        </is>
      </c>
      <c r="B2" s="36" t="n">
        <v>774.4</v>
      </c>
      <c r="C2" s="36" t="n">
        <v>439.73</v>
      </c>
      <c r="D2" s="36" t="n">
        <v>829.3</v>
      </c>
      <c r="E2" s="36" t="n">
        <v>645.6</v>
      </c>
      <c r="F2" s="36" t="n">
        <v>844.6</v>
      </c>
    </row>
    <row r="3">
      <c r="A3" s="15" t="inlineStr">
        <is>
          <t>Tổng tài sản</t>
        </is>
      </c>
      <c r="B3" s="36" t="n">
        <v>17817.26</v>
      </c>
      <c r="C3" s="36" t="n">
        <v>19003.42</v>
      </c>
      <c r="D3" s="36" t="n">
        <v>21060.43</v>
      </c>
      <c r="E3" s="36" t="n">
        <v>25052.88</v>
      </c>
      <c r="F3" s="36" t="n">
        <v>28670.19</v>
      </c>
    </row>
    <row r="4">
      <c r="A4" s="15" t="inlineStr">
        <is>
          <t>Vay ngắn hạn</t>
        </is>
      </c>
      <c r="B4" s="36" t="n">
        <v>450.41</v>
      </c>
      <c r="C4" s="36" t="n">
        <v>688.95</v>
      </c>
      <c r="D4" s="36" t="n">
        <v>1595.16</v>
      </c>
      <c r="E4" s="36" t="n">
        <v>2465.71</v>
      </c>
      <c r="F4" s="36" t="n">
        <v>3748.42</v>
      </c>
    </row>
    <row r="5">
      <c r="A5" s="15" t="inlineStr">
        <is>
          <t>Vay dài hạn</t>
        </is>
      </c>
      <c r="B5" s="36" t="n">
        <v>6.36</v>
      </c>
      <c r="C5" s="36" t="n">
        <v>1.51</v>
      </c>
      <c r="D5" s="36" t="n">
        <v>90.69</v>
      </c>
      <c r="E5" s="36" t="n">
        <v>1132.07</v>
      </c>
      <c r="F5" s="36" t="n">
        <v>1069.11</v>
      </c>
    </row>
    <row r="6">
      <c r="A6" s="15" t="inlineStr">
        <is>
          <t>Tổng nợ phải trả</t>
        </is>
      </c>
      <c r="B6" s="36" t="n">
        <v>14519.38</v>
      </c>
      <c r="C6" s="36" t="n">
        <v>15342.59</v>
      </c>
      <c r="D6" s="36" t="n">
        <v>17032.38</v>
      </c>
      <c r="E6" s="36" t="n">
        <v>20185.06</v>
      </c>
      <c r="F6" s="36" t="n">
        <v>22856.2</v>
      </c>
    </row>
    <row r="7">
      <c r="A7" s="15" t="inlineStr">
        <is>
          <t>VCSH (bao gồm NCI)</t>
        </is>
      </c>
      <c r="B7" s="36" t="n">
        <v>3297.88</v>
      </c>
      <c r="C7" s="36" t="n">
        <v>3660.83</v>
      </c>
      <c r="D7" s="36" t="n">
        <v>4028.05</v>
      </c>
      <c r="E7" s="36" t="n">
        <v>4867.82</v>
      </c>
      <c r="F7" s="36" t="n">
        <v>5813.98</v>
      </c>
    </row>
    <row r="8">
      <c r="A8" s="15" t="inlineStr">
        <is>
          <t>Vốn góp (charter capital)</t>
        </is>
      </c>
      <c r="B8" s="36" t="n">
        <v>929.04</v>
      </c>
      <c r="C8" s="36" t="n">
        <v>909.04</v>
      </c>
      <c r="D8" s="36" t="n">
        <v>1818.08</v>
      </c>
      <c r="E8" s="36" t="n">
        <v>2105.33</v>
      </c>
      <c r="F8" s="36" t="n">
        <v>2421.13</v>
      </c>
    </row>
    <row r="9">
      <c r="A9" s="15" t="inlineStr">
        <is>
          <t>NCI (cổ đông thiểu số)</t>
        </is>
      </c>
      <c r="B9" s="36" t="n">
        <v>320.67</v>
      </c>
      <c r="C9" s="36" t="n">
        <v>415.98</v>
      </c>
      <c r="D9" s="36" t="n">
        <v>461.25</v>
      </c>
      <c r="E9" s="36" t="n">
        <v>528.14</v>
      </c>
      <c r="F9" s="36" t="n">
        <v>661.34</v>
      </c>
    </row>
    <row r="10">
      <c r="A10" s="37" t="inlineStr">
        <is>
          <t>VCSH cổ đông mẹ (= VCSH − NCI)</t>
        </is>
      </c>
      <c r="B10" s="20" t="n">
        <v>2977.21</v>
      </c>
      <c r="C10" s="20" t="n">
        <v>3244.85</v>
      </c>
      <c r="D10" s="20" t="n">
        <v>3566.8</v>
      </c>
      <c r="E10" s="20" t="n">
        <v>4339.68</v>
      </c>
      <c r="F10" s="20" t="n">
        <v>5152.64</v>
      </c>
    </row>
    <row r="12">
      <c r="A12" s="15" t="inlineStr">
        <is>
          <t>BVPS mẹ (VND/cp)</t>
        </is>
      </c>
      <c r="B12" s="36" t="n">
        <v>12297</v>
      </c>
      <c r="C12" s="36" t="n">
        <v>13402</v>
      </c>
      <c r="D12" s="36" t="n">
        <v>14732</v>
      </c>
      <c r="E12" s="36" t="n">
        <v>17924</v>
      </c>
      <c r="F12" s="36" t="n">
        <v>21282</v>
      </c>
    </row>
    <row r="13">
      <c r="A13" s="15" t="inlineStr">
        <is>
          <t>EPS cơ bản (VND/cp)</t>
        </is>
      </c>
      <c r="B13" s="36" t="n">
        <v>8992</v>
      </c>
      <c r="C13" s="36" t="n">
        <v>4697</v>
      </c>
      <c r="D13" s="36" t="n">
        <v>3992</v>
      </c>
      <c r="E13" s="36" t="n">
        <v>4379</v>
      </c>
      <c r="F13" s="36" t="n">
        <v>4972</v>
      </c>
    </row>
    <row r="14">
      <c r="A14" s="15" t="inlineStr">
        <is>
          <t>Payout ratio lịch sử</t>
        </is>
      </c>
      <c r="B14" s="31" t="n">
        <v>0.3083</v>
      </c>
      <c r="C14" s="31" t="n">
        <v>0.2056</v>
      </c>
      <c r="D14" s="31" t="n">
        <v>0.5672</v>
      </c>
      <c r="E14" s="31" t="n">
        <v>0.3067</v>
      </c>
      <c r="F14" s="31" t="n">
        <v>0.3276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8" customWidth="1" min="1" max="1"/>
    <col width="16" customWidth="1" min="2" max="2"/>
    <col width="45" customWidth="1" min="3" max="3"/>
  </cols>
  <sheetData>
    <row r="1">
      <c r="A1" s="22" t="inlineStr">
        <is>
          <t>Định giá KCN (40%P/E + 40%P/B + 20%RI)</t>
        </is>
      </c>
      <c r="B1" s="22" t="inlineStr">
        <is>
          <t>Giá trị</t>
        </is>
      </c>
      <c r="C1" s="22" t="inlineStr">
        <is>
          <t>Ghi chú</t>
        </is>
      </c>
    </row>
    <row r="2">
      <c r="A2" s="38" t="inlineStr">
        <is>
          <t>─ COE &amp; CAPM ─</t>
        </is>
      </c>
      <c r="B2" s="39" t="inlineStr"/>
      <c r="C2" s="4" t="inlineStr"/>
    </row>
    <row r="3">
      <c r="A3" s="15" t="inlineStr">
        <is>
          <t>Rf (lãi suất phi rủi ro)</t>
        </is>
      </c>
      <c r="B3" s="16">
        <f>'00_COE'!B4</f>
        <v/>
      </c>
      <c r="C3" s="4" t="inlineStr">
        <is>
          <t>TPCP 10Y VN</t>
        </is>
      </c>
    </row>
    <row r="4">
      <c r="A4" s="15" t="inlineStr">
        <is>
          <t>Beta</t>
        </is>
      </c>
      <c r="B4" s="40">
        <f>'00_COE'!B5</f>
        <v/>
      </c>
      <c r="C4" s="4" t="inlineStr">
        <is>
          <t>Tự tính toán (1619 phiên)</t>
        </is>
      </c>
    </row>
    <row r="5">
      <c r="A5" s="15" t="inlineStr">
        <is>
          <t>ERP</t>
        </is>
      </c>
      <c r="B5" s="16">
        <f>'00_COE'!B6</f>
        <v/>
      </c>
      <c r="C5" s="4" t="inlineStr">
        <is>
          <t>Phần bù rủi ro TTCK VN</t>
        </is>
      </c>
    </row>
    <row r="6">
      <c r="A6" s="15" t="inlineStr">
        <is>
          <t>Phần bù rủi ro đặc thù</t>
        </is>
      </c>
      <c r="B6" s="16">
        <f>'00_COE'!B7</f>
        <v/>
      </c>
      <c r="C6" s="4" t="inlineStr">
        <is>
          <t>Phần bù rủi ro quốc gia/ngành đặc thù</t>
        </is>
      </c>
    </row>
    <row r="7">
      <c r="A7" s="15" t="inlineStr">
        <is>
          <t>COE = Rf + β × ERP + PBĐT</t>
        </is>
      </c>
      <c r="B7" s="19">
        <f>'00_COE'!B9</f>
        <v/>
      </c>
      <c r="C7" s="4" t="inlineStr">
        <is>
          <t>Chi phí vốn chủ sở hữu</t>
        </is>
      </c>
    </row>
    <row r="8">
      <c r="A8" s="38" t="inlineStr">
        <is>
          <t>─ P/E ─</t>
        </is>
      </c>
      <c r="B8" s="39" t="inlineStr"/>
      <c r="C8" s="4" t="inlineStr"/>
    </row>
    <row r="9">
      <c r="A9" s="15" t="inlineStr">
        <is>
          <t>EPS forward 1Y (VND)</t>
        </is>
      </c>
      <c r="B9" s="16" t="n">
        <v>5549</v>
      </c>
      <c r="C9" s="4" t="inlineStr">
        <is>
          <t>Formula: EPS_last × (1 + CAGR EPS)</t>
        </is>
      </c>
    </row>
    <row r="10">
      <c r="A10" s="15" t="inlineStr">
        <is>
          <t>P/E mục tiêu</t>
        </is>
      </c>
      <c r="B10" s="40">
        <f>02_Assumptions!B12</f>
        <v/>
      </c>
      <c r="C10" s="4" t="inlineStr">
        <is>
          <t>Median P/E lịch sử, kẹp [8,25]</t>
        </is>
      </c>
    </row>
    <row r="11">
      <c r="A11" s="15" t="inlineStr">
        <is>
          <t>Giá hợp lý P/E</t>
        </is>
      </c>
      <c r="B11" s="40">
        <f>B9*B10</f>
        <v/>
      </c>
      <c r="C11" s="4" t="inlineStr">
        <is>
          <t>Formula: P/E × EPS_fc1</t>
        </is>
      </c>
    </row>
    <row r="12">
      <c r="A12" s="38" t="inlineStr">
        <is>
          <t>─ P/B ─</t>
        </is>
      </c>
      <c r="B12" s="39" t="inlineStr"/>
      <c r="C12" s="4" t="inlineStr"/>
    </row>
    <row r="13">
      <c r="A13" s="15" t="inlineStr">
        <is>
          <t>BVPS forward 1Y (VND)</t>
        </is>
      </c>
      <c r="B13" s="16" t="n">
        <v>24927</v>
      </c>
      <c r="C13" s="4" t="inlineStr">
        <is>
          <t>Roll-forward trừ cổ tức</t>
        </is>
      </c>
    </row>
    <row r="14">
      <c r="A14" s="15" t="inlineStr">
        <is>
          <t>P/B mục tiêu</t>
        </is>
      </c>
      <c r="B14" s="40">
        <f>02_Assumptions!B13</f>
        <v/>
      </c>
      <c r="C14" s="4" t="inlineStr">
        <is>
          <t>Median P/B lịch sử, kẹp [0.6,4]</t>
        </is>
      </c>
    </row>
    <row r="15">
      <c r="A15" s="15" t="inlineStr">
        <is>
          <t>Giá hợp lý P/B</t>
        </is>
      </c>
      <c r="B15" s="40">
        <f>B13*B14</f>
        <v/>
      </c>
      <c r="C15" s="4" t="inlineStr">
        <is>
          <t>Formula: P/B × BVPS_fc1</t>
        </is>
      </c>
    </row>
    <row r="16">
      <c r="A16" s="38" t="inlineStr">
        <is>
          <t>─ Residual Income ─</t>
        </is>
      </c>
      <c r="B16" s="39" t="inlineStr"/>
      <c r="C16" s="4" t="inlineStr"/>
    </row>
    <row r="17">
      <c r="A17" s="15" t="inlineStr">
        <is>
          <t>BVPS hiện tại (VND)</t>
        </is>
      </c>
      <c r="B17" s="16">
        <f>02_Assumptions!B8</f>
        <v/>
      </c>
      <c r="C17" s="4" t="inlineStr">
        <is>
          <t>bsa78 − bsa210 / shares</t>
        </is>
      </c>
    </row>
    <row r="18">
      <c r="A18" s="15" t="inlineStr">
        <is>
          <t>CAGR EPS</t>
        </is>
      </c>
      <c r="B18" s="16">
        <f>02_Assumptions!B10</f>
        <v/>
      </c>
      <c r="C18" s="4" t="inlineStr">
        <is>
          <t>Kẹp [−10%, +20%]</t>
        </is>
      </c>
    </row>
    <row r="19">
      <c r="A19" s="15" t="inlineStr">
        <is>
          <t>RI Năm 1 (VND)</t>
        </is>
      </c>
      <c r="B19" s="16" t="n">
        <v>2447.8</v>
      </c>
      <c r="C19" s="4" t="inlineStr">
        <is>
          <t>PV EPS1 − COE×BVPS0</t>
        </is>
      </c>
    </row>
    <row r="20">
      <c r="A20" s="15" t="inlineStr">
        <is>
          <t>RI Năm 2 (VND)</t>
        </is>
      </c>
      <c r="B20" s="16" t="n">
        <v>2295.8</v>
      </c>
      <c r="C20" s="4" t="inlineStr">
        <is>
          <t>PV EPS2 − COE×BVPS1</t>
        </is>
      </c>
    </row>
    <row r="21">
      <c r="A21" s="15" t="inlineStr">
        <is>
          <t>RI Năm 3 (VND)</t>
        </is>
      </c>
      <c r="B21" s="16" t="n">
        <v>2159.7</v>
      </c>
      <c r="C21" s="4" t="inlineStr">
        <is>
          <t>PV EPS3 − COE×BVPS2</t>
        </is>
      </c>
    </row>
    <row r="22">
      <c r="A22" s="15" t="inlineStr">
        <is>
          <t>RI Terminal (PV, VND)</t>
        </is>
      </c>
      <c r="B22" s="16" t="n">
        <v>18629.5</v>
      </c>
      <c r="C22" s="4" t="inlineStr">
        <is>
          <t>Formula: TV/(COE-g)</t>
        </is>
      </c>
    </row>
    <row r="23">
      <c r="A23" s="15" t="inlineStr">
        <is>
          <t>Giá hợp lý RI (VND)</t>
        </is>
      </c>
      <c r="B23" s="16">
        <f>B17+B19+B20+B21+B22</f>
        <v/>
      </c>
      <c r="C23" s="4" t="inlineStr">
        <is>
          <t>Formula: BVPS + ΣRI_PV + Terminal_PV</t>
        </is>
      </c>
    </row>
    <row r="24">
      <c r="A24" s="38" t="inlineStr">
        <is>
          <t>─ KẾT QUẢ ─</t>
        </is>
      </c>
      <c r="B24" s="39" t="inlineStr"/>
      <c r="C24" s="4" t="inlineStr"/>
    </row>
    <row r="25">
      <c r="A25" s="15" t="inlineStr">
        <is>
          <t>Giá thị trường (VND)</t>
        </is>
      </c>
      <c r="B25" s="16">
        <f>02_Assumptions!B17</f>
        <v/>
      </c>
      <c r="C25" s="4" t="inlineStr"/>
    </row>
    <row r="26">
      <c r="A26" s="37" t="inlineStr">
        <is>
          <t>Giá mục tiêu (40+40+20)</t>
        </is>
      </c>
      <c r="B26" s="20">
        <f>0.4*B11+0.4*B15+0.2*B23</f>
        <v/>
      </c>
      <c r="C26" s="4" t="inlineStr">
        <is>
          <t>Tổng hợp 3 phương pháp</t>
        </is>
      </c>
    </row>
    <row r="27">
      <c r="A27" s="37" t="inlineStr">
        <is>
          <t>Upside / Downside</t>
        </is>
      </c>
      <c r="B27" s="41">
        <f>(B26-B25)/B25</f>
        <v/>
      </c>
      <c r="C27" s="4" t="inlineStr">
        <is>
          <t>+/- % so với giá thị trường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4" customWidth="1" min="11" max="11"/>
  </cols>
  <sheetData>
    <row r="1">
      <c r="A1" s="22" t="inlineStr">
        <is>
          <t>Mảng / Quý</t>
        </is>
      </c>
      <c r="B1" s="22" t="inlineStr">
        <is>
          <t>2024Q1</t>
        </is>
      </c>
      <c r="C1" s="22" t="inlineStr">
        <is>
          <t>2024Q2</t>
        </is>
      </c>
      <c r="D1" s="22" t="inlineStr">
        <is>
          <t>2024Q3</t>
        </is>
      </c>
      <c r="E1" s="22" t="inlineStr">
        <is>
          <t>2024Q4</t>
        </is>
      </c>
      <c r="F1" s="22" t="inlineStr">
        <is>
          <t>2025Q1</t>
        </is>
      </c>
      <c r="G1" s="22" t="inlineStr">
        <is>
          <t>2025Q2</t>
        </is>
      </c>
      <c r="H1" s="22" t="inlineStr">
        <is>
          <t>2025Q3</t>
        </is>
      </c>
      <c r="I1" s="22" t="inlineStr">
        <is>
          <t>2025Q4</t>
        </is>
      </c>
      <c r="J1" s="22" t="inlineStr">
        <is>
          <t>2026Q1</t>
        </is>
      </c>
      <c r="K1" s="22" t="inlineStr">
        <is>
          <t>Trung bình</t>
        </is>
      </c>
    </row>
    <row r="2">
      <c r="A2" s="15" t="inlineStr">
        <is>
          <t>DV tiện ích điện, nước KCN</t>
        </is>
      </c>
      <c r="B2" s="16" t="n">
        <v>1407.7</v>
      </c>
      <c r="C2" s="16" t="n">
        <v>1530.1</v>
      </c>
      <c r="D2" s="16" t="n">
        <v>1591.3</v>
      </c>
      <c r="E2" s="16" t="n">
        <v>1591.4</v>
      </c>
      <c r="F2" s="16" t="n">
        <v>1589.9</v>
      </c>
      <c r="G2" s="16" t="n">
        <v>1645</v>
      </c>
      <c r="H2" s="16" t="n">
        <v>1710.8</v>
      </c>
      <c r="I2" s="16" t="n">
        <v>1634.3</v>
      </c>
      <c r="J2" s="16" t="n">
        <v>1687.3</v>
      </c>
      <c r="K2" s="33">
        <f>AVERAGE(B2:J2)</f>
        <v/>
      </c>
    </row>
    <row r="3">
      <c r="A3" s="15" t="inlineStr">
        <is>
          <t>Bán hàng hóa, thành phẩm</t>
        </is>
      </c>
      <c r="B3" s="16" t="n">
        <v>41.5</v>
      </c>
      <c r="C3" s="16" t="n">
        <v>45.1</v>
      </c>
      <c r="D3" s="16" t="n">
        <v>46.9</v>
      </c>
      <c r="E3" s="16" t="n">
        <v>46.9</v>
      </c>
      <c r="F3" s="16" t="n">
        <v>24.3</v>
      </c>
      <c r="G3" s="16" t="n">
        <v>48.8</v>
      </c>
      <c r="H3" s="16" t="n">
        <v>50.7</v>
      </c>
      <c r="I3" s="16" t="n">
        <v>71.2</v>
      </c>
      <c r="J3" s="16" t="n">
        <v>40.8</v>
      </c>
      <c r="K3" s="33">
        <f>AVERAGE(B3:J3)</f>
        <v/>
      </c>
    </row>
    <row r="4">
      <c r="A4" s="15" t="inlineStr">
        <is>
          <t>DV tiện ích KCN khác</t>
        </is>
      </c>
      <c r="B4" s="16" t="n">
        <v>170.3</v>
      </c>
      <c r="C4" s="16" t="n">
        <v>185.2</v>
      </c>
      <c r="D4" s="16" t="n">
        <v>192.6</v>
      </c>
      <c r="E4" s="16" t="n">
        <v>192.5</v>
      </c>
      <c r="F4" s="16" t="n">
        <v>146.9</v>
      </c>
      <c r="G4" s="16" t="n">
        <v>202.5</v>
      </c>
      <c r="H4" s="16" t="n">
        <v>210.6</v>
      </c>
      <c r="I4" s="16" t="n">
        <v>250</v>
      </c>
      <c r="J4" s="16" t="n">
        <v>206.1</v>
      </c>
      <c r="K4" s="33">
        <f>AVERAGE(B4:J4)</f>
        <v/>
      </c>
    </row>
    <row r="5">
      <c r="A5" s="15" t="inlineStr">
        <is>
          <t>Cho thuê đất đã phát triển CSHT</t>
        </is>
      </c>
      <c r="B5" s="16" t="n">
        <v>140.3</v>
      </c>
      <c r="C5" s="16" t="n">
        <v>152.6</v>
      </c>
      <c r="D5" s="16" t="n">
        <v>158.7</v>
      </c>
      <c r="E5" s="16" t="n">
        <v>158.6</v>
      </c>
      <c r="F5" s="16" t="n">
        <v>117.3</v>
      </c>
      <c r="G5" s="16" t="n">
        <v>170</v>
      </c>
      <c r="H5" s="16" t="n">
        <v>176.8</v>
      </c>
      <c r="I5" s="16" t="n">
        <v>215.9</v>
      </c>
      <c r="J5" s="16" t="n">
        <v>116.6</v>
      </c>
      <c r="K5" s="33">
        <f>AVERAGE(B5:J5)</f>
        <v/>
      </c>
    </row>
    <row r="6">
      <c r="A6" s="15" t="inlineStr">
        <is>
          <t>DV xây dựng</t>
        </is>
      </c>
      <c r="B6" s="16" t="n">
        <v>47.2</v>
      </c>
      <c r="C6" s="16" t="n">
        <v>51.4</v>
      </c>
      <c r="D6" s="16" t="n">
        <v>53.4</v>
      </c>
      <c r="E6" s="16" t="n">
        <v>53.4</v>
      </c>
      <c r="F6" s="16" t="n">
        <v>0</v>
      </c>
      <c r="G6" s="16" t="n">
        <v>57.5</v>
      </c>
      <c r="H6" s="16" t="n">
        <v>59.8</v>
      </c>
      <c r="I6" s="16" t="n">
        <v>112.7</v>
      </c>
      <c r="J6" s="16" t="n">
        <v>17.8</v>
      </c>
      <c r="K6" s="33">
        <f>AVERAGE(B6:J6)</f>
        <v/>
      </c>
    </row>
    <row r="7">
      <c r="A7" s="15" t="inlineStr">
        <is>
          <t>Bán bất động sản</t>
        </is>
      </c>
      <c r="B7" s="16" t="n">
        <v>27.7</v>
      </c>
      <c r="C7" s="16" t="n">
        <v>30.1</v>
      </c>
      <c r="D7" s="16" t="n">
        <v>31.3</v>
      </c>
      <c r="E7" s="16" t="n">
        <v>31.4</v>
      </c>
      <c r="F7" s="16" t="n">
        <v>0</v>
      </c>
      <c r="G7" s="16" t="n">
        <v>35</v>
      </c>
      <c r="H7" s="16" t="n">
        <v>36.4</v>
      </c>
      <c r="I7" s="16" t="n">
        <v>68.59999999999999</v>
      </c>
      <c r="J7" s="16" t="n">
        <v>38.8</v>
      </c>
      <c r="K7" s="33">
        <f>AVERAGE(B7:J7)</f>
        <v/>
      </c>
    </row>
    <row r="8">
      <c r="A8" s="15" t="inlineStr">
        <is>
          <t>DV khác</t>
        </is>
      </c>
      <c r="B8" s="16" t="n">
        <v>63.3</v>
      </c>
      <c r="C8" s="16" t="n">
        <v>68.8</v>
      </c>
      <c r="D8" s="16" t="n">
        <v>71.59999999999999</v>
      </c>
      <c r="E8" s="16" t="n">
        <v>71.5</v>
      </c>
      <c r="F8" s="16" t="n">
        <v>62.9</v>
      </c>
      <c r="G8" s="16" t="n">
        <v>76.2</v>
      </c>
      <c r="H8" s="16" t="n">
        <v>79.3</v>
      </c>
      <c r="I8" s="16" t="n">
        <v>86.59999999999999</v>
      </c>
      <c r="J8" s="16" t="n">
        <v>57.2</v>
      </c>
      <c r="K8" s="33">
        <f>AVERAGE(B8:J8)</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4" customWidth="1" min="11" max="11"/>
  </cols>
  <sheetData>
    <row r="1">
      <c r="A1" s="22" t="inlineStr">
        <is>
          <t>Mảng / Quý</t>
        </is>
      </c>
      <c r="B1" s="22" t="inlineStr">
        <is>
          <t>2024Q1</t>
        </is>
      </c>
      <c r="C1" s="22" t="inlineStr">
        <is>
          <t>2024Q2</t>
        </is>
      </c>
      <c r="D1" s="22" t="inlineStr">
        <is>
          <t>2024Q3</t>
        </is>
      </c>
      <c r="E1" s="22" t="inlineStr">
        <is>
          <t>2024Q4</t>
        </is>
      </c>
      <c r="F1" s="22" t="inlineStr">
        <is>
          <t>2025Q1</t>
        </is>
      </c>
      <c r="G1" s="22" t="inlineStr">
        <is>
          <t>2025Q2</t>
        </is>
      </c>
      <c r="H1" s="22" t="inlineStr">
        <is>
          <t>2025Q3</t>
        </is>
      </c>
      <c r="I1" s="22" t="inlineStr">
        <is>
          <t>2025Q4</t>
        </is>
      </c>
      <c r="J1" s="22" t="inlineStr">
        <is>
          <t>2026Q1</t>
        </is>
      </c>
      <c r="K1" s="22" t="inlineStr">
        <is>
          <t>Trung bình</t>
        </is>
      </c>
    </row>
    <row r="2">
      <c r="A2" s="15" t="inlineStr">
        <is>
          <t>DV tiện ích điện, nước KCN</t>
        </is>
      </c>
      <c r="B2" s="16" t="n">
        <v>1306.5</v>
      </c>
      <c r="C2" s="16" t="n">
        <v>1420.1</v>
      </c>
      <c r="D2" s="16" t="n">
        <v>1476.9</v>
      </c>
      <c r="E2" s="16" t="n">
        <v>1476.9</v>
      </c>
      <c r="F2" s="16" t="n">
        <v>1456.9</v>
      </c>
      <c r="G2" s="16" t="n">
        <v>1512.5</v>
      </c>
      <c r="H2" s="16" t="n">
        <v>1573.1</v>
      </c>
      <c r="I2" s="16" t="n">
        <v>1507.7</v>
      </c>
      <c r="J2" s="16" t="n">
        <v>1562.6</v>
      </c>
      <c r="K2" s="33">
        <f>AVERAGE(B2:J2)</f>
        <v/>
      </c>
    </row>
    <row r="3">
      <c r="A3" s="15" t="inlineStr">
        <is>
          <t>Bán hàng hóa, thành phẩm</t>
        </is>
      </c>
      <c r="B3" s="16" t="n">
        <v>35.9</v>
      </c>
      <c r="C3" s="16" t="n">
        <v>39</v>
      </c>
      <c r="D3" s="16" t="n">
        <v>40.6</v>
      </c>
      <c r="E3" s="16" t="n">
        <v>40.7</v>
      </c>
      <c r="F3" s="16" t="n">
        <v>21.6</v>
      </c>
      <c r="G3" s="16" t="n">
        <v>42.1</v>
      </c>
      <c r="H3" s="16" t="n">
        <v>43.8</v>
      </c>
      <c r="I3" s="16" t="n">
        <v>60.9</v>
      </c>
      <c r="J3" s="16" t="n">
        <v>34.5</v>
      </c>
      <c r="K3" s="33">
        <f>AVERAGE(B3:J3)</f>
        <v/>
      </c>
    </row>
    <row r="4">
      <c r="A4" s="15" t="inlineStr">
        <is>
          <t>DV tiện ích KCN khác</t>
        </is>
      </c>
      <c r="B4" s="16" t="n">
        <v>90.90000000000001</v>
      </c>
      <c r="C4" s="16" t="n">
        <v>98.8</v>
      </c>
      <c r="D4" s="16" t="n">
        <v>102.7</v>
      </c>
      <c r="E4" s="16" t="n">
        <v>102.6</v>
      </c>
      <c r="F4" s="16" t="n">
        <v>57.4</v>
      </c>
      <c r="G4" s="16" t="n">
        <v>105.1</v>
      </c>
      <c r="H4" s="16" t="n">
        <v>109.3</v>
      </c>
      <c r="I4" s="16" t="n">
        <v>148.7</v>
      </c>
      <c r="J4" s="16" t="n">
        <v>97.7</v>
      </c>
      <c r="K4" s="33">
        <f>AVERAGE(B4:J4)</f>
        <v/>
      </c>
    </row>
    <row r="5">
      <c r="A5" s="15" t="inlineStr">
        <is>
          <t>Cho thuê đất đã phát triển CSHT</t>
        </is>
      </c>
      <c r="B5" s="16" t="n">
        <v>39.7</v>
      </c>
      <c r="C5" s="16" t="n">
        <v>43.1</v>
      </c>
      <c r="D5" s="16" t="n">
        <v>44.9</v>
      </c>
      <c r="E5" s="16" t="n">
        <v>44.8</v>
      </c>
      <c r="F5" s="16" t="n">
        <v>31.7</v>
      </c>
      <c r="G5" s="16" t="n">
        <v>47.5</v>
      </c>
      <c r="H5" s="16" t="n">
        <v>49.5</v>
      </c>
      <c r="I5" s="16" t="n">
        <v>61.5</v>
      </c>
      <c r="J5" s="16" t="n">
        <v>34.3</v>
      </c>
      <c r="K5" s="33">
        <f>AVERAGE(B5:J5)</f>
        <v/>
      </c>
    </row>
    <row r="6">
      <c r="A6" s="15" t="inlineStr">
        <is>
          <t>DV xây dựng</t>
        </is>
      </c>
      <c r="B6" s="16" t="n">
        <v>41.9</v>
      </c>
      <c r="C6" s="16" t="n">
        <v>45.5</v>
      </c>
      <c r="D6" s="16" t="n">
        <v>47.3</v>
      </c>
      <c r="E6" s="16" t="n">
        <v>47.3</v>
      </c>
      <c r="F6" s="16" t="n">
        <v>0</v>
      </c>
      <c r="G6" s="16" t="n">
        <v>49.6</v>
      </c>
      <c r="H6" s="16" t="n">
        <v>51.6</v>
      </c>
      <c r="I6" s="16" t="n">
        <v>97.3</v>
      </c>
      <c r="J6" s="16" t="n">
        <v>16.3</v>
      </c>
      <c r="K6" s="33">
        <f>AVERAGE(B6:J6)</f>
        <v/>
      </c>
    </row>
    <row r="7">
      <c r="A7" s="15" t="inlineStr">
        <is>
          <t>Bán bất động sản</t>
        </is>
      </c>
      <c r="B7" s="16" t="n">
        <v>11.1</v>
      </c>
      <c r="C7" s="16" t="n">
        <v>12.1</v>
      </c>
      <c r="D7" s="16" t="n">
        <v>12.6</v>
      </c>
      <c r="E7" s="16" t="n">
        <v>12.6</v>
      </c>
      <c r="F7" s="16" t="n">
        <v>0</v>
      </c>
      <c r="G7" s="16" t="n">
        <v>13.8</v>
      </c>
      <c r="H7" s="16" t="n">
        <v>14.3</v>
      </c>
      <c r="I7" s="16" t="n">
        <v>26.9</v>
      </c>
      <c r="J7" s="16" t="n">
        <v>13.3</v>
      </c>
      <c r="K7" s="33">
        <f>AVERAGE(B7:J7)</f>
        <v/>
      </c>
    </row>
    <row r="8">
      <c r="A8" s="15" t="inlineStr">
        <is>
          <t>DV khác</t>
        </is>
      </c>
      <c r="B8" s="16" t="n">
        <v>50.1</v>
      </c>
      <c r="C8" s="16" t="n">
        <v>54.5</v>
      </c>
      <c r="D8" s="16" t="n">
        <v>56.7</v>
      </c>
      <c r="E8" s="16" t="n">
        <v>56.7</v>
      </c>
      <c r="F8" s="16" t="n">
        <v>53.3</v>
      </c>
      <c r="G8" s="16" t="n">
        <v>60.5</v>
      </c>
      <c r="H8" s="16" t="n">
        <v>62.9</v>
      </c>
      <c r="I8" s="16" t="n">
        <v>65.3</v>
      </c>
      <c r="J8" s="16" t="n">
        <v>49</v>
      </c>
      <c r="K8" s="33">
        <f>AVERAGE(B8:J8)</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4" customWidth="1" min="11" max="11"/>
  </cols>
  <sheetData>
    <row r="1">
      <c r="A1" s="22" t="inlineStr">
        <is>
          <t>Mảng / Quý (Biên LNG %)</t>
        </is>
      </c>
      <c r="B1" s="22" t="inlineStr">
        <is>
          <t>2024Q1</t>
        </is>
      </c>
      <c r="C1" s="22" t="inlineStr">
        <is>
          <t>2024Q2</t>
        </is>
      </c>
      <c r="D1" s="22" t="inlineStr">
        <is>
          <t>2024Q3</t>
        </is>
      </c>
      <c r="E1" s="22" t="inlineStr">
        <is>
          <t>2024Q4</t>
        </is>
      </c>
      <c r="F1" s="22" t="inlineStr">
        <is>
          <t>2025Q1</t>
        </is>
      </c>
      <c r="G1" s="22" t="inlineStr">
        <is>
          <t>2025Q2</t>
        </is>
      </c>
      <c r="H1" s="22" t="inlineStr">
        <is>
          <t>2025Q3</t>
        </is>
      </c>
      <c r="I1" s="22" t="inlineStr">
        <is>
          <t>2025Q4</t>
        </is>
      </c>
      <c r="J1" s="22" t="inlineStr">
        <is>
          <t>2026Q1</t>
        </is>
      </c>
      <c r="K1" s="22" t="inlineStr">
        <is>
          <t>Trung bình</t>
        </is>
      </c>
    </row>
    <row r="2">
      <c r="A2" s="15" t="inlineStr">
        <is>
          <t>DV tiện ích điện, nước KCN</t>
        </is>
      </c>
      <c r="B2" s="19">
        <f>IF('09_Quarterly_DT'!B2=0, 0, ('09_Quarterly_DT'!B2 - '10_Quarterly_GV'!B2) / '09_Quarterly_DT'!B2)</f>
        <v/>
      </c>
      <c r="C2" s="19">
        <f>IF('09_Quarterly_DT'!C2=0, 0, ('09_Quarterly_DT'!C2 - '10_Quarterly_GV'!C2) / '09_Quarterly_DT'!C2)</f>
        <v/>
      </c>
      <c r="D2" s="19">
        <f>IF('09_Quarterly_DT'!D2=0, 0, ('09_Quarterly_DT'!D2 - '10_Quarterly_GV'!D2) / '09_Quarterly_DT'!D2)</f>
        <v/>
      </c>
      <c r="E2" s="19">
        <f>IF('09_Quarterly_DT'!E2=0, 0, ('09_Quarterly_DT'!E2 - '10_Quarterly_GV'!E2) / '09_Quarterly_DT'!E2)</f>
        <v/>
      </c>
      <c r="F2" s="19">
        <f>IF('09_Quarterly_DT'!F2=0, 0, ('09_Quarterly_DT'!F2 - '10_Quarterly_GV'!F2) / '09_Quarterly_DT'!F2)</f>
        <v/>
      </c>
      <c r="G2" s="19">
        <f>IF('09_Quarterly_DT'!G2=0, 0, ('09_Quarterly_DT'!G2 - '10_Quarterly_GV'!G2) / '09_Quarterly_DT'!G2)</f>
        <v/>
      </c>
      <c r="H2" s="19">
        <f>IF('09_Quarterly_DT'!H2=0, 0, ('09_Quarterly_DT'!H2 - '10_Quarterly_GV'!H2) / '09_Quarterly_DT'!H2)</f>
        <v/>
      </c>
      <c r="I2" s="19">
        <f>IF('09_Quarterly_DT'!I2=0, 0, ('09_Quarterly_DT'!I2 - '10_Quarterly_GV'!I2) / '09_Quarterly_DT'!I2)</f>
        <v/>
      </c>
      <c r="J2" s="19">
        <f>IF('09_Quarterly_DT'!J2=0, 0, ('09_Quarterly_DT'!J2 - '10_Quarterly_GV'!J2) / '09_Quarterly_DT'!J2)</f>
        <v/>
      </c>
      <c r="K2" s="42">
        <f>AVERAGE(B2:J2)</f>
        <v/>
      </c>
    </row>
    <row r="3">
      <c r="A3" s="15" t="inlineStr">
        <is>
          <t>Bán hàng hóa, thành phẩm</t>
        </is>
      </c>
      <c r="B3" s="19">
        <f>IF('09_Quarterly_DT'!B3=0, 0, ('09_Quarterly_DT'!B3 - '10_Quarterly_GV'!B3) / '09_Quarterly_DT'!B3)</f>
        <v/>
      </c>
      <c r="C3" s="19">
        <f>IF('09_Quarterly_DT'!C3=0, 0, ('09_Quarterly_DT'!C3 - '10_Quarterly_GV'!C3) / '09_Quarterly_DT'!C3)</f>
        <v/>
      </c>
      <c r="D3" s="19">
        <f>IF('09_Quarterly_DT'!D3=0, 0, ('09_Quarterly_DT'!D3 - '10_Quarterly_GV'!D3) / '09_Quarterly_DT'!D3)</f>
        <v/>
      </c>
      <c r="E3" s="19">
        <f>IF('09_Quarterly_DT'!E3=0, 0, ('09_Quarterly_DT'!E3 - '10_Quarterly_GV'!E3) / '09_Quarterly_DT'!E3)</f>
        <v/>
      </c>
      <c r="F3" s="19">
        <f>IF('09_Quarterly_DT'!F3=0, 0, ('09_Quarterly_DT'!F3 - '10_Quarterly_GV'!F3) / '09_Quarterly_DT'!F3)</f>
        <v/>
      </c>
      <c r="G3" s="19">
        <f>IF('09_Quarterly_DT'!G3=0, 0, ('09_Quarterly_DT'!G3 - '10_Quarterly_GV'!G3) / '09_Quarterly_DT'!G3)</f>
        <v/>
      </c>
      <c r="H3" s="19">
        <f>IF('09_Quarterly_DT'!H3=0, 0, ('09_Quarterly_DT'!H3 - '10_Quarterly_GV'!H3) / '09_Quarterly_DT'!H3)</f>
        <v/>
      </c>
      <c r="I3" s="19">
        <f>IF('09_Quarterly_DT'!I3=0, 0, ('09_Quarterly_DT'!I3 - '10_Quarterly_GV'!I3) / '09_Quarterly_DT'!I3)</f>
        <v/>
      </c>
      <c r="J3" s="19">
        <f>IF('09_Quarterly_DT'!J3=0, 0, ('09_Quarterly_DT'!J3 - '10_Quarterly_GV'!J3) / '09_Quarterly_DT'!J3)</f>
        <v/>
      </c>
      <c r="K3" s="42">
        <f>AVERAGE(B3:J3)</f>
        <v/>
      </c>
    </row>
    <row r="4">
      <c r="A4" s="15" t="inlineStr">
        <is>
          <t>DV tiện ích KCN khác</t>
        </is>
      </c>
      <c r="B4" s="19">
        <f>IF('09_Quarterly_DT'!B4=0, 0, ('09_Quarterly_DT'!B4 - '10_Quarterly_GV'!B4) / '09_Quarterly_DT'!B4)</f>
        <v/>
      </c>
      <c r="C4" s="19">
        <f>IF('09_Quarterly_DT'!C4=0, 0, ('09_Quarterly_DT'!C4 - '10_Quarterly_GV'!C4) / '09_Quarterly_DT'!C4)</f>
        <v/>
      </c>
      <c r="D4" s="19">
        <f>IF('09_Quarterly_DT'!D4=0, 0, ('09_Quarterly_DT'!D4 - '10_Quarterly_GV'!D4) / '09_Quarterly_DT'!D4)</f>
        <v/>
      </c>
      <c r="E4" s="19">
        <f>IF('09_Quarterly_DT'!E4=0, 0, ('09_Quarterly_DT'!E4 - '10_Quarterly_GV'!E4) / '09_Quarterly_DT'!E4)</f>
        <v/>
      </c>
      <c r="F4" s="19">
        <f>IF('09_Quarterly_DT'!F4=0, 0, ('09_Quarterly_DT'!F4 - '10_Quarterly_GV'!F4) / '09_Quarterly_DT'!F4)</f>
        <v/>
      </c>
      <c r="G4" s="19">
        <f>IF('09_Quarterly_DT'!G4=0, 0, ('09_Quarterly_DT'!G4 - '10_Quarterly_GV'!G4) / '09_Quarterly_DT'!G4)</f>
        <v/>
      </c>
      <c r="H4" s="19">
        <f>IF('09_Quarterly_DT'!H4=0, 0, ('09_Quarterly_DT'!H4 - '10_Quarterly_GV'!H4) / '09_Quarterly_DT'!H4)</f>
        <v/>
      </c>
      <c r="I4" s="19">
        <f>IF('09_Quarterly_DT'!I4=0, 0, ('09_Quarterly_DT'!I4 - '10_Quarterly_GV'!I4) / '09_Quarterly_DT'!I4)</f>
        <v/>
      </c>
      <c r="J4" s="19">
        <f>IF('09_Quarterly_DT'!J4=0, 0, ('09_Quarterly_DT'!J4 - '10_Quarterly_GV'!J4) / '09_Quarterly_DT'!J4)</f>
        <v/>
      </c>
      <c r="K4" s="42">
        <f>AVERAGE(B4:J4)</f>
        <v/>
      </c>
    </row>
    <row r="5">
      <c r="A5" s="15" t="inlineStr">
        <is>
          <t>Cho thuê đất đã phát triển CSHT</t>
        </is>
      </c>
      <c r="B5" s="19">
        <f>IF('09_Quarterly_DT'!B5=0, 0, ('09_Quarterly_DT'!B5 - '10_Quarterly_GV'!B5) / '09_Quarterly_DT'!B5)</f>
        <v/>
      </c>
      <c r="C5" s="19">
        <f>IF('09_Quarterly_DT'!C5=0, 0, ('09_Quarterly_DT'!C5 - '10_Quarterly_GV'!C5) / '09_Quarterly_DT'!C5)</f>
        <v/>
      </c>
      <c r="D5" s="19">
        <f>IF('09_Quarterly_DT'!D5=0, 0, ('09_Quarterly_DT'!D5 - '10_Quarterly_GV'!D5) / '09_Quarterly_DT'!D5)</f>
        <v/>
      </c>
      <c r="E5" s="19">
        <f>IF('09_Quarterly_DT'!E5=0, 0, ('09_Quarterly_DT'!E5 - '10_Quarterly_GV'!E5) / '09_Quarterly_DT'!E5)</f>
        <v/>
      </c>
      <c r="F5" s="19">
        <f>IF('09_Quarterly_DT'!F5=0, 0, ('09_Quarterly_DT'!F5 - '10_Quarterly_GV'!F5) / '09_Quarterly_DT'!F5)</f>
        <v/>
      </c>
      <c r="G5" s="19">
        <f>IF('09_Quarterly_DT'!G5=0, 0, ('09_Quarterly_DT'!G5 - '10_Quarterly_GV'!G5) / '09_Quarterly_DT'!G5)</f>
        <v/>
      </c>
      <c r="H5" s="19">
        <f>IF('09_Quarterly_DT'!H5=0, 0, ('09_Quarterly_DT'!H5 - '10_Quarterly_GV'!H5) / '09_Quarterly_DT'!H5)</f>
        <v/>
      </c>
      <c r="I5" s="19">
        <f>IF('09_Quarterly_DT'!I5=0, 0, ('09_Quarterly_DT'!I5 - '10_Quarterly_GV'!I5) / '09_Quarterly_DT'!I5)</f>
        <v/>
      </c>
      <c r="J5" s="19">
        <f>IF('09_Quarterly_DT'!J5=0, 0, ('09_Quarterly_DT'!J5 - '10_Quarterly_GV'!J5) / '09_Quarterly_DT'!J5)</f>
        <v/>
      </c>
      <c r="K5" s="42">
        <f>AVERAGE(B5:J5)</f>
        <v/>
      </c>
    </row>
    <row r="6">
      <c r="A6" s="15" t="inlineStr">
        <is>
          <t>DV xây dựng</t>
        </is>
      </c>
      <c r="B6" s="19">
        <f>IF('09_Quarterly_DT'!B6=0, 0, ('09_Quarterly_DT'!B6 - '10_Quarterly_GV'!B6) / '09_Quarterly_DT'!B6)</f>
        <v/>
      </c>
      <c r="C6" s="19">
        <f>IF('09_Quarterly_DT'!C6=0, 0, ('09_Quarterly_DT'!C6 - '10_Quarterly_GV'!C6) / '09_Quarterly_DT'!C6)</f>
        <v/>
      </c>
      <c r="D6" s="19">
        <f>IF('09_Quarterly_DT'!D6=0, 0, ('09_Quarterly_DT'!D6 - '10_Quarterly_GV'!D6) / '09_Quarterly_DT'!D6)</f>
        <v/>
      </c>
      <c r="E6" s="19">
        <f>IF('09_Quarterly_DT'!E6=0, 0, ('09_Quarterly_DT'!E6 - '10_Quarterly_GV'!E6) / '09_Quarterly_DT'!E6)</f>
        <v/>
      </c>
      <c r="F6" s="19">
        <f>IF('09_Quarterly_DT'!F6=0, 0, ('09_Quarterly_DT'!F6 - '10_Quarterly_GV'!F6) / '09_Quarterly_DT'!F6)</f>
        <v/>
      </c>
      <c r="G6" s="19">
        <f>IF('09_Quarterly_DT'!G6=0, 0, ('09_Quarterly_DT'!G6 - '10_Quarterly_GV'!G6) / '09_Quarterly_DT'!G6)</f>
        <v/>
      </c>
      <c r="H6" s="19">
        <f>IF('09_Quarterly_DT'!H6=0, 0, ('09_Quarterly_DT'!H6 - '10_Quarterly_GV'!H6) / '09_Quarterly_DT'!H6)</f>
        <v/>
      </c>
      <c r="I6" s="19">
        <f>IF('09_Quarterly_DT'!I6=0, 0, ('09_Quarterly_DT'!I6 - '10_Quarterly_GV'!I6) / '09_Quarterly_DT'!I6)</f>
        <v/>
      </c>
      <c r="J6" s="19">
        <f>IF('09_Quarterly_DT'!J6=0, 0, ('09_Quarterly_DT'!J6 - '10_Quarterly_GV'!J6) / '09_Quarterly_DT'!J6)</f>
        <v/>
      </c>
      <c r="K6" s="42">
        <f>AVERAGE(B6:J6)</f>
        <v/>
      </c>
    </row>
    <row r="7">
      <c r="A7" s="15" t="inlineStr">
        <is>
          <t>Bán bất động sản</t>
        </is>
      </c>
      <c r="B7" s="19">
        <f>IF('09_Quarterly_DT'!B7=0, 0, ('09_Quarterly_DT'!B7 - '10_Quarterly_GV'!B7) / '09_Quarterly_DT'!B7)</f>
        <v/>
      </c>
      <c r="C7" s="19">
        <f>IF('09_Quarterly_DT'!C7=0, 0, ('09_Quarterly_DT'!C7 - '10_Quarterly_GV'!C7) / '09_Quarterly_DT'!C7)</f>
        <v/>
      </c>
      <c r="D7" s="19">
        <f>IF('09_Quarterly_DT'!D7=0, 0, ('09_Quarterly_DT'!D7 - '10_Quarterly_GV'!D7) / '09_Quarterly_DT'!D7)</f>
        <v/>
      </c>
      <c r="E7" s="19">
        <f>IF('09_Quarterly_DT'!E7=0, 0, ('09_Quarterly_DT'!E7 - '10_Quarterly_GV'!E7) / '09_Quarterly_DT'!E7)</f>
        <v/>
      </c>
      <c r="F7" s="19">
        <f>IF('09_Quarterly_DT'!F7=0, 0, ('09_Quarterly_DT'!F7 - '10_Quarterly_GV'!F7) / '09_Quarterly_DT'!F7)</f>
        <v/>
      </c>
      <c r="G7" s="19">
        <f>IF('09_Quarterly_DT'!G7=0, 0, ('09_Quarterly_DT'!G7 - '10_Quarterly_GV'!G7) / '09_Quarterly_DT'!G7)</f>
        <v/>
      </c>
      <c r="H7" s="19">
        <f>IF('09_Quarterly_DT'!H7=0, 0, ('09_Quarterly_DT'!H7 - '10_Quarterly_GV'!H7) / '09_Quarterly_DT'!H7)</f>
        <v/>
      </c>
      <c r="I7" s="19">
        <f>IF('09_Quarterly_DT'!I7=0, 0, ('09_Quarterly_DT'!I7 - '10_Quarterly_GV'!I7) / '09_Quarterly_DT'!I7)</f>
        <v/>
      </c>
      <c r="J7" s="19">
        <f>IF('09_Quarterly_DT'!J7=0, 0, ('09_Quarterly_DT'!J7 - '10_Quarterly_GV'!J7) / '09_Quarterly_DT'!J7)</f>
        <v/>
      </c>
      <c r="K7" s="42">
        <f>AVERAGE(B7:J7)</f>
        <v/>
      </c>
    </row>
    <row r="8">
      <c r="A8" s="15" t="inlineStr">
        <is>
          <t>DV khác</t>
        </is>
      </c>
      <c r="B8" s="19">
        <f>IF('09_Quarterly_DT'!B8=0, 0, ('09_Quarterly_DT'!B8 - '10_Quarterly_GV'!B8) / '09_Quarterly_DT'!B8)</f>
        <v/>
      </c>
      <c r="C8" s="19">
        <f>IF('09_Quarterly_DT'!C8=0, 0, ('09_Quarterly_DT'!C8 - '10_Quarterly_GV'!C8) / '09_Quarterly_DT'!C8)</f>
        <v/>
      </c>
      <c r="D8" s="19">
        <f>IF('09_Quarterly_DT'!D8=0, 0, ('09_Quarterly_DT'!D8 - '10_Quarterly_GV'!D8) / '09_Quarterly_DT'!D8)</f>
        <v/>
      </c>
      <c r="E8" s="19">
        <f>IF('09_Quarterly_DT'!E8=0, 0, ('09_Quarterly_DT'!E8 - '10_Quarterly_GV'!E8) / '09_Quarterly_DT'!E8)</f>
        <v/>
      </c>
      <c r="F8" s="19">
        <f>IF('09_Quarterly_DT'!F8=0, 0, ('09_Quarterly_DT'!F8 - '10_Quarterly_GV'!F8) / '09_Quarterly_DT'!F8)</f>
        <v/>
      </c>
      <c r="G8" s="19">
        <f>IF('09_Quarterly_DT'!G8=0, 0, ('09_Quarterly_DT'!G8 - '10_Quarterly_GV'!G8) / '09_Quarterly_DT'!G8)</f>
        <v/>
      </c>
      <c r="H8" s="19">
        <f>IF('09_Quarterly_DT'!H8=0, 0, ('09_Quarterly_DT'!H8 - '10_Quarterly_GV'!H8) / '09_Quarterly_DT'!H8)</f>
        <v/>
      </c>
      <c r="I8" s="19">
        <f>IF('09_Quarterly_DT'!I8=0, 0, ('09_Quarterly_DT'!I8 - '10_Quarterly_GV'!I8) / '09_Quarterly_DT'!I8)</f>
        <v/>
      </c>
      <c r="J8" s="19">
        <f>IF('09_Quarterly_DT'!J8=0, 0, ('09_Quarterly_DT'!J8 - '10_Quarterly_GV'!J8) / '09_Quarterly_DT'!J8)</f>
        <v/>
      </c>
      <c r="K8" s="42">
        <f>AVERAGE(B8:J8)</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43" t="inlineStr">
        <is>
          <t>Chỉ tiêu (VND/cp hoặc tỷ VND)</t>
        </is>
      </c>
      <c r="B1" s="22" t="inlineStr">
        <is>
          <t>2021A</t>
        </is>
      </c>
      <c r="C1" s="22" t="inlineStr">
        <is>
          <t>2022A</t>
        </is>
      </c>
      <c r="D1" s="22" t="inlineStr">
        <is>
          <t>2023A</t>
        </is>
      </c>
      <c r="E1" s="22" t="inlineStr">
        <is>
          <t>2024A</t>
        </is>
      </c>
      <c r="F1" s="22" t="inlineStr">
        <is>
          <t>2025A</t>
        </is>
      </c>
      <c r="G1" s="22" t="inlineStr">
        <is>
          <t>2026E</t>
        </is>
      </c>
      <c r="H1" s="22" t="inlineStr">
        <is>
          <t>2027E</t>
        </is>
      </c>
      <c r="I1" s="22" t="inlineStr">
        <is>
          <t>2028E</t>
        </is>
      </c>
    </row>
    <row r="2">
      <c r="A2" s="15" t="inlineStr">
        <is>
          <t>LNST cổ đông mẹ (tỷ VND)</t>
        </is>
      </c>
      <c r="B2" s="16" t="n">
        <v>835.41</v>
      </c>
      <c r="C2" s="16" t="n">
        <v>977.16</v>
      </c>
      <c r="D2" s="16" t="n">
        <v>926.9</v>
      </c>
      <c r="E2" s="16" t="n">
        <v>1170.16</v>
      </c>
      <c r="F2" s="16" t="n">
        <v>1322.87</v>
      </c>
      <c r="G2" s="25" t="n">
        <v>1459.85</v>
      </c>
      <c r="H2" s="25" t="n">
        <v>1569.56</v>
      </c>
      <c r="I2" s="25" t="n">
        <v>1688.56</v>
      </c>
    </row>
    <row r="3">
      <c r="A3" s="15" t="inlineStr">
        <is>
          <t>Số CP lưu hành (cp)</t>
        </is>
      </c>
      <c r="B3" s="16" t="n">
        <v>242112943</v>
      </c>
      <c r="C3" s="16" t="n">
        <v>242112943</v>
      </c>
      <c r="D3" s="16" t="n">
        <v>242112943</v>
      </c>
      <c r="E3" s="16" t="n">
        <v>242112943</v>
      </c>
      <c r="F3" s="16" t="n">
        <v>242112943</v>
      </c>
      <c r="G3" s="25" t="n">
        <v>242112943</v>
      </c>
      <c r="H3" s="25" t="n">
        <v>242112943</v>
      </c>
      <c r="I3" s="25" t="n">
        <v>242112943</v>
      </c>
    </row>
    <row r="4">
      <c r="A4" s="15" t="inlineStr">
        <is>
          <t>EPS (VND/cp)</t>
        </is>
      </c>
      <c r="B4" s="16" t="n">
        <v>8992</v>
      </c>
      <c r="C4" s="16" t="n">
        <v>4697</v>
      </c>
      <c r="D4" s="16" t="n">
        <v>3992</v>
      </c>
      <c r="E4" s="16" t="n">
        <v>4379</v>
      </c>
      <c r="F4" s="16" t="n">
        <v>4972</v>
      </c>
      <c r="G4" s="25" t="n">
        <v>5115</v>
      </c>
      <c r="H4" s="25" t="n">
        <v>5263</v>
      </c>
      <c r="I4" s="25" t="n">
        <v>5415</v>
      </c>
    </row>
    <row r="5">
      <c r="A5" s="15" t="inlineStr">
        <is>
          <t>BVPS đầu kỳ (VND/cp)</t>
        </is>
      </c>
      <c r="B5" s="16" t="n">
        <v>32046</v>
      </c>
      <c r="C5" s="16" t="n">
        <v>35695</v>
      </c>
      <c r="D5" s="16" t="n">
        <v>19618</v>
      </c>
      <c r="E5" s="16" t="n">
        <v>20613</v>
      </c>
      <c r="F5" s="16" t="n">
        <v>21282</v>
      </c>
      <c r="G5" s="25" t="n">
        <v>24642</v>
      </c>
      <c r="H5" s="25" t="n">
        <v>28099</v>
      </c>
      <c r="I5" s="25" t="n">
        <v>31656</v>
      </c>
    </row>
    <row r="6">
      <c r="A6" s="15" t="inlineStr">
        <is>
          <t>ROE (EPS/BVPS đầu kỳ)</t>
        </is>
      </c>
      <c r="B6" s="23" t="n"/>
      <c r="C6" s="23" t="n">
        <v>0.1466</v>
      </c>
      <c r="D6" s="23" t="n">
        <v>0.1118</v>
      </c>
      <c r="E6" s="23" t="n">
        <v>0.2232</v>
      </c>
      <c r="F6" s="23" t="n">
        <v>0.2412</v>
      </c>
      <c r="G6" s="23" t="n">
        <v>0.2403</v>
      </c>
      <c r="H6" s="23" t="n">
        <v>0.2136</v>
      </c>
      <c r="I6" s="23" t="n">
        <v>0.1927</v>
      </c>
    </row>
    <row r="7">
      <c r="A7" s="15" t="inlineStr">
        <is>
          <t>EPS CAGR 3 năm</t>
        </is>
      </c>
      <c r="B7" s="23" t="n"/>
      <c r="C7" s="23" t="n"/>
      <c r="D7" s="23" t="n"/>
      <c r="E7" s="23" t="n"/>
      <c r="F7" s="23" t="n">
        <v>0.0289</v>
      </c>
      <c r="G7" s="23" t="n">
        <v>0.0289</v>
      </c>
      <c r="H7" s="23" t="n">
        <v>0.0289</v>
      </c>
      <c r="I7" s="23" t="n">
        <v>0.0289</v>
      </c>
    </row>
    <row r="9">
      <c r="A9" s="4" t="inlineStr">
        <is>
          <t>Căn cứ: EPS CAGR 3 năm = 2.9%; Payout = 34%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2" customWidth="1" min="2" max="2"/>
    <col width="12" customWidth="1" min="3" max="3"/>
    <col width="12" customWidth="1" min="4" max="4"/>
    <col width="12" customWidth="1" min="5" max="5"/>
    <col width="12" customWidth="1" min="6" max="6"/>
    <col width="12" customWidth="1" min="7" max="7"/>
    <col width="30" customWidth="1" min="8" max="8"/>
  </cols>
  <sheetData>
    <row r="1">
      <c r="A1" s="1" t="inlineStr">
        <is>
          <t>BẢNG PHÂN TÍCH TĂNG TRƯỞNG — CĂN CỨ GIẢ ĐỊNH DỰ PHÓNG</t>
        </is>
      </c>
    </row>
    <row r="2">
      <c r="A2" s="22" t="inlineStr">
        <is>
          <t>Chỉ tiêu</t>
        </is>
      </c>
      <c r="B2" s="22" t="inlineStr">
        <is>
          <t>2021</t>
        </is>
      </c>
      <c r="C2" s="22" t="inlineStr">
        <is>
          <t>2022</t>
        </is>
      </c>
      <c r="D2" s="22" t="inlineStr">
        <is>
          <t>2023</t>
        </is>
      </c>
      <c r="E2" s="22" t="inlineStr">
        <is>
          <t>2024</t>
        </is>
      </c>
      <c r="F2" s="22" t="inlineStr">
        <is>
          <t>2025</t>
        </is>
      </c>
      <c r="G2" s="22" t="inlineStr">
        <is>
          <t>CAGR 3Y</t>
        </is>
      </c>
      <c r="H2" s="22" t="inlineStr">
        <is>
          <t>Ghi chú</t>
        </is>
      </c>
    </row>
    <row r="3">
      <c r="A3" s="2" t="inlineStr">
        <is>
          <t>── DOANH THU TỔNG CÔNG TY (tỷ VND) ──</t>
        </is>
      </c>
    </row>
    <row r="4">
      <c r="A4" t="inlineStr">
        <is>
          <t>Doanh thu thuần</t>
        </is>
      </c>
      <c r="B4" t="n">
        <v>5577.6</v>
      </c>
      <c r="C4" t="n">
        <v>6034.5</v>
      </c>
      <c r="D4" t="n">
        <v>6676.5</v>
      </c>
      <c r="E4" t="n">
        <v>7801.2</v>
      </c>
      <c r="F4" t="n">
        <v>8596.200000000001</v>
      </c>
      <c r="G4" s="31" t="n">
        <v>0.1142</v>
      </c>
      <c r="H4" s="4" t="inlineStr">
        <is>
          <t>CAGR 5Y lịch sử</t>
        </is>
      </c>
    </row>
    <row r="5">
      <c r="A5" t="inlineStr">
        <is>
          <t>YoY DT (%)</t>
        </is>
      </c>
      <c r="B5" s="44" t="n"/>
      <c r="C5" s="44" t="n">
        <v>0.0819</v>
      </c>
      <c r="D5" s="44" t="n">
        <v>0.1064</v>
      </c>
      <c r="E5" s="44" t="n">
        <v>0.1684</v>
      </c>
      <c r="F5" s="44" t="n">
        <v>0.1019</v>
      </c>
    </row>
    <row r="6">
      <c r="A6" s="2" t="inlineStr">
        <is>
          <t>── EPS (VND/cp) ──</t>
        </is>
      </c>
    </row>
    <row r="7">
      <c r="A7" t="inlineStr">
        <is>
          <t>EPS lịch sử</t>
        </is>
      </c>
      <c r="B7" s="36" t="n">
        <v>8992</v>
      </c>
      <c r="C7" s="36" t="n">
        <v>4697</v>
      </c>
      <c r="D7" s="36" t="n">
        <v>3992</v>
      </c>
      <c r="E7" s="36" t="n">
        <v>4379</v>
      </c>
      <c r="F7" s="36" t="n">
        <v>4972</v>
      </c>
      <c r="G7" s="31" t="n">
        <v>0.0289</v>
      </c>
      <c r="H7" s="4" t="inlineStr">
        <is>
          <t>CAGR EPS dự phóng — dùng cho 02_Assumptions B9</t>
        </is>
      </c>
    </row>
    <row r="8">
      <c r="A8" t="inlineStr">
        <is>
          <t>YoY EPS (%)</t>
        </is>
      </c>
      <c r="B8" s="31" t="n"/>
      <c r="C8" s="31" t="n">
        <v>-0.4776</v>
      </c>
      <c r="D8" s="31" t="n">
        <v>-0.1501</v>
      </c>
      <c r="E8" s="31" t="n">
        <v>0.0969</v>
      </c>
      <c r="F8" s="31" t="n">
        <v>0.1354</v>
      </c>
    </row>
    <row r="9">
      <c r="A9" s="2" t="inlineStr">
        <is>
          <t>── BIÊN LỢI NHUẬN GỘP (%) ──</t>
        </is>
      </c>
    </row>
    <row r="10">
      <c r="A10" t="inlineStr">
        <is>
          <t>GM lịch sử</t>
        </is>
      </c>
      <c r="B10" s="31" t="n">
        <v>1.8614</v>
      </c>
      <c r="C10" s="31" t="n">
        <v>1.8507</v>
      </c>
      <c r="D10" s="31" t="n">
        <v>1.8606</v>
      </c>
      <c r="E10" s="31" t="n">
        <v>1.8596</v>
      </c>
      <c r="F10" s="31" t="n">
        <v>1.8437</v>
      </c>
      <c r="G10" s="31" t="n">
        <v>1.8516</v>
      </c>
      <c r="H10" s="4" t="inlineStr">
        <is>
          <t>Mean 2Y — giả định cho dự phóng COGS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30" customWidth="1" min="10" max="10"/>
  </cols>
  <sheetData>
    <row r="1">
      <c r="A1" s="1" t="inlineStr">
        <is>
          <t>BẢNG TƯ DUY ĐẶC THÙ KCN — QUỸ ĐẤT &amp; DOANH THU CHƯA THỰC HIỆN</t>
        </is>
      </c>
    </row>
    <row r="2">
      <c r="A2" s="4" t="inlineStr">
        <is>
          <t>Căn cứ: T1=PDF CTCK (nếu có) | T2=BCTC thuyết minh | T3=Balance Sheet (bsa58, bsa170, bsa76)</t>
        </is>
      </c>
    </row>
    <row r="3">
      <c r="A3" s="22" t="inlineStr">
        <is>
          <t>Chỉ tiêu</t>
        </is>
      </c>
      <c r="B3" s="22" t="inlineStr">
        <is>
          <t>2021</t>
        </is>
      </c>
      <c r="C3" s="22" t="inlineStr">
        <is>
          <t>2022</t>
        </is>
      </c>
      <c r="D3" s="22" t="inlineStr">
        <is>
          <t>2023</t>
        </is>
      </c>
      <c r="E3" s="22" t="inlineStr">
        <is>
          <t>2024</t>
        </is>
      </c>
      <c r="F3" s="22" t="inlineStr">
        <is>
          <t>2025</t>
        </is>
      </c>
      <c r="G3" s="22" t="inlineStr">
        <is>
          <t>2026E</t>
        </is>
      </c>
      <c r="H3" s="22" t="inlineStr">
        <is>
          <t>2027E</t>
        </is>
      </c>
      <c r="I3" s="22" t="inlineStr">
        <is>
          <t>2028E</t>
        </is>
      </c>
      <c r="J3" s="22" t="inlineStr">
        <is>
          <t>Nguồn/Ghi chú</t>
        </is>
      </c>
    </row>
    <row r="4">
      <c r="A4" s="2" t="inlineStr">
        <is>
          <t>── QUỸ ĐẤT (từ PDF nếu có) ──</t>
        </is>
      </c>
    </row>
    <row r="5">
      <c r="A5" s="15" t="inlineStr">
        <is>
          <t>Tổng diện tích KCN (ha)</t>
        </is>
      </c>
      <c r="B5" s="17" t="n"/>
      <c r="C5" s="17" t="n"/>
      <c r="D5" s="17" t="n"/>
      <c r="E5" s="17" t="n"/>
      <c r="F5" s="17" t="n"/>
      <c r="G5" s="45" t="n"/>
      <c r="H5" s="45" t="n"/>
      <c r="I5" s="45" t="n"/>
      <c r="J5" s="4" t="inlineStr">
        <is>
          <t>Nguồn: N/A</t>
        </is>
      </c>
    </row>
    <row r="6">
      <c r="A6" s="15" t="inlineStr">
        <is>
          <t>Tỷ lệ lấp đầy bình quân (%)</t>
        </is>
      </c>
      <c r="B6" s="19" t="n"/>
      <c r="C6" s="19" t="n"/>
      <c r="D6" s="19" t="n"/>
      <c r="E6" s="19" t="n"/>
      <c r="F6" s="19" t="n"/>
      <c r="G6" s="23" t="n"/>
      <c r="H6" s="23" t="n"/>
      <c r="I6" s="23" t="n"/>
      <c r="J6" s="4" t="inlineStr">
        <is>
          <t>Nguồn: N/A</t>
        </is>
      </c>
    </row>
    <row r="7">
      <c r="A7" s="15" t="inlineStr">
        <is>
          <t>Giá cho thuê bình quân (USD/m²)</t>
        </is>
      </c>
      <c r="B7" s="17" t="n">
        <v>200</v>
      </c>
      <c r="C7" s="17" t="n">
        <v>200</v>
      </c>
      <c r="D7" s="17" t="n">
        <v>200</v>
      </c>
      <c r="E7" s="17" t="n">
        <v>200</v>
      </c>
      <c r="F7" s="17" t="n">
        <v>200</v>
      </c>
      <c r="G7" s="45" t="n">
        <v>200</v>
      </c>
      <c r="H7" s="45" t="n">
        <v>200</v>
      </c>
      <c r="I7" s="45" t="n">
        <v>200</v>
      </c>
      <c r="J7" s="4" t="inlineStr">
        <is>
          <t>T2-BCTC / default 200</t>
        </is>
      </c>
    </row>
    <row r="8">
      <c r="A8" s="15" t="inlineStr">
        <is>
          <t>Diện tích cho thuê mới (ha/năm)</t>
        </is>
      </c>
      <c r="B8" s="17" t="n"/>
      <c r="C8" s="17" t="n"/>
      <c r="D8" s="17" t="n"/>
      <c r="E8" s="17" t="n"/>
      <c r="F8" s="17" t="n"/>
      <c r="G8" s="45" t="n"/>
      <c r="H8" s="45" t="n"/>
      <c r="I8" s="45" t="n"/>
      <c r="J8" s="4" t="inlineStr">
        <is>
          <t>T2-BCTC markdown</t>
        </is>
      </c>
    </row>
    <row r="10">
      <c r="A10" s="2" t="inlineStr">
        <is>
          <t>── PHÂN TÍCH DOANH THU CHƯA THỰC HIỆN &amp; TIỀN NHẬN TRƯỚC ──</t>
        </is>
      </c>
    </row>
    <row r="11">
      <c r="A11" s="15" t="inlineStr">
        <is>
          <t>Người mua trả tiền trước - ngắn hạn (tỷ)</t>
        </is>
      </c>
      <c r="B11" s="16" t="n">
        <v>281.4</v>
      </c>
      <c r="C11" s="16" t="n">
        <v>26.2</v>
      </c>
      <c r="D11" s="16" t="n">
        <v>54.1</v>
      </c>
      <c r="E11" s="16" t="n">
        <v>9.199999999999999</v>
      </c>
      <c r="F11" s="16" t="n">
        <v>25.2</v>
      </c>
      <c r="G11" s="4" t="inlineStr">
        <is>
          <t>bsa58 — advance_st</t>
        </is>
      </c>
    </row>
    <row r="12">
      <c r="A12" s="15" t="inlineStr">
        <is>
          <t>Người mua trả tiền trước - dài hạn (tỷ)</t>
        </is>
      </c>
      <c r="B12" s="16" t="n">
        <v>0</v>
      </c>
      <c r="C12" s="16" t="n">
        <v>0</v>
      </c>
      <c r="D12" s="16" t="n">
        <v>0</v>
      </c>
      <c r="E12" s="16" t="n">
        <v>0</v>
      </c>
      <c r="F12" s="16" t="n">
        <v>0</v>
      </c>
      <c r="G12" s="4" t="inlineStr">
        <is>
          <t>bsa170 — advance_lt</t>
        </is>
      </c>
    </row>
    <row r="13">
      <c r="A13" s="15" t="inlineStr">
        <is>
          <t>Doanh thu chưa thực hiện (tỷ)</t>
        </is>
      </c>
      <c r="B13" s="16" t="n">
        <v>10172.9</v>
      </c>
      <c r="C13" s="16" t="n">
        <v>10720.9</v>
      </c>
      <c r="D13" s="16" t="n">
        <v>10954</v>
      </c>
      <c r="E13" s="16" t="n">
        <v>11729.6</v>
      </c>
      <c r="F13" s="16" t="n">
        <v>12976.4</v>
      </c>
      <c r="G13" s="4" t="inlineStr">
        <is>
          <t>bsa76 — deferred_rev</t>
        </is>
      </c>
    </row>
    <row r="14">
      <c r="A14" s="15" t="inlineStr">
        <is>
          <t>Tổng doanh thu (tỷ) — tham chiếu</t>
        </is>
      </c>
      <c r="B14" s="16" t="n">
        <v>5581.4</v>
      </c>
      <c r="C14" s="16" t="n">
        <v>6037</v>
      </c>
      <c r="D14" s="16" t="n">
        <v>6679.5</v>
      </c>
      <c r="E14" s="16" t="n">
        <v>7804.6</v>
      </c>
      <c r="F14" s="16" t="n">
        <v>8598.299999999999</v>
      </c>
      <c r="G14" s="4" t="inlineStr">
        <is>
          <t>isa1</t>
        </is>
      </c>
    </row>
    <row r="15">
      <c r="A15" s="15" t="inlineStr">
        <is>
          <t>Tỷ lệ advance_st / DT (%)</t>
        </is>
      </c>
      <c r="B15" s="19" t="n">
        <v>0.0504</v>
      </c>
      <c r="C15" s="19" t="n">
        <v>0.0043</v>
      </c>
      <c r="D15" s="19" t="n">
        <v>0.0081</v>
      </c>
      <c r="E15" s="19" t="n">
        <v>0.0012</v>
      </c>
      <c r="F15" s="19" t="n">
        <v>0.0029</v>
      </c>
      <c r="G15" s="4" t="inlineStr">
        <is>
          <t>Tỷ lệ đặt cọc so với DT</t>
        </is>
      </c>
    </row>
    <row r="16">
      <c r="A16" s="15" t="inlineStr">
        <is>
          <t>YoY growth advance_st (%)</t>
        </is>
      </c>
      <c r="B16" s="19" t="n"/>
      <c r="C16" s="19" t="n">
        <v>-0.9069</v>
      </c>
      <c r="D16" s="19" t="n">
        <v>1.0649</v>
      </c>
      <c r="E16" s="19" t="n">
        <v>-0.8300999999999999</v>
      </c>
      <c r="F16" s="19" t="n">
        <v>1.7399</v>
      </c>
      <c r="G16" s="4" t="inlineStr">
        <is>
          <t>Leading indicator DT năm sau</t>
        </is>
      </c>
    </row>
    <row r="18">
      <c r="A18" s="2" t="inlineStr">
        <is>
          <t>→ g% dự phóng DT cho thuê đất: 17.4% (CAGR advance_st blend)</t>
        </is>
      </c>
      <c r="B18" s="31" t="n">
        <v>0.1741</v>
      </c>
    </row>
    <row r="19">
      <c r="A19" s="4" t="inlineStr">
        <is>
          <t>→ Doanh thu ghi nhận từ DTCTH hàng năm ≈ 176 tỷ</t>
        </is>
      </c>
    </row>
    <row r="20">
      <c r="A20" s="4" t="inlineStr">
        <is>
          <t>→ Nguồn tăng trưởng chính: Tiện ích (~80% DT) + Cho thuê đất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2026-07-08T17:01:39Z</dcterms:created>
  <dcterms:modified xmlns:dcterms="http://purl.org/dc/terms/" xmlns:xsi="http://www.w3.org/2001/XMLSchema-instance" xsi:type="dcterms:W3CDTF">2026-07-08T17:01:49Z</dcterms:modified>
</cp:coreProperties>
</file>