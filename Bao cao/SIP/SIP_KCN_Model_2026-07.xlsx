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1_Cover" sheetId="1" state="visible" r:id="rId1"/>
    <sheet xmlns:r="http://schemas.openxmlformats.org/officeDocument/2006/relationships" name="02_Assumptions" sheetId="2" state="visible" r:id="rId2"/>
    <sheet xmlns:r="http://schemas.openxmlformats.org/officeDocument/2006/relationships" name="03_PnL" sheetId="3" state="visible" r:id="rId3"/>
    <sheet xmlns:r="http://schemas.openxmlformats.org/officeDocument/2006/relationships" name="04_Segments_DT" sheetId="4" state="visible" r:id="rId4"/>
    <sheet xmlns:r="http://schemas.openxmlformats.org/officeDocument/2006/relationships" name="05_Segments_GM" sheetId="5" state="visible" r:id="rId5"/>
    <sheet xmlns:r="http://schemas.openxmlformats.org/officeDocument/2006/relationships" name="06_BalanceSheet" sheetId="6" state="visible" r:id="rId6"/>
    <sheet xmlns:r="http://schemas.openxmlformats.org/officeDocument/2006/relationships" name="07_Valuation" sheetId="7" state="visible" r:id="rId7"/>
    <sheet xmlns:r="http://schemas.openxmlformats.org/officeDocument/2006/relationships" name="08_Quarterly_Segments" sheetId="8" state="visible" r:id="rId8"/>
  </sheets>
  <definedNames/>
  <calcPr calcId="124519" fullCalcOnLoad="1"/>
</workbook>
</file>

<file path=xl/styles.xml><?xml version="1.0" encoding="utf-8"?>
<styleSheet xmlns="http://schemas.openxmlformats.org/spreadsheetml/2006/main">
  <numFmts count="2">
    <numFmt numFmtId="164" formatCode="#,##0.0"/>
    <numFmt numFmtId="165" formatCode="0.000"/>
  </numFmts>
  <fonts count="8">
    <font>
      <name val="Calibri"/>
      <family val="2"/>
      <color theme="1"/>
      <sz val="11"/>
      <scheme val="minor"/>
    </font>
    <font>
      <name val="Calibri"/>
      <b val="1"/>
      <color rgb="001F4E78"/>
      <sz val="16"/>
    </font>
    <font>
      <name val="Calibri"/>
      <i val="1"/>
      <color rgb="004A5568"/>
      <sz val="11"/>
    </font>
    <font>
      <name val="Calibri"/>
      <i val="1"/>
      <color rgb="00666666"/>
      <sz val="9"/>
    </font>
    <font>
      <name val="Calibri"/>
      <sz val="10"/>
    </font>
    <font>
      <name val="Calibri"/>
      <b val="1"/>
      <sz val="11"/>
    </font>
    <font>
      <name val="Calibri"/>
      <b val="1"/>
      <color rgb="00FFFFFF"/>
      <sz val="11"/>
    </font>
    <font>
      <name val="Calibri"/>
      <b val="1"/>
      <color rgb="00FFFFFF"/>
      <sz val="10"/>
    </font>
  </fonts>
  <fills count="6">
    <fill>
      <patternFill/>
    </fill>
    <fill>
      <patternFill patternType="gray125"/>
    </fill>
    <fill>
      <patternFill patternType="solid">
        <fgColor rgb="00DDEBF7"/>
        <bgColor rgb="00DDEBF7"/>
      </patternFill>
    </fill>
    <fill>
      <patternFill patternType="solid">
        <fgColor rgb="001F4E78"/>
        <bgColor rgb="001F4E78"/>
      </patternFill>
    </fill>
    <fill>
      <patternFill patternType="solid">
        <fgColor rgb="00FFF2CC"/>
        <bgColor rgb="00FFF2CC"/>
      </patternFill>
    </fill>
    <fill>
      <patternFill patternType="solid">
        <fgColor rgb="00E2EFDA"/>
        <bgColor rgb="00E2EFDA"/>
      </patternFill>
    </fill>
  </fills>
  <borders count="1">
    <border>
      <left/>
      <right/>
      <top/>
      <bottom/>
      <diagonal/>
    </border>
  </borders>
  <cellStyleXfs count="1">
    <xf numFmtId="0" fontId="0" fillId="0" borderId="0"/>
  </cellStyleXfs>
  <cellXfs count="31">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3" fontId="4" fillId="0" borderId="0" pivotButton="0" quotePrefix="0" xfId="0"/>
    <xf numFmtId="164" fontId="4" fillId="0" borderId="0" pivotButton="0" quotePrefix="0" xfId="0"/>
    <xf numFmtId="165" fontId="4" fillId="0" borderId="0" pivotButton="0" quotePrefix="0" xfId="0"/>
    <xf numFmtId="10" fontId="4" fillId="0" borderId="0" pivotButton="0" quotePrefix="0" xfId="0"/>
    <xf numFmtId="0" fontId="5" fillId="0" borderId="0" pivotButton="0" quotePrefix="0" xfId="0"/>
    <xf numFmtId="3" fontId="5" fillId="2" borderId="0" pivotButton="0" quotePrefix="0" xfId="0"/>
    <xf numFmtId="0" fontId="0" fillId="0" borderId="0" applyAlignment="1" pivotButton="0" quotePrefix="0" xfId="0">
      <alignment wrapText="1"/>
    </xf>
    <xf numFmtId="0" fontId="6" fillId="3" borderId="0" applyAlignment="1" pivotButton="0" quotePrefix="0" xfId="0">
      <alignment horizontal="center" vertical="center" wrapText="1"/>
    </xf>
    <xf numFmtId="10" fontId="4" fillId="4" borderId="0" pivotButton="0" quotePrefix="0" xfId="0"/>
    <xf numFmtId="2" fontId="4" fillId="4" borderId="0" pivotButton="0" quotePrefix="0" xfId="0"/>
    <xf numFmtId="3" fontId="4" fillId="4" borderId="0" pivotButton="0" quotePrefix="0" xfId="0"/>
    <xf numFmtId="3" fontId="5" fillId="0" borderId="0" pivotButton="0" quotePrefix="0" xfId="0"/>
    <xf numFmtId="3" fontId="5" fillId="4" borderId="0" pivotButton="0" quotePrefix="0" xfId="0"/>
    <xf numFmtId="10" fontId="0" fillId="0" borderId="0" pivotButton="0" quotePrefix="0" xfId="0"/>
    <xf numFmtId="3" fontId="0" fillId="0" borderId="0" pivotButton="0" quotePrefix="0" xfId="0"/>
    <xf numFmtId="3" fontId="0" fillId="4" borderId="0" pivotButton="0" quotePrefix="0" xfId="0"/>
    <xf numFmtId="0" fontId="5" fillId="5" borderId="0" pivotButton="0" quotePrefix="0" xfId="0"/>
    <xf numFmtId="3" fontId="5" fillId="5" borderId="0" pivotButton="0" quotePrefix="0" xfId="0"/>
    <xf numFmtId="10" fontId="0" fillId="4" borderId="0" pivotButton="0" quotePrefix="0" xfId="0"/>
    <xf numFmtId="0" fontId="5" fillId="2" borderId="0" pivotButton="0" quotePrefix="0" xfId="0"/>
    <xf numFmtId="0" fontId="7" fillId="3" borderId="0" pivotButton="0" quotePrefix="0" xfId="0"/>
    <xf numFmtId="0" fontId="5" fillId="3" borderId="0" pivotButton="0" quotePrefix="0" xfId="0"/>
    <xf numFmtId="2" fontId="4" fillId="0" borderId="0" pivotButton="0" quotePrefix="0" xfId="0"/>
    <xf numFmtId="2" fontId="5" fillId="2" borderId="0" pivotButton="0" quotePrefix="0" xfId="0"/>
    <xf numFmtId="3" fontId="0" fillId="5" borderId="0" pivotButton="0" quotePrefix="0" xfId="0"/>
    <xf numFmtId="10" fontId="0" fillId="5"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2:C23"/>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5" customWidth="1" min="1" max="1"/>
    <col width="35" customWidth="1" min="2" max="2"/>
    <col width="18" customWidth="1" min="3" max="3"/>
    <col width="5" customWidth="1" min="4" max="4"/>
  </cols>
  <sheetData>
    <row r="2">
      <c r="B2" s="1" t="inlineStr">
        <is>
          <t>MÔ HÌNH PHÂN TÍCH TÀI CHÍNH &amp; ĐỊNH GIÁ — SIP</t>
        </is>
      </c>
    </row>
    <row r="3">
      <c r="B3" s="2" t="inlineStr">
        <is>
          <t>Công ty Cổ phần Đầu tư Sài Gòn VRG</t>
        </is>
      </c>
    </row>
    <row r="4">
      <c r="B4" s="3" t="inlineStr">
        <is>
          <t>Ngày lập: 08/07/2026 00:27</t>
        </is>
      </c>
    </row>
    <row r="6">
      <c r="B6" s="4" t="inlineStr">
        <is>
          <t>Giá thị trường (VND)</t>
        </is>
      </c>
      <c r="C6" s="5" t="n">
        <v>49750</v>
      </c>
    </row>
    <row r="7">
      <c r="B7" s="4" t="inlineStr">
        <is>
          <t>Giá lịch sử cuối (VND)</t>
        </is>
      </c>
      <c r="C7" s="5" t="n">
        <v>49700</v>
      </c>
    </row>
    <row r="8">
      <c r="B8" s="4" t="inlineStr">
        <is>
          <t>Số CP lưu hành</t>
        </is>
      </c>
      <c r="C8" s="5" t="n">
        <v>69048195</v>
      </c>
    </row>
    <row r="9">
      <c r="B9" s="4" t="inlineStr">
        <is>
          <t>Vốn hóa (tỷ VND)</t>
        </is>
      </c>
      <c r="C9" s="6">
        <f>B6*B7/1e9</f>
        <v/>
      </c>
    </row>
    <row r="10">
      <c r="B10" s="4" t="inlineStr">
        <is>
          <t>Beta (CAPM)</t>
        </is>
      </c>
      <c r="C10" s="7" t="n">
        <v>0.9075</v>
      </c>
    </row>
    <row r="11">
      <c r="B11" s="4" t="inlineStr">
        <is>
          <t>Rf (%/năm)</t>
        </is>
      </c>
      <c r="C11" s="8" t="n">
        <v>0.045</v>
      </c>
    </row>
    <row r="12">
      <c r="B12" s="4" t="inlineStr">
        <is>
          <t>COE (%/năm)</t>
        </is>
      </c>
      <c r="C12" s="8" t="n">
        <v>0.0949125</v>
      </c>
    </row>
    <row r="13">
      <c r="B13" s="4" t="inlineStr">
        <is>
          <t>Nguồn Beta</t>
        </is>
      </c>
      <c r="C13" s="4" t="inlineStr">
        <is>
          <t>Tự tính toán (1618 phiên)</t>
        </is>
      </c>
    </row>
    <row r="15">
      <c r="B15" s="9" t="inlineStr">
        <is>
          <t>─── ĐỊNH GIÁ TỔNG HỢP ───</t>
        </is>
      </c>
    </row>
    <row r="16">
      <c r="B16" s="4" t="inlineStr">
        <is>
          <t>Giá hợp lý P/E (40%)</t>
        </is>
      </c>
      <c r="C16" s="5" t="n">
        <v>58818</v>
      </c>
    </row>
    <row r="17">
      <c r="B17" s="4" t="inlineStr">
        <is>
          <t>Giá hợp lý P/B (40%)</t>
        </is>
      </c>
      <c r="C17" s="5" t="n">
        <v>77890</v>
      </c>
    </row>
    <row r="18">
      <c r="B18" s="4" t="inlineStr">
        <is>
          <t>Giá hợp lý RI (20%)</t>
        </is>
      </c>
      <c r="C18" s="5" t="n">
        <v>61044</v>
      </c>
    </row>
    <row r="19">
      <c r="B19" s="4" t="inlineStr">
        <is>
          <t>Giá mục tiêu blend</t>
        </is>
      </c>
      <c r="C19" s="10" t="n">
        <v>66892</v>
      </c>
    </row>
    <row r="20">
      <c r="B20" s="4" t="inlineStr">
        <is>
          <t>Upside/Downside</t>
        </is>
      </c>
      <c r="C20" s="8" t="n">
        <v>0.3446</v>
      </c>
    </row>
    <row r="22">
      <c r="B22" s="9" t="inlineStr">
        <is>
          <t>Nhận định AI:</t>
        </is>
      </c>
    </row>
    <row r="23" ht="60" customHeight="1">
      <c r="B23" s="11" t="inlineStr">
        <is>
          <t>Công ty Cổ phần Đầu tư Sài Gòn VRG (SIP) là doanh nghiệp bất động sản khu công nghiệp với mô hình đa mảng (cho thuê đất, tiện ích, điện, BOT…). Doanh thu mảng hạ tầng KCN mang tính chu kỳ nhưng ổn định nhờ hợp đồng thuê dài hạn; mảng điện và tiện ích tạo dòng tiền đều đặn hàng quý.</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6"/>
  <sheetViews>
    <sheetView workbookViewId="0">
      <pane ySplit="1" topLeftCell="A2" activePane="bottomLeft" state="frozen"/>
      <selection pane="bottomLeft" activeCell="A1" sqref="A1"/>
    </sheetView>
  </sheetViews>
  <sheetFormatPr baseColWidth="8" defaultRowHeight="15"/>
  <cols>
    <col width="32" customWidth="1" min="1" max="1"/>
    <col width="14" customWidth="1" min="2" max="2"/>
    <col width="35" customWidth="1" min="3" max="3"/>
  </cols>
  <sheetData>
    <row r="1">
      <c r="A1" s="12" t="inlineStr">
        <is>
          <t>Tham số giả định</t>
        </is>
      </c>
      <c r="B1" s="12" t="inlineStr">
        <is>
          <t>Giá trị</t>
        </is>
      </c>
      <c r="C1" s="12" t="inlineStr">
        <is>
          <t>Ghi chú</t>
        </is>
      </c>
    </row>
    <row r="2">
      <c r="A2" s="4" t="inlineStr">
        <is>
          <t>Rf (lãi TPCP 10Y, %/năm)</t>
        </is>
      </c>
      <c r="B2" s="13" t="n">
        <v>0.045</v>
      </c>
      <c r="C2" s="3" t="inlineStr">
        <is>
          <t>Tự động fetch từ investing.com/WGB</t>
        </is>
      </c>
    </row>
    <row r="3">
      <c r="A3" s="4" t="inlineStr">
        <is>
          <t>Beta (CAPM)</t>
        </is>
      </c>
      <c r="B3" s="13" t="n">
        <v>0.9075</v>
      </c>
      <c r="C3" s="3" t="inlineStr">
        <is>
          <t>Tự tính toán (1618 phiên)</t>
        </is>
      </c>
    </row>
    <row r="4">
      <c r="A4" s="4" t="inlineStr">
        <is>
          <t>ERP (phần bù rủi ro thị trường)</t>
        </is>
      </c>
      <c r="B4" s="13" t="n">
        <v>0.055</v>
      </c>
      <c r="C4" s="3" t="inlineStr">
        <is>
          <t>Cố định 5.5% cho TTCK VN</t>
        </is>
      </c>
    </row>
    <row r="5">
      <c r="A5" s="4" t="inlineStr">
        <is>
          <t>COE = Rf + β × ERP</t>
        </is>
      </c>
      <c r="B5" s="13" t="n">
        <v>0.0949125</v>
      </c>
      <c r="C5" s="3" t="inlineStr">
        <is>
          <t>Cost of Equity (không phần bù đặc thù)</t>
        </is>
      </c>
    </row>
    <row r="6">
      <c r="A6" s="4" t="inlineStr">
        <is>
          <t>EPS lịch sử gần nhất (VND)</t>
        </is>
      </c>
      <c r="B6" s="14" t="n">
        <v>4972</v>
      </c>
      <c r="C6" s="3" t="inlineStr">
        <is>
          <t>Từ isa23 Vietcap</t>
        </is>
      </c>
    </row>
    <row r="7">
      <c r="A7" s="4" t="inlineStr">
        <is>
          <t>BVPS mẹ lịch sử gần nhất (VND)</t>
        </is>
      </c>
      <c r="B7" s="14" t="n">
        <v>74623.86885696287</v>
      </c>
      <c r="C7" s="3" t="inlineStr">
        <is>
          <t>(bsa78 − bsa210) / shares</t>
        </is>
      </c>
    </row>
    <row r="8">
      <c r="A8" s="4" t="inlineStr">
        <is>
          <t>Payout ratio trung bình</t>
        </is>
      </c>
      <c r="B8" s="13" t="n">
        <v>0.3430695893109071</v>
      </c>
      <c r="C8" s="3" t="inlineStr">
        <is>
          <t>Trung bình lịch sử cfa32/isa22</t>
        </is>
      </c>
    </row>
    <row r="9">
      <c r="A9" s="4" t="inlineStr">
        <is>
          <t>CAGR EPS dự phóng</t>
        </is>
      </c>
      <c r="B9" s="13" t="n">
        <v>0.1160156728128543</v>
      </c>
      <c r="C9" s="3" t="inlineStr">
        <is>
          <t>CAGR 3 năm lịch sử, kẹp [-10%, +20%]</t>
        </is>
      </c>
    </row>
    <row r="10">
      <c r="A10" s="4" t="inlineStr">
        <is>
          <t>ROE ước tính</t>
        </is>
      </c>
      <c r="B10" s="13" t="n">
        <v>0.06662747558063764</v>
      </c>
      <c r="C10" s="3" t="inlineStr">
        <is>
          <t>EPS_last / BVPS_last</t>
        </is>
      </c>
    </row>
    <row r="11">
      <c r="A11" s="4" t="inlineStr">
        <is>
          <t>P/E mục tiêu</t>
        </is>
      </c>
      <c r="B11" s="14" t="n">
        <v>10.6</v>
      </c>
      <c r="C11" s="3" t="inlineStr">
        <is>
          <t>Median P/E lịch sử, kẹp [8, 25]</t>
        </is>
      </c>
    </row>
    <row r="12">
      <c r="A12" s="4" t="inlineStr">
        <is>
          <t>P/B mục tiêu</t>
        </is>
      </c>
      <c r="B12" s="14" t="n">
        <v>1</v>
      </c>
      <c r="C12" s="3" t="inlineStr">
        <is>
          <t>Median P/B lịch sử, kẹp [0.6, 4]</t>
        </is>
      </c>
    </row>
    <row r="13">
      <c r="A13" s="4" t="inlineStr">
        <is>
          <t>Số năm RI dự phóng (n)</t>
        </is>
      </c>
      <c r="B13" s="15" t="n">
        <v>3</v>
      </c>
      <c r="C13" s="3" t="inlineStr">
        <is>
          <t>PV RI 3 năm + terminal value</t>
        </is>
      </c>
    </row>
    <row r="14">
      <c r="A14" s="4" t="inlineStr">
        <is>
          <t>g terminal RI</t>
        </is>
      </c>
      <c r="B14" s="13" t="n">
        <v>0.04</v>
      </c>
      <c r="C14" s="3">
        <f> min(CAGR_EPS × 0.5, 4%)</f>
        <v/>
      </c>
    </row>
    <row r="15">
      <c r="A15" s="4" t="inlineStr">
        <is>
          <t>Số CP lưu hành</t>
        </is>
      </c>
      <c r="B15" s="15" t="n">
        <v>69048195</v>
      </c>
      <c r="C15" s="3" t="inlineStr"/>
    </row>
    <row r="16">
      <c r="A16" s="4" t="inlineStr">
        <is>
          <t>Giá thị trường (VND)</t>
        </is>
      </c>
      <c r="B16" s="14" t="n">
        <v>49750</v>
      </c>
      <c r="C16" s="3" t="inlineStr">
        <is>
          <t>Giá cuối phiên gần nhất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8"/>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2"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s>
  <sheetData>
    <row r="1">
      <c r="A1" s="12" t="inlineStr">
        <is>
          <t>Chỉ tiêu P&amp;L (tỷ VND)</t>
        </is>
      </c>
      <c r="B1" s="12" t="inlineStr">
        <is>
          <t>2021A</t>
        </is>
      </c>
      <c r="C1" s="12" t="inlineStr">
        <is>
          <t>2022A</t>
        </is>
      </c>
      <c r="D1" s="12" t="inlineStr">
        <is>
          <t>2023A</t>
        </is>
      </c>
      <c r="E1" s="12" t="inlineStr">
        <is>
          <t>2024A</t>
        </is>
      </c>
      <c r="F1" s="12" t="inlineStr">
        <is>
          <t>2025A</t>
        </is>
      </c>
      <c r="G1" s="12" t="inlineStr">
        <is>
          <t>2026E</t>
        </is>
      </c>
      <c r="H1" s="12" t="inlineStr">
        <is>
          <t>2027E</t>
        </is>
      </c>
      <c r="I1" s="12" t="inlineStr">
        <is>
          <t>2028E</t>
        </is>
      </c>
    </row>
    <row r="2">
      <c r="A2" s="9" t="inlineStr">
        <is>
          <t>Doanh thu thuần</t>
        </is>
      </c>
      <c r="B2" s="16" t="n">
        <v>5577.56</v>
      </c>
      <c r="C2" s="16" t="n">
        <v>6034.52</v>
      </c>
      <c r="D2" s="16" t="n">
        <v>6676.52</v>
      </c>
      <c r="E2" s="16" t="n">
        <v>7801.16</v>
      </c>
      <c r="F2" s="16" t="n">
        <v>8596.23</v>
      </c>
      <c r="G2" s="17" t="n">
        <v>9679.959999999999</v>
      </c>
      <c r="H2" s="17" t="n">
        <v>10488.34</v>
      </c>
      <c r="I2" s="17" t="n">
        <v>11372.34</v>
      </c>
    </row>
    <row r="3">
      <c r="A3" s="4" t="inlineStr">
        <is>
          <t>Giá vốn hàng bán</t>
        </is>
      </c>
      <c r="B3" s="5" t="n">
        <v>-4804.7</v>
      </c>
      <c r="C3" s="5" t="n">
        <v>-5133.39</v>
      </c>
      <c r="D3" s="5" t="n">
        <v>-5746.07</v>
      </c>
      <c r="E3" s="5" t="n">
        <v>-6706.01</v>
      </c>
      <c r="F3" s="5" t="n">
        <v>-7252.79</v>
      </c>
      <c r="G3" s="15" t="n">
        <v>-8244.110000000001</v>
      </c>
      <c r="H3" s="15" t="n">
        <v>-8932.58</v>
      </c>
      <c r="I3" s="15" t="n">
        <v>-9685.459999999999</v>
      </c>
    </row>
    <row r="4">
      <c r="A4" s="9" t="inlineStr">
        <is>
          <t>Lợi nhuận gộp</t>
        </is>
      </c>
      <c r="B4" s="16" t="n">
        <v>10382.26</v>
      </c>
      <c r="C4" s="16" t="n">
        <v>11167.91</v>
      </c>
      <c r="D4" s="16" t="n">
        <v>12422.59</v>
      </c>
      <c r="E4" s="16" t="n">
        <v>14507.17</v>
      </c>
      <c r="F4" s="16" t="n">
        <v>15849.02</v>
      </c>
      <c r="G4" s="17" t="n">
        <v>17924.07</v>
      </c>
      <c r="H4" s="17" t="n">
        <v>19420.92</v>
      </c>
      <c r="I4" s="17" t="n">
        <v>21057.8</v>
      </c>
    </row>
    <row r="5">
      <c r="A5" s="4" t="inlineStr">
        <is>
          <t>Lợi nhuận trước thuế</t>
        </is>
      </c>
      <c r="B5" s="5" t="n">
        <v>1110.8</v>
      </c>
      <c r="C5" s="5" t="n">
        <v>1245.54</v>
      </c>
      <c r="D5" s="5" t="n">
        <v>1274.29</v>
      </c>
      <c r="E5" s="5" t="n">
        <v>1571.74</v>
      </c>
      <c r="F5" s="5" t="n">
        <v>1838.52</v>
      </c>
      <c r="G5" s="15" t="n">
        <v>0</v>
      </c>
      <c r="H5" s="15" t="n">
        <v>0</v>
      </c>
      <c r="I5" s="15" t="n">
        <v>0</v>
      </c>
    </row>
    <row r="6">
      <c r="A6" s="4" t="inlineStr">
        <is>
          <t>LNST (hợp nhất)</t>
        </is>
      </c>
      <c r="B6" s="5" t="n">
        <v>908.54</v>
      </c>
      <c r="C6" s="5" t="n">
        <v>1009.9</v>
      </c>
      <c r="D6" s="5" t="n">
        <v>1003.66</v>
      </c>
      <c r="E6" s="5" t="n">
        <v>1278.83</v>
      </c>
      <c r="F6" s="5" t="n">
        <v>1467.09</v>
      </c>
      <c r="G6" s="15" t="n">
        <v>1619.43</v>
      </c>
      <c r="H6" s="15" t="n">
        <v>1754.67</v>
      </c>
      <c r="I6" s="15" t="n">
        <v>1902.57</v>
      </c>
    </row>
    <row r="7">
      <c r="A7" s="9" t="inlineStr">
        <is>
          <t>LNST cổ đông mẹ</t>
        </is>
      </c>
      <c r="B7" s="16" t="n">
        <v>835.41</v>
      </c>
      <c r="C7" s="16" t="n">
        <v>977.16</v>
      </c>
      <c r="D7" s="16" t="n">
        <v>926.9</v>
      </c>
      <c r="E7" s="16" t="n">
        <v>1170.16</v>
      </c>
      <c r="F7" s="16" t="n">
        <v>1322.87</v>
      </c>
      <c r="G7" s="17" t="n">
        <v>0</v>
      </c>
      <c r="H7" s="17" t="n">
        <v>0</v>
      </c>
      <c r="I7" s="17" t="n">
        <v>0</v>
      </c>
    </row>
    <row r="8">
      <c r="A8" s="3" t="inlineStr">
        <is>
          <t>Biên lợi nhuận gộp (%)</t>
        </is>
      </c>
      <c r="B8" s="18" t="n">
        <v>1.8614</v>
      </c>
      <c r="C8" s="18" t="n">
        <v>1.8507</v>
      </c>
      <c r="D8" s="18" t="n">
        <v>1.8606</v>
      </c>
      <c r="E8" s="18" t="n">
        <v>1.8596</v>
      </c>
      <c r="F8" s="18" t="n">
        <v>1.8437</v>
      </c>
      <c r="G8" s="18">
        <f>G4/G2</f>
        <v/>
      </c>
      <c r="H8" s="18">
        <f>H4/H2</f>
        <v/>
      </c>
      <c r="I8" s="18">
        <f>I4/I2</f>
        <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9"/>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0" customWidth="1" min="1" max="1"/>
    <col width="11" customWidth="1" min="2" max="2"/>
    <col width="11" customWidth="1" min="3" max="3"/>
    <col width="11" customWidth="1" min="4" max="4"/>
    <col width="11" customWidth="1" min="5" max="5"/>
    <col width="11" customWidth="1" min="6" max="6"/>
    <col width="11" customWidth="1" min="7" max="7"/>
    <col width="11" customWidth="1" min="8" max="8"/>
    <col width="11" customWidth="1" min="9" max="9"/>
  </cols>
  <sheetData>
    <row r="1">
      <c r="A1" s="12" t="inlineStr">
        <is>
          <t>Mảng kinh doanh</t>
        </is>
      </c>
      <c r="B1" s="12" t="inlineStr">
        <is>
          <t>2021A</t>
        </is>
      </c>
      <c r="C1" s="12" t="inlineStr">
        <is>
          <t>2022A</t>
        </is>
      </c>
      <c r="D1" s="12" t="inlineStr">
        <is>
          <t>2023A</t>
        </is>
      </c>
      <c r="E1" s="12" t="inlineStr">
        <is>
          <t>2024A</t>
        </is>
      </c>
      <c r="F1" s="12" t="inlineStr">
        <is>
          <t>2025A</t>
        </is>
      </c>
      <c r="G1" s="12" t="inlineStr">
        <is>
          <t>2026E</t>
        </is>
      </c>
      <c r="H1" s="12" t="inlineStr">
        <is>
          <t>2027E</t>
        </is>
      </c>
      <c r="I1" s="12" t="inlineStr">
        <is>
          <t>2028E</t>
        </is>
      </c>
    </row>
    <row r="2">
      <c r="A2" s="4" t="inlineStr">
        <is>
          <t>DV tiện ích điện, nước KCN</t>
        </is>
      </c>
      <c r="B2" s="19" t="n">
        <v>4980.5</v>
      </c>
      <c r="C2" s="19" t="n">
        <v>5340.2</v>
      </c>
      <c r="D2" s="19" t="n">
        <v>5780.4</v>
      </c>
      <c r="E2" s="19" t="n">
        <v>6120.5</v>
      </c>
      <c r="F2" s="19" t="n">
        <v>6580</v>
      </c>
      <c r="G2" s="20" t="n">
        <v>7040.6</v>
      </c>
      <c r="H2" s="20" t="n">
        <v>7533.44</v>
      </c>
      <c r="I2" s="20" t="n">
        <v>8060.78</v>
      </c>
    </row>
    <row r="3">
      <c r="A3" s="4" t="inlineStr">
        <is>
          <t>Bán hàng hóa, thành phẩm</t>
        </is>
      </c>
      <c r="B3" s="19" t="n">
        <v>120.4</v>
      </c>
      <c r="C3" s="19" t="n">
        <v>145.8</v>
      </c>
      <c r="D3" s="19" t="n">
        <v>168.2</v>
      </c>
      <c r="E3" s="19" t="n">
        <v>180.4</v>
      </c>
      <c r="F3" s="19" t="n">
        <v>195</v>
      </c>
      <c r="G3" s="20" t="n">
        <v>219.98</v>
      </c>
      <c r="H3" s="20" t="n">
        <v>248.16</v>
      </c>
      <c r="I3" s="20" t="n">
        <v>279.96</v>
      </c>
    </row>
    <row r="4">
      <c r="A4" s="4" t="inlineStr">
        <is>
          <t>DV tiện ích KCN khác</t>
        </is>
      </c>
      <c r="B4" s="19" t="n">
        <v>550.2</v>
      </c>
      <c r="C4" s="19" t="n">
        <v>620.4</v>
      </c>
      <c r="D4" s="19" t="n">
        <v>680.5</v>
      </c>
      <c r="E4" s="19" t="n">
        <v>740.6</v>
      </c>
      <c r="F4" s="19" t="n">
        <v>810</v>
      </c>
      <c r="G4" s="20" t="n">
        <v>866.7</v>
      </c>
      <c r="H4" s="20" t="n">
        <v>927.37</v>
      </c>
      <c r="I4" s="20" t="n">
        <v>992.28</v>
      </c>
    </row>
    <row r="5">
      <c r="A5" s="4" t="inlineStr">
        <is>
          <t>Cho thuê đất đã phát triển CSHT</t>
        </is>
      </c>
      <c r="B5" s="19" t="n">
        <v>380.6</v>
      </c>
      <c r="C5" s="19" t="n">
        <v>450.9</v>
      </c>
      <c r="D5" s="19" t="n">
        <v>520.4</v>
      </c>
      <c r="E5" s="19" t="n">
        <v>610.2</v>
      </c>
      <c r="F5" s="19" t="n">
        <v>680</v>
      </c>
      <c r="G5" s="20" t="n">
        <v>786.17</v>
      </c>
      <c r="H5" s="20" t="n">
        <v>908.9299999999999</v>
      </c>
      <c r="I5" s="20" t="n">
        <v>1050.85</v>
      </c>
    </row>
    <row r="6">
      <c r="A6" s="4" t="inlineStr">
        <is>
          <t>DV xây dựng</t>
        </is>
      </c>
      <c r="B6" s="19" t="n">
        <v>140.8</v>
      </c>
      <c r="C6" s="19" t="n">
        <v>165.2</v>
      </c>
      <c r="D6" s="19" t="n">
        <v>182</v>
      </c>
      <c r="E6" s="19" t="n">
        <v>205.4</v>
      </c>
      <c r="F6" s="19" t="n">
        <v>230</v>
      </c>
      <c r="G6" s="20" t="n">
        <v>260.02</v>
      </c>
      <c r="H6" s="20" t="n">
        <v>293.96</v>
      </c>
      <c r="I6" s="20" t="n">
        <v>332.33</v>
      </c>
    </row>
    <row r="7">
      <c r="A7" s="4" t="inlineStr">
        <is>
          <t>Bán bất động sản</t>
        </is>
      </c>
      <c r="B7" s="19" t="n">
        <v>85</v>
      </c>
      <c r="C7" s="19" t="n">
        <v>92.40000000000001</v>
      </c>
      <c r="D7" s="19" t="n">
        <v>105.8</v>
      </c>
      <c r="E7" s="19" t="n">
        <v>120.5</v>
      </c>
      <c r="F7" s="19" t="n">
        <v>140</v>
      </c>
      <c r="G7" s="20" t="n">
        <v>158.6</v>
      </c>
      <c r="H7" s="20" t="n">
        <v>179.67</v>
      </c>
      <c r="I7" s="20" t="n">
        <v>203.54</v>
      </c>
    </row>
    <row r="8">
      <c r="A8" s="4" t="inlineStr">
        <is>
          <t>DV khác</t>
        </is>
      </c>
      <c r="B8" s="19" t="n">
        <v>180.2</v>
      </c>
      <c r="C8" s="19" t="n">
        <v>210.5</v>
      </c>
      <c r="D8" s="19" t="n">
        <v>242</v>
      </c>
      <c r="E8" s="19" t="n">
        <v>275.2</v>
      </c>
      <c r="F8" s="19" t="n">
        <v>305</v>
      </c>
      <c r="G8" s="20" t="n">
        <v>347.89</v>
      </c>
      <c r="H8" s="20" t="n">
        <v>396.8</v>
      </c>
      <c r="I8" s="20" t="n">
        <v>452.59</v>
      </c>
    </row>
    <row r="9">
      <c r="A9" s="21" t="inlineStr">
        <is>
          <t>TỔNG DOANH THU</t>
        </is>
      </c>
      <c r="B9" s="22">
        <f>SUM(B2:B8)</f>
        <v/>
      </c>
      <c r="C9" s="22">
        <f>SUM(C2:C8)</f>
        <v/>
      </c>
      <c r="D9" s="22">
        <f>SUM(D2:D8)</f>
        <v/>
      </c>
      <c r="E9" s="22">
        <f>SUM(E2:E8)</f>
        <v/>
      </c>
      <c r="F9" s="22">
        <f>SUM(F2:F8)</f>
        <v/>
      </c>
      <c r="G9" s="22">
        <f>SUM(G2:G8)</f>
        <v/>
      </c>
      <c r="H9" s="22">
        <f>SUM(H2:H8)</f>
        <v/>
      </c>
      <c r="I9" s="22">
        <f>SUM(I2:I8)</f>
        <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8"/>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0" customWidth="1" min="1" max="1"/>
    <col width="11" customWidth="1" min="2" max="2"/>
    <col width="11" customWidth="1" min="3" max="3"/>
    <col width="11" customWidth="1" min="4" max="4"/>
    <col width="11" customWidth="1" min="5" max="5"/>
    <col width="11" customWidth="1" min="6" max="6"/>
    <col width="11" customWidth="1" min="7" max="7"/>
    <col width="11" customWidth="1" min="8" max="8"/>
    <col width="11" customWidth="1" min="9" max="9"/>
  </cols>
  <sheetData>
    <row r="1">
      <c r="A1" s="12" t="inlineStr">
        <is>
          <t>Mảng kinh doanh (Biên LNG %)</t>
        </is>
      </c>
      <c r="B1" s="12" t="inlineStr">
        <is>
          <t>2021A</t>
        </is>
      </c>
      <c r="C1" s="12" t="inlineStr">
        <is>
          <t>2022A</t>
        </is>
      </c>
      <c r="D1" s="12" t="inlineStr">
        <is>
          <t>2023A</t>
        </is>
      </c>
      <c r="E1" s="12" t="inlineStr">
        <is>
          <t>2024A</t>
        </is>
      </c>
      <c r="F1" s="12" t="inlineStr">
        <is>
          <t>2025A</t>
        </is>
      </c>
      <c r="G1" s="12" t="inlineStr">
        <is>
          <t>2026E</t>
        </is>
      </c>
      <c r="H1" s="12" t="inlineStr">
        <is>
          <t>2027E</t>
        </is>
      </c>
      <c r="I1" s="12" t="inlineStr">
        <is>
          <t>2028E</t>
        </is>
      </c>
    </row>
    <row r="2">
      <c r="A2" s="4" t="inlineStr">
        <is>
          <t>DV tiện ích điện, nước KCN</t>
        </is>
      </c>
      <c r="B2" s="18" t="n">
        <v>0.0723</v>
      </c>
      <c r="C2" s="18" t="n">
        <v>0.0674</v>
      </c>
      <c r="D2" s="18" t="n">
        <v>0.07439999999999999</v>
      </c>
      <c r="E2" s="18" t="n">
        <v>0.07190000000000001</v>
      </c>
      <c r="F2" s="18" t="n">
        <v>0.0805</v>
      </c>
      <c r="G2" s="23" t="n">
        <v>0.0762</v>
      </c>
      <c r="H2" s="23" t="n">
        <v>0.0762</v>
      </c>
      <c r="I2" s="23" t="n">
        <v>0.0762</v>
      </c>
    </row>
    <row r="3">
      <c r="A3" s="4" t="inlineStr">
        <is>
          <t>Bán hàng hóa, thành phẩm</t>
        </is>
      </c>
      <c r="B3" s="18" t="n">
        <v>0.1254</v>
      </c>
      <c r="C3" s="18" t="n">
        <v>0.1221</v>
      </c>
      <c r="D3" s="18" t="n">
        <v>0.1356</v>
      </c>
      <c r="E3" s="18" t="n">
        <v>0.1341</v>
      </c>
      <c r="F3" s="18" t="n">
        <v>0.1364</v>
      </c>
      <c r="G3" s="23" t="n">
        <v>0.1353</v>
      </c>
      <c r="H3" s="23" t="n">
        <v>0.1353</v>
      </c>
      <c r="I3" s="23" t="n">
        <v>0.1353</v>
      </c>
    </row>
    <row r="4">
      <c r="A4" s="4" t="inlineStr">
        <is>
          <t>DV tiện ích KCN khác</t>
        </is>
      </c>
      <c r="B4" s="18" t="n">
        <v>0.4358</v>
      </c>
      <c r="C4" s="18" t="n">
        <v>0.4516</v>
      </c>
      <c r="D4" s="18" t="n">
        <v>0.4633</v>
      </c>
      <c r="E4" s="18" t="n">
        <v>0.4666</v>
      </c>
      <c r="F4" s="18" t="n">
        <v>0.4809</v>
      </c>
      <c r="G4" s="23" t="n">
        <v>0.4738</v>
      </c>
      <c r="H4" s="23" t="n">
        <v>0.4738</v>
      </c>
      <c r="I4" s="23" t="n">
        <v>0.4738</v>
      </c>
    </row>
    <row r="5">
      <c r="A5" s="4" t="inlineStr">
        <is>
          <t>Cho thuê đất đã phát triển CSHT</t>
        </is>
      </c>
      <c r="B5" s="18" t="n">
        <v>0.7105</v>
      </c>
      <c r="C5" s="18" t="n">
        <v>0.721</v>
      </c>
      <c r="D5" s="18" t="n">
        <v>0.7145</v>
      </c>
      <c r="E5" s="18" t="n">
        <v>0.7173</v>
      </c>
      <c r="F5" s="18" t="n">
        <v>0.7203000000000001</v>
      </c>
      <c r="G5" s="23" t="n">
        <v>0.7188</v>
      </c>
      <c r="H5" s="23" t="n">
        <v>0.7188</v>
      </c>
      <c r="I5" s="23" t="n">
        <v>0.7188</v>
      </c>
    </row>
    <row r="6">
      <c r="A6" s="4" t="inlineStr">
        <is>
          <t>DV xây dựng</t>
        </is>
      </c>
      <c r="B6" s="18" t="n">
        <v>0.1094</v>
      </c>
      <c r="C6" s="18" t="n">
        <v>0.1041</v>
      </c>
      <c r="D6" s="18" t="n">
        <v>0.1071</v>
      </c>
      <c r="E6" s="18" t="n">
        <v>0.1139</v>
      </c>
      <c r="F6" s="18" t="n">
        <v>0.137</v>
      </c>
      <c r="G6" s="23" t="n">
        <v>0.1254</v>
      </c>
      <c r="H6" s="23" t="n">
        <v>0.1254</v>
      </c>
      <c r="I6" s="23" t="n">
        <v>0.1254</v>
      </c>
    </row>
    <row r="7">
      <c r="A7" s="4" t="inlineStr">
        <is>
          <t>Bán bất động sản</t>
        </is>
      </c>
      <c r="B7" s="18" t="n">
        <v>0.5859</v>
      </c>
      <c r="C7" s="18" t="n">
        <v>0.5887</v>
      </c>
      <c r="D7" s="18" t="n">
        <v>0.603</v>
      </c>
      <c r="E7" s="18" t="n">
        <v>0.5983000000000001</v>
      </c>
      <c r="F7" s="18" t="n">
        <v>0.6071</v>
      </c>
      <c r="G7" s="23" t="n">
        <v>0.6027</v>
      </c>
      <c r="H7" s="23" t="n">
        <v>0.6027</v>
      </c>
      <c r="I7" s="23" t="n">
        <v>0.6027</v>
      </c>
    </row>
    <row r="8">
      <c r="A8" s="4" t="inlineStr">
        <is>
          <t>DV khác</t>
        </is>
      </c>
      <c r="B8" s="18" t="n">
        <v>0.1948</v>
      </c>
      <c r="C8" s="18" t="n">
        <v>0.181</v>
      </c>
      <c r="D8" s="18" t="n">
        <v>0.1909</v>
      </c>
      <c r="E8" s="18" t="n">
        <v>0.2078</v>
      </c>
      <c r="F8" s="18" t="n">
        <v>0.2066</v>
      </c>
      <c r="G8" s="23" t="n">
        <v>0.2072</v>
      </c>
      <c r="H8" s="23" t="n">
        <v>0.2072</v>
      </c>
      <c r="I8" s="23" t="n">
        <v>0.2072</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14"/>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2" customWidth="1" min="1" max="1"/>
    <col width="12" customWidth="1" min="2" max="2"/>
    <col width="12" customWidth="1" min="3" max="3"/>
    <col width="12" customWidth="1" min="4" max="4"/>
    <col width="12" customWidth="1" min="5" max="5"/>
    <col width="12" customWidth="1" min="6" max="6"/>
  </cols>
  <sheetData>
    <row r="1">
      <c r="A1" s="12" t="inlineStr">
        <is>
          <t>Chỉ tiêu BS (tỷ VND)</t>
        </is>
      </c>
      <c r="B1" s="12" t="inlineStr">
        <is>
          <t>2021A</t>
        </is>
      </c>
      <c r="C1" s="12" t="inlineStr">
        <is>
          <t>2022A</t>
        </is>
      </c>
      <c r="D1" s="12" t="inlineStr">
        <is>
          <t>2023A</t>
        </is>
      </c>
      <c r="E1" s="12" t="inlineStr">
        <is>
          <t>2024A</t>
        </is>
      </c>
      <c r="F1" s="12" t="inlineStr">
        <is>
          <t>2025A</t>
        </is>
      </c>
    </row>
    <row r="2">
      <c r="A2" s="4" t="inlineStr">
        <is>
          <t>Tiền &amp; tương đương</t>
        </is>
      </c>
      <c r="B2" s="19" t="n">
        <v>774.4</v>
      </c>
      <c r="C2" s="19" t="n">
        <v>439.73</v>
      </c>
      <c r="D2" s="19" t="n">
        <v>829.3</v>
      </c>
      <c r="E2" s="19" t="n">
        <v>645.6</v>
      </c>
      <c r="F2" s="19" t="n">
        <v>844.6</v>
      </c>
    </row>
    <row r="3">
      <c r="A3" s="4" t="inlineStr">
        <is>
          <t>Tổng tài sản</t>
        </is>
      </c>
      <c r="B3" s="19" t="n">
        <v>17817.26</v>
      </c>
      <c r="C3" s="19" t="n">
        <v>19003.42</v>
      </c>
      <c r="D3" s="19" t="n">
        <v>21060.43</v>
      </c>
      <c r="E3" s="19" t="n">
        <v>25052.88</v>
      </c>
      <c r="F3" s="19" t="n">
        <v>28670.19</v>
      </c>
    </row>
    <row r="4">
      <c r="A4" s="4" t="inlineStr">
        <is>
          <t>Vay ngắn hạn</t>
        </is>
      </c>
      <c r="B4" s="19" t="n">
        <v>450.41</v>
      </c>
      <c r="C4" s="19" t="n">
        <v>688.95</v>
      </c>
      <c r="D4" s="19" t="n">
        <v>1595.16</v>
      </c>
      <c r="E4" s="19" t="n">
        <v>2465.71</v>
      </c>
      <c r="F4" s="19" t="n">
        <v>3748.42</v>
      </c>
    </row>
    <row r="5">
      <c r="A5" s="4" t="inlineStr">
        <is>
          <t>Vay dài hạn</t>
        </is>
      </c>
      <c r="B5" s="19" t="n">
        <v>6.36</v>
      </c>
      <c r="C5" s="19" t="n">
        <v>1.51</v>
      </c>
      <c r="D5" s="19" t="n">
        <v>90.69</v>
      </c>
      <c r="E5" s="19" t="n">
        <v>1132.07</v>
      </c>
      <c r="F5" s="19" t="n">
        <v>1069.11</v>
      </c>
    </row>
    <row r="6">
      <c r="A6" s="4" t="inlineStr">
        <is>
          <t>Tổng nợ phải trả</t>
        </is>
      </c>
      <c r="B6" s="19" t="n">
        <v>14519.38</v>
      </c>
      <c r="C6" s="19" t="n">
        <v>15342.59</v>
      </c>
      <c r="D6" s="19" t="n">
        <v>17032.38</v>
      </c>
      <c r="E6" s="19" t="n">
        <v>20185.06</v>
      </c>
      <c r="F6" s="19" t="n">
        <v>22856.2</v>
      </c>
    </row>
    <row r="7">
      <c r="A7" s="4" t="inlineStr">
        <is>
          <t>VCSH (bao gồm NCI)</t>
        </is>
      </c>
      <c r="B7" s="19" t="n">
        <v>3297.88</v>
      </c>
      <c r="C7" s="19" t="n">
        <v>3660.83</v>
      </c>
      <c r="D7" s="19" t="n">
        <v>4028.05</v>
      </c>
      <c r="E7" s="19" t="n">
        <v>4867.82</v>
      </c>
      <c r="F7" s="19" t="n">
        <v>5813.98</v>
      </c>
    </row>
    <row r="8">
      <c r="A8" s="4" t="inlineStr">
        <is>
          <t>Vốn góp (charter capital)</t>
        </is>
      </c>
      <c r="B8" s="19" t="n">
        <v>929.04</v>
      </c>
      <c r="C8" s="19" t="n">
        <v>909.04</v>
      </c>
      <c r="D8" s="19" t="n">
        <v>1818.08</v>
      </c>
      <c r="E8" s="19" t="n">
        <v>2105.33</v>
      </c>
      <c r="F8" s="19" t="n">
        <v>2421.13</v>
      </c>
    </row>
    <row r="9">
      <c r="A9" s="4" t="inlineStr">
        <is>
          <t>NCI (cổ đông thiểu số)</t>
        </is>
      </c>
      <c r="B9" s="19" t="n">
        <v>320.67</v>
      </c>
      <c r="C9" s="19" t="n">
        <v>415.98</v>
      </c>
      <c r="D9" s="19" t="n">
        <v>461.25</v>
      </c>
      <c r="E9" s="19" t="n">
        <v>528.14</v>
      </c>
      <c r="F9" s="19" t="n">
        <v>661.34</v>
      </c>
    </row>
    <row r="10">
      <c r="A10" s="24" t="inlineStr">
        <is>
          <t>VCSH cổ đông mẹ (= VCSH − NCI)</t>
        </is>
      </c>
      <c r="B10" s="10" t="n">
        <v>2977.21</v>
      </c>
      <c r="C10" s="10" t="n">
        <v>3244.85</v>
      </c>
      <c r="D10" s="10" t="n">
        <v>3566.8</v>
      </c>
      <c r="E10" s="10" t="n">
        <v>4339.68</v>
      </c>
      <c r="F10" s="10" t="n">
        <v>5152.64</v>
      </c>
    </row>
    <row r="12">
      <c r="A12" s="4" t="inlineStr">
        <is>
          <t>BVPS mẹ (VND/cp)</t>
        </is>
      </c>
      <c r="B12" s="19" t="n">
        <v>43118</v>
      </c>
      <c r="C12" s="19" t="n">
        <v>46994</v>
      </c>
      <c r="D12" s="19" t="n">
        <v>51657</v>
      </c>
      <c r="E12" s="19" t="n">
        <v>62850</v>
      </c>
      <c r="F12" s="19" t="n">
        <v>74624</v>
      </c>
    </row>
    <row r="13">
      <c r="A13" s="4" t="inlineStr">
        <is>
          <t>EPS cơ bản (VND/cp)</t>
        </is>
      </c>
      <c r="B13" s="19" t="n">
        <v>8992</v>
      </c>
      <c r="C13" s="19" t="n">
        <v>4697</v>
      </c>
      <c r="D13" s="19" t="n">
        <v>3992</v>
      </c>
      <c r="E13" s="19" t="n">
        <v>4379</v>
      </c>
      <c r="F13" s="19" t="n">
        <v>4972</v>
      </c>
    </row>
    <row r="14">
      <c r="A14" s="4" t="inlineStr">
        <is>
          <t>Payout ratio lịch sử</t>
        </is>
      </c>
      <c r="B14" s="18" t="n">
        <v>0.3083</v>
      </c>
      <c r="C14" s="18" t="n">
        <v>0.2056</v>
      </c>
      <c r="D14" s="18" t="n">
        <v>0.5672</v>
      </c>
      <c r="E14" s="18" t="n">
        <v>0.3067</v>
      </c>
      <c r="F14" s="18" t="n">
        <v>0.3276</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cols>
    <col width="38" customWidth="1" min="1" max="1"/>
    <col width="16" customWidth="1" min="2" max="2"/>
    <col width="45" customWidth="1" min="3" max="3"/>
  </cols>
  <sheetData>
    <row r="1">
      <c r="A1" s="12" t="inlineStr">
        <is>
          <t>Định giá KCN (40%P/E + 40%P/B + 20%RI)</t>
        </is>
      </c>
      <c r="B1" s="12" t="inlineStr">
        <is>
          <t>Giá trị</t>
        </is>
      </c>
      <c r="C1" s="12" t="inlineStr">
        <is>
          <t>Ghi chú</t>
        </is>
      </c>
    </row>
    <row r="2">
      <c r="A2" s="25" t="inlineStr">
        <is>
          <t>─ COE &amp; CAPM ─</t>
        </is>
      </c>
      <c r="B2" s="26" t="inlineStr"/>
      <c r="C2" s="3" t="inlineStr"/>
    </row>
    <row r="3">
      <c r="A3" s="4" t="inlineStr">
        <is>
          <t>Rf (lãi suất phi rủi ro)</t>
        </is>
      </c>
      <c r="B3" s="4" t="inlineStr">
        <is>
          <t>4.50%</t>
        </is>
      </c>
      <c r="C3" s="3" t="inlineStr">
        <is>
          <t>TPCP 10Y VN</t>
        </is>
      </c>
    </row>
    <row r="4">
      <c r="A4" s="4" t="inlineStr">
        <is>
          <t>Beta</t>
        </is>
      </c>
      <c r="B4" s="27" t="n">
        <v>0.9075</v>
      </c>
      <c r="C4" s="3" t="inlineStr">
        <is>
          <t>Tự tính toán (1618 phiên)</t>
        </is>
      </c>
    </row>
    <row r="5">
      <c r="A5" s="4" t="inlineStr">
        <is>
          <t>ERP</t>
        </is>
      </c>
      <c r="B5" s="4" t="inlineStr">
        <is>
          <t>5.50%</t>
        </is>
      </c>
      <c r="C5" s="3" t="inlineStr">
        <is>
          <t>Phần bù rủi ro TTCK VN</t>
        </is>
      </c>
    </row>
    <row r="6">
      <c r="A6" s="4" t="inlineStr">
        <is>
          <t>COE = Rf + β × ERP</t>
        </is>
      </c>
      <c r="B6" s="4" t="inlineStr">
        <is>
          <t>9.49%</t>
        </is>
      </c>
      <c r="C6" s="3" t="inlineStr">
        <is>
          <t>Chi phí vốn chủ sở hữu</t>
        </is>
      </c>
    </row>
    <row r="7">
      <c r="A7" s="25" t="inlineStr">
        <is>
          <t>─ P/E ─</t>
        </is>
      </c>
      <c r="B7" s="26" t="inlineStr"/>
      <c r="C7" s="3" t="inlineStr"/>
    </row>
    <row r="8">
      <c r="A8" s="4" t="inlineStr">
        <is>
          <t>EPS forward 1Y (VND)</t>
        </is>
      </c>
      <c r="B8" s="5" t="n">
        <v>5549</v>
      </c>
      <c r="C8" s="3">
        <f> EPS_last × (1 + CAGR EPS)</f>
        <v/>
      </c>
    </row>
    <row r="9">
      <c r="A9" s="4" t="inlineStr">
        <is>
          <t>P/E mục tiêu</t>
        </is>
      </c>
      <c r="B9" s="5" t="n">
        <v>10.6</v>
      </c>
      <c r="C9" s="3" t="inlineStr">
        <is>
          <t>Median P/E lịch sử, kẹp [8,25]</t>
        </is>
      </c>
    </row>
    <row r="10">
      <c r="A10" s="4" t="inlineStr">
        <is>
          <t>Giá hợp lý P/E</t>
        </is>
      </c>
      <c r="B10" s="5" t="n">
        <v>58818</v>
      </c>
      <c r="C10" s="3">
        <f> P/E × EPS_fc1</f>
        <v/>
      </c>
    </row>
    <row r="11">
      <c r="A11" s="25" t="inlineStr">
        <is>
          <t>─ P/B ─</t>
        </is>
      </c>
      <c r="B11" s="26" t="inlineStr"/>
      <c r="C11" s="3" t="inlineStr"/>
    </row>
    <row r="12">
      <c r="A12" s="4" t="inlineStr">
        <is>
          <t>BVPS forward 1Y (VND)</t>
        </is>
      </c>
      <c r="B12" s="5" t="n">
        <v>77890</v>
      </c>
      <c r="C12" s="3" t="inlineStr">
        <is>
          <t>Roll-forward trừ cổ tức</t>
        </is>
      </c>
    </row>
    <row r="13">
      <c r="A13" s="4" t="inlineStr">
        <is>
          <t>P/B mục tiêu</t>
        </is>
      </c>
      <c r="B13" s="27" t="n">
        <v>1</v>
      </c>
      <c r="C13" s="3" t="inlineStr">
        <is>
          <t>Median P/B lịch sử, kẹp [0.6,4]</t>
        </is>
      </c>
    </row>
    <row r="14">
      <c r="A14" s="4" t="inlineStr">
        <is>
          <t>Giá hợp lý P/B</t>
        </is>
      </c>
      <c r="B14" s="5" t="n">
        <v>77890</v>
      </c>
      <c r="C14" s="3">
        <f> P/B × BVPS_fc1</f>
        <v/>
      </c>
    </row>
    <row r="15">
      <c r="A15" s="25" t="inlineStr">
        <is>
          <t>─ Residual Income ─</t>
        </is>
      </c>
      <c r="B15" s="26" t="inlineStr"/>
      <c r="C15" s="3" t="inlineStr"/>
    </row>
    <row r="16">
      <c r="A16" s="4" t="inlineStr">
        <is>
          <t>BVPS hiện tại (VND)</t>
        </is>
      </c>
      <c r="B16" s="5" t="n">
        <v>74624</v>
      </c>
      <c r="C16" s="3" t="inlineStr">
        <is>
          <t>bsa78 − bsa210 / shares</t>
        </is>
      </c>
    </row>
    <row r="17">
      <c r="A17" s="4" t="inlineStr">
        <is>
          <t>CAGR EPS</t>
        </is>
      </c>
      <c r="B17" s="8" t="n">
        <v>0.1160156728128543</v>
      </c>
      <c r="C17" s="3" t="inlineStr">
        <is>
          <t>Kẹp [−10%, +20%]</t>
        </is>
      </c>
    </row>
    <row r="18">
      <c r="A18" s="4" t="inlineStr">
        <is>
          <t>RI Năm 1 (VND)</t>
        </is>
      </c>
      <c r="B18" s="5" t="n">
        <v>-1400.9</v>
      </c>
      <c r="C18" s="3" t="inlineStr">
        <is>
          <t>PV EPS1 − COE×BVPS0</t>
        </is>
      </c>
    </row>
    <row r="19">
      <c r="A19" s="4" t="inlineStr">
        <is>
          <t>RI Năm 2 (VND)</t>
        </is>
      </c>
      <c r="B19" s="5" t="n">
        <v>-1031.1</v>
      </c>
      <c r="C19" s="3" t="inlineStr">
        <is>
          <t>PV EPS2 − COE×BVPS1</t>
        </is>
      </c>
    </row>
    <row r="20">
      <c r="A20" s="4" t="inlineStr">
        <is>
          <t>RI Năm 3 (VND)</t>
        </is>
      </c>
      <c r="B20" s="5" t="n">
        <v>-688.6</v>
      </c>
      <c r="C20" s="3" t="inlineStr">
        <is>
          <t>PV EPS3 − COE×BVPS2</t>
        </is>
      </c>
    </row>
    <row r="21">
      <c r="A21" s="4" t="inlineStr">
        <is>
          <t>RI Terminal (PV, VND)</t>
        </is>
      </c>
      <c r="B21" s="5" t="n">
        <v>-10459.4</v>
      </c>
      <c r="C21" s="3" t="inlineStr">
        <is>
          <t>TV/(COE−g)</t>
        </is>
      </c>
    </row>
    <row r="22">
      <c r="A22" s="4" t="inlineStr">
        <is>
          <t>Giá hợp lý RI (VND)</t>
        </is>
      </c>
      <c r="B22" s="5" t="n">
        <v>61044</v>
      </c>
      <c r="C22" s="3" t="inlineStr">
        <is>
          <t>BVPS + ΣRI_PV + Terminal_PV</t>
        </is>
      </c>
    </row>
    <row r="23">
      <c r="A23" s="25" t="inlineStr">
        <is>
          <t>─ KẾT QUẢ ─</t>
        </is>
      </c>
      <c r="B23" s="26" t="inlineStr"/>
      <c r="C23" s="3" t="inlineStr"/>
    </row>
    <row r="24">
      <c r="A24" s="4" t="inlineStr">
        <is>
          <t>Giá thị trường (VND)</t>
        </is>
      </c>
      <c r="B24" s="5" t="n">
        <v>49750</v>
      </c>
      <c r="C24" s="3" t="inlineStr"/>
    </row>
    <row r="25">
      <c r="A25" s="24" t="inlineStr">
        <is>
          <t>Giá mục tiêu (40+40+20)</t>
        </is>
      </c>
      <c r="B25" s="10" t="n">
        <v>66892</v>
      </c>
      <c r="C25" s="3" t="inlineStr">
        <is>
          <t>Tổng hợp 3 phương pháp</t>
        </is>
      </c>
    </row>
    <row r="26">
      <c r="A26" s="24" t="inlineStr">
        <is>
          <t>Upside / Downside</t>
        </is>
      </c>
      <c r="B26" s="28" t="n">
        <v>0.3446</v>
      </c>
      <c r="C26" s="3" t="inlineStr">
        <is>
          <t>+/- % so với giá thị trường</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N8"/>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8"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1" customWidth="1" min="11" max="11"/>
    <col width="11" customWidth="1" min="12" max="12"/>
    <col width="11" customWidth="1" min="13" max="13"/>
    <col width="11" customWidth="1" min="14" max="14"/>
  </cols>
  <sheetData>
    <row r="1">
      <c r="A1" s="12" t="inlineStr">
        <is>
          <t>Mảng / Quý</t>
        </is>
      </c>
      <c r="B1" s="12" t="inlineStr">
        <is>
          <t>2024Q1</t>
        </is>
      </c>
      <c r="C1" s="12" t="inlineStr">
        <is>
          <t>2024Q2</t>
        </is>
      </c>
      <c r="D1" s="12" t="inlineStr">
        <is>
          <t>2024Q3</t>
        </is>
      </c>
      <c r="E1" s="12" t="inlineStr">
        <is>
          <t>2024Q4</t>
        </is>
      </c>
      <c r="F1" s="12" t="inlineStr">
        <is>
          <t>2025Q1</t>
        </is>
      </c>
      <c r="G1" s="12" t="inlineStr">
        <is>
          <t>2025Q2</t>
        </is>
      </c>
      <c r="H1" s="12" t="inlineStr">
        <is>
          <t>2025Q3</t>
        </is>
      </c>
      <c r="I1" s="12" t="inlineStr">
        <is>
          <t>2025Q4</t>
        </is>
      </c>
      <c r="J1" s="12" t="inlineStr">
        <is>
          <t>2026Q1</t>
        </is>
      </c>
      <c r="K1" s="12" t="inlineStr">
        <is>
          <t>DT</t>
        </is>
      </c>
      <c r="L1" s="12" t="inlineStr">
        <is>
          <t>GV</t>
        </is>
      </c>
      <c r="M1" s="12" t="inlineStr">
        <is>
          <t>LNG</t>
        </is>
      </c>
      <c r="N1" s="12" t="inlineStr">
        <is>
          <t>Biên LNG</t>
        </is>
      </c>
    </row>
    <row r="2">
      <c r="A2" s="4" t="inlineStr">
        <is>
          <t>DV tiện ích điện, nước KCN</t>
        </is>
      </c>
      <c r="B2" s="19" t="n">
        <v>1407.7</v>
      </c>
      <c r="C2" s="19" t="n">
        <v>1530.1</v>
      </c>
      <c r="D2" s="19" t="n">
        <v>1591.3</v>
      </c>
      <c r="E2" s="19" t="n">
        <v>1591.3</v>
      </c>
      <c r="F2" s="19" t="n">
        <v>1589.9</v>
      </c>
      <c r="G2" s="19" t="n">
        <v>1645</v>
      </c>
      <c r="H2" s="19" t="n">
        <v>1710.8</v>
      </c>
      <c r="I2" s="19" t="n">
        <v>1710.8</v>
      </c>
      <c r="J2" s="19" t="n">
        <v>1687.3</v>
      </c>
      <c r="K2" s="29" t="n">
        <v>1607.13</v>
      </c>
      <c r="L2" s="29" t="n">
        <v>1484.29</v>
      </c>
      <c r="M2" s="29" t="n">
        <v>122.84</v>
      </c>
      <c r="N2" s="30" t="n">
        <v>0.0764</v>
      </c>
    </row>
    <row r="3">
      <c r="A3" s="4" t="inlineStr">
        <is>
          <t>Bán hàng hóa, thành phẩm</t>
        </is>
      </c>
      <c r="B3" s="19" t="n">
        <v>41.5</v>
      </c>
      <c r="C3" s="19" t="n">
        <v>45.1</v>
      </c>
      <c r="D3" s="19" t="n">
        <v>46.9</v>
      </c>
      <c r="E3" s="19" t="n">
        <v>46.9</v>
      </c>
      <c r="F3" s="19" t="n">
        <v>24.3</v>
      </c>
      <c r="G3" s="19" t="n">
        <v>48.8</v>
      </c>
      <c r="H3" s="19" t="n">
        <v>50.7</v>
      </c>
      <c r="I3" s="19" t="n">
        <v>50.7</v>
      </c>
      <c r="J3" s="19" t="n">
        <v>40.8</v>
      </c>
      <c r="K3" s="29" t="n">
        <v>43.97</v>
      </c>
      <c r="L3" s="29" t="n">
        <v>37.99</v>
      </c>
      <c r="M3" s="29" t="n">
        <v>5.98</v>
      </c>
      <c r="N3" s="30" t="n">
        <v>0.136</v>
      </c>
    </row>
    <row r="4">
      <c r="A4" s="4" t="inlineStr">
        <is>
          <t>DV tiện ích KCN khác</t>
        </is>
      </c>
      <c r="B4" s="19" t="n">
        <v>170.3</v>
      </c>
      <c r="C4" s="19" t="n">
        <v>185.2</v>
      </c>
      <c r="D4" s="19" t="n">
        <v>192.6</v>
      </c>
      <c r="E4" s="19" t="n">
        <v>192.6</v>
      </c>
      <c r="F4" s="19" t="n">
        <v>146.9</v>
      </c>
      <c r="G4" s="19" t="n">
        <v>202.5</v>
      </c>
      <c r="H4" s="19" t="n">
        <v>210.6</v>
      </c>
      <c r="I4" s="19" t="n">
        <v>210.6</v>
      </c>
      <c r="J4" s="19" t="n">
        <v>206.1</v>
      </c>
      <c r="K4" s="29" t="n">
        <v>190.82</v>
      </c>
      <c r="L4" s="29" t="n">
        <v>97.09999999999999</v>
      </c>
      <c r="M4" s="29" t="n">
        <v>93.72</v>
      </c>
      <c r="N4" s="30" t="n">
        <v>0.4911</v>
      </c>
    </row>
    <row r="5">
      <c r="A5" s="4" t="inlineStr">
        <is>
          <t>Cho thuê đất đã phát triển CSHT</t>
        </is>
      </c>
      <c r="B5" s="19" t="n">
        <v>140.3</v>
      </c>
      <c r="C5" s="19" t="n">
        <v>152.6</v>
      </c>
      <c r="D5" s="19" t="n">
        <v>158.7</v>
      </c>
      <c r="E5" s="19" t="n">
        <v>158.7</v>
      </c>
      <c r="F5" s="19" t="n">
        <v>117.3</v>
      </c>
      <c r="G5" s="19" t="n">
        <v>170</v>
      </c>
      <c r="H5" s="19" t="n">
        <v>176.8</v>
      </c>
      <c r="I5" s="19" t="n">
        <v>176.8</v>
      </c>
      <c r="J5" s="19" t="n">
        <v>116.6</v>
      </c>
      <c r="K5" s="29" t="n">
        <v>151.98</v>
      </c>
      <c r="L5" s="29" t="n">
        <v>42.79</v>
      </c>
      <c r="M5" s="29" t="n">
        <v>109.19</v>
      </c>
      <c r="N5" s="30" t="n">
        <v>0.7184</v>
      </c>
    </row>
    <row r="6">
      <c r="A6" s="4" t="inlineStr">
        <is>
          <t>DV xây dựng</t>
        </is>
      </c>
      <c r="B6" s="19" t="n">
        <v>47.2</v>
      </c>
      <c r="C6" s="19" t="n">
        <v>51.4</v>
      </c>
      <c r="D6" s="19" t="n">
        <v>53.4</v>
      </c>
      <c r="E6" s="19" t="n">
        <v>53.4</v>
      </c>
      <c r="F6" s="19" t="n">
        <v>0</v>
      </c>
      <c r="G6" s="19" t="n">
        <v>57.5</v>
      </c>
      <c r="H6" s="19" t="n">
        <v>59.8</v>
      </c>
      <c r="I6" s="19" t="n">
        <v>59.8</v>
      </c>
      <c r="J6" s="19" t="n">
        <v>17.8</v>
      </c>
      <c r="K6" s="29" t="n">
        <v>44.48</v>
      </c>
      <c r="L6" s="29" t="n">
        <v>39.01</v>
      </c>
      <c r="M6" s="29" t="n">
        <v>5.47</v>
      </c>
      <c r="N6" s="30" t="n">
        <v>0.123</v>
      </c>
    </row>
    <row r="7">
      <c r="A7" s="4" t="inlineStr">
        <is>
          <t>Bán bất động sản</t>
        </is>
      </c>
      <c r="B7" s="19" t="n">
        <v>27.7</v>
      </c>
      <c r="C7" s="19" t="n">
        <v>30.1</v>
      </c>
      <c r="D7" s="19" t="n">
        <v>31.3</v>
      </c>
      <c r="E7" s="19" t="n">
        <v>31.3</v>
      </c>
      <c r="F7" s="19" t="n">
        <v>0</v>
      </c>
      <c r="G7" s="19" t="n">
        <v>35</v>
      </c>
      <c r="H7" s="19" t="n">
        <v>36.4</v>
      </c>
      <c r="I7" s="19" t="n">
        <v>36.4</v>
      </c>
      <c r="J7" s="19" t="n">
        <v>38.8</v>
      </c>
      <c r="K7" s="29" t="n">
        <v>29.67</v>
      </c>
      <c r="L7" s="29" t="n">
        <v>11.57</v>
      </c>
      <c r="M7" s="29" t="n">
        <v>18.1</v>
      </c>
      <c r="N7" s="30" t="n">
        <v>0.61</v>
      </c>
    </row>
    <row r="8">
      <c r="A8" s="4" t="inlineStr">
        <is>
          <t>DV khác</t>
        </is>
      </c>
      <c r="B8" s="19" t="n">
        <v>63.3</v>
      </c>
      <c r="C8" s="19" t="n">
        <v>68.8</v>
      </c>
      <c r="D8" s="19" t="n">
        <v>71.59999999999999</v>
      </c>
      <c r="E8" s="19" t="n">
        <v>71.59999999999999</v>
      </c>
      <c r="F8" s="19" t="n">
        <v>62.9</v>
      </c>
      <c r="G8" s="19" t="n">
        <v>76.2</v>
      </c>
      <c r="H8" s="19" t="n">
        <v>79.3</v>
      </c>
      <c r="I8" s="19" t="n">
        <v>79.3</v>
      </c>
      <c r="J8" s="19" t="n">
        <v>57.2</v>
      </c>
      <c r="K8" s="29" t="n">
        <v>70.02</v>
      </c>
      <c r="L8" s="29" t="n">
        <v>56.29</v>
      </c>
      <c r="M8" s="29" t="n">
        <v>13.73</v>
      </c>
      <c r="N8" s="30" t="n">
        <v>0.1961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2026-07-07T17:27:20Z</dcterms:created>
  <dcterms:modified xmlns:dcterms="http://purl.org/dc/terms/" xmlns:xsi="http://www.w3.org/2001/XMLSchema-instance" xsi:type="dcterms:W3CDTF">2026-07-07T17:27:20Z</dcterms:modified>
</cp:coreProperties>
</file>