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Cover" sheetId="1" state="visible" r:id="rId1"/>
    <sheet xmlns:r="http://schemas.openxmlformats.org/officeDocument/2006/relationships" name="02_Assumptions" sheetId="2" state="visible" r:id="rId2"/>
    <sheet xmlns:r="http://schemas.openxmlformats.org/officeDocument/2006/relationships" name="03_PnL" sheetId="3" state="visible" r:id="rId3"/>
    <sheet xmlns:r="http://schemas.openxmlformats.org/officeDocument/2006/relationships" name="04_Segments_DT" sheetId="4" state="visible" r:id="rId4"/>
    <sheet xmlns:r="http://schemas.openxmlformats.org/officeDocument/2006/relationships" name="05_Segments_GM" sheetId="5" state="visible" r:id="rId5"/>
    <sheet xmlns:r="http://schemas.openxmlformats.org/officeDocument/2006/relationships" name="06_BalanceSheet" sheetId="6" state="visible" r:id="rId6"/>
    <sheet xmlns:r="http://schemas.openxmlformats.org/officeDocument/2006/relationships" name="07_Valuation" sheetId="7" state="visible" r:id="rId7"/>
    <sheet xmlns:r="http://schemas.openxmlformats.org/officeDocument/2006/relationships" name="08_Quarterly_Segments" sheetId="8" state="visible" r:id="rId8"/>
  </sheets>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Calibri"/>
      <b val="1"/>
      <color rgb="001F4E78"/>
      <sz val="16"/>
    </font>
    <font>
      <name val="Calibri"/>
      <i val="1"/>
      <color rgb="004A5568"/>
      <sz val="11"/>
    </font>
    <font>
      <name val="Calibri"/>
      <i val="1"/>
      <color rgb="00666666"/>
      <sz val="9"/>
    </font>
    <font>
      <name val="Calibri"/>
      <sz val="10"/>
    </font>
    <font>
      <name val="Calibri"/>
      <b val="1"/>
      <sz val="11"/>
    </font>
    <font>
      <name val="Calibri"/>
      <b val="1"/>
      <color rgb="00FFFFFF"/>
      <sz val="11"/>
    </font>
    <font>
      <name val="Calibri"/>
      <b val="1"/>
      <color rgb="00FFFFFF"/>
      <sz val="10"/>
    </font>
  </fonts>
  <fills count="6">
    <fill>
      <patternFill/>
    </fill>
    <fill>
      <patternFill patternType="gray125"/>
    </fill>
    <fill>
      <patternFill patternType="solid">
        <fgColor rgb="00DDEBF7"/>
        <bgColor rgb="00DDEBF7"/>
      </patternFill>
    </fill>
    <fill>
      <patternFill patternType="solid">
        <fgColor rgb="001F4E78"/>
        <bgColor rgb="001F4E78"/>
      </patternFill>
    </fill>
    <fill>
      <patternFill patternType="solid">
        <fgColor rgb="00FFF2CC"/>
        <bgColor rgb="00FFF2CC"/>
      </patternFill>
    </fill>
    <fill>
      <patternFill patternType="solid">
        <fgColor rgb="00E2EFDA"/>
        <bgColor rgb="00E2EFDA"/>
      </patternFill>
    </fill>
  </fills>
  <borders count="1">
    <border>
      <left/>
      <right/>
      <top/>
      <bottom/>
      <diagonal/>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3" fontId="4" fillId="0" borderId="0" pivotButton="0" quotePrefix="0" xfId="0"/>
    <xf numFmtId="164" fontId="4" fillId="0" borderId="0" pivotButton="0" quotePrefix="0" xfId="0"/>
    <xf numFmtId="165" fontId="4" fillId="0" borderId="0" pivotButton="0" quotePrefix="0" xfId="0"/>
    <xf numFmtId="10" fontId="4" fillId="0" borderId="0" pivotButton="0" quotePrefix="0" xfId="0"/>
    <xf numFmtId="0" fontId="5" fillId="0" borderId="0" pivotButton="0" quotePrefix="0" xfId="0"/>
    <xf numFmtId="3" fontId="5" fillId="2" borderId="0" pivotButton="0" quotePrefix="0" xfId="0"/>
    <xf numFmtId="0" fontId="0" fillId="0" borderId="0" applyAlignment="1" pivotButton="0" quotePrefix="0" xfId="0">
      <alignment wrapText="1"/>
    </xf>
    <xf numFmtId="0" fontId="6" fillId="3" borderId="0" applyAlignment="1" pivotButton="0" quotePrefix="0" xfId="0">
      <alignment horizontal="center" vertical="center" wrapText="1"/>
    </xf>
    <xf numFmtId="10" fontId="4" fillId="4" borderId="0" pivotButton="0" quotePrefix="0" xfId="0"/>
    <xf numFmtId="2" fontId="4" fillId="4" borderId="0" pivotButton="0" quotePrefix="0" xfId="0"/>
    <xf numFmtId="3" fontId="4" fillId="4" borderId="0" pivotButton="0" quotePrefix="0" xfId="0"/>
    <xf numFmtId="3" fontId="5" fillId="0" borderId="0" pivotButton="0" quotePrefix="0" xfId="0"/>
    <xf numFmtId="3" fontId="5" fillId="4" borderId="0" pivotButton="0" quotePrefix="0" xfId="0"/>
    <xf numFmtId="10" fontId="0" fillId="0" borderId="0" pivotButton="0" quotePrefix="0" xfId="0"/>
    <xf numFmtId="3" fontId="0" fillId="0" borderId="0" pivotButton="0" quotePrefix="0" xfId="0"/>
    <xf numFmtId="3" fontId="0" fillId="4" borderId="0" pivotButton="0" quotePrefix="0" xfId="0"/>
    <xf numFmtId="0" fontId="5" fillId="5" borderId="0" pivotButton="0" quotePrefix="0" xfId="0"/>
    <xf numFmtId="3" fontId="5" fillId="5" borderId="0" pivotButton="0" quotePrefix="0" xfId="0"/>
    <xf numFmtId="0" fontId="0" fillId="4" borderId="0" pivotButton="0" quotePrefix="0" xfId="0"/>
    <xf numFmtId="10" fontId="0" fillId="4" borderId="0" pivotButton="0" quotePrefix="0" xfId="0"/>
    <xf numFmtId="0" fontId="5" fillId="2" borderId="0" pivotButton="0" quotePrefix="0" xfId="0"/>
    <xf numFmtId="0" fontId="7" fillId="3" borderId="0" pivotButton="0" quotePrefix="0" xfId="0"/>
    <xf numFmtId="0" fontId="5" fillId="3" borderId="0" pivotButton="0" quotePrefix="0" xfId="0"/>
    <xf numFmtId="2" fontId="4" fillId="0" borderId="0" pivotButton="0" quotePrefix="0" xfId="0"/>
    <xf numFmtId="2" fontId="5" fillId="2" borderId="0" pivotButton="0" quotePrefix="0" xfId="0"/>
    <xf numFmtId="3" fontId="0" fillId="5" borderId="0" pivotButton="0" quotePrefix="0" xfId="0"/>
    <xf numFmtId="1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35" customWidth="1" min="2" max="2"/>
    <col width="18" customWidth="1" min="3" max="3"/>
    <col width="5" customWidth="1" min="4" max="4"/>
  </cols>
  <sheetData>
    <row r="2">
      <c r="B2" s="1" t="inlineStr">
        <is>
          <t>MÔ HÌNH PHÂN TÍCH TÀI CHÍNH &amp; ĐỊNH GIÁ — SZC</t>
        </is>
      </c>
    </row>
    <row r="3">
      <c r="B3" s="2" t="inlineStr">
        <is>
          <t>Công ty Cổ phần Sonadezi Châu Đức</t>
        </is>
      </c>
    </row>
    <row r="4">
      <c r="B4" s="3" t="inlineStr">
        <is>
          <t>Ngày lập: 08/07/2026 22:36</t>
        </is>
      </c>
    </row>
    <row r="6">
      <c r="B6" s="4" t="inlineStr">
        <is>
          <t>Giá thị trường (VND)</t>
        </is>
      </c>
      <c r="C6" s="5" t="n">
        <v>21200</v>
      </c>
    </row>
    <row r="7">
      <c r="B7" s="4" t="inlineStr">
        <is>
          <t>Giá lịch sử cuối (VND)</t>
        </is>
      </c>
      <c r="C7" s="5" t="n">
        <v>21450</v>
      </c>
    </row>
    <row r="8">
      <c r="B8" s="4" t="inlineStr">
        <is>
          <t>Số CP lưu hành</t>
        </is>
      </c>
      <c r="C8" s="5" t="n">
        <v>100000000</v>
      </c>
    </row>
    <row r="9">
      <c r="B9" s="4" t="inlineStr">
        <is>
          <t>Vốn hóa (tỷ VND)</t>
        </is>
      </c>
      <c r="C9" s="6">
        <f>B6*B7/1e9</f>
        <v/>
      </c>
    </row>
    <row r="10">
      <c r="B10" s="4" t="inlineStr">
        <is>
          <t>Beta (CAPM)</t>
        </is>
      </c>
      <c r="C10" s="7" t="n">
        <v>1.0268</v>
      </c>
    </row>
    <row r="11">
      <c r="B11" s="4" t="inlineStr">
        <is>
          <t>Rf (%/năm)</t>
        </is>
      </c>
      <c r="C11" s="8" t="n">
        <v>0.045</v>
      </c>
    </row>
    <row r="12">
      <c r="B12" s="4" t="inlineStr">
        <is>
          <t>COE (%/năm)</t>
        </is>
      </c>
      <c r="C12" s="8" t="n">
        <v>0.101474</v>
      </c>
    </row>
    <row r="13">
      <c r="B13" s="4" t="inlineStr">
        <is>
          <t>Nguồn Beta</t>
        </is>
      </c>
      <c r="C13" s="4" t="inlineStr">
        <is>
          <t>Tự tính toán (1624 phiên)</t>
        </is>
      </c>
    </row>
    <row r="15">
      <c r="B15" s="9" t="inlineStr">
        <is>
          <t>─── ĐỊNH GIÁ TỔNG HỢP ───</t>
        </is>
      </c>
    </row>
    <row r="16">
      <c r="B16" s="4" t="inlineStr">
        <is>
          <t>Giá hợp lý P/E (40%)</t>
        </is>
      </c>
      <c r="C16" s="5" t="n">
        <v>23922</v>
      </c>
    </row>
    <row r="17">
      <c r="B17" s="4" t="inlineStr">
        <is>
          <t>Giá hợp lý P/B (40%)</t>
        </is>
      </c>
      <c r="C17" s="5" t="n">
        <v>39765</v>
      </c>
    </row>
    <row r="18">
      <c r="B18" s="4" t="inlineStr">
        <is>
          <t>Giá hợp lý RI (20%)</t>
        </is>
      </c>
      <c r="C18" s="5" t="n">
        <v>16958</v>
      </c>
    </row>
    <row r="19">
      <c r="B19" s="4" t="inlineStr">
        <is>
          <t>Giá mục tiêu blend</t>
        </is>
      </c>
      <c r="C19" s="10" t="n">
        <v>28867</v>
      </c>
    </row>
    <row r="20">
      <c r="B20" s="4" t="inlineStr">
        <is>
          <t>Upside/Downside</t>
        </is>
      </c>
      <c r="C20" s="8" t="n">
        <v>0.3616</v>
      </c>
    </row>
    <row r="22">
      <c r="B22" s="9" t="inlineStr">
        <is>
          <t>Nhận định AI:</t>
        </is>
      </c>
    </row>
    <row r="23" ht="60" customHeight="1">
      <c r="B23" s="11" t="inlineStr">
        <is>
          <t>Công ty Cổ phần Sonadezi Châu Đức (SZC) là doanh nghiệp bất động sản khu công nghiệp với mô hình đa mảng (cho thuê đất, tiện ích, điện, BOT…). Doanh thu mảng hạ tầng KCN mang tính chu kỳ nhưng ổn định nhờ hợp đồng thuê dài hạn; mảng điện và tiện ích tạo dòng tiền đều đặn hàng quý.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32" customWidth="1" min="1" max="1"/>
    <col width="14" customWidth="1" min="2" max="2"/>
    <col width="35" customWidth="1" min="3" max="3"/>
  </cols>
  <sheetData>
    <row r="1">
      <c r="A1" s="12" t="inlineStr">
        <is>
          <t>Tham số giả định</t>
        </is>
      </c>
      <c r="B1" s="12" t="inlineStr">
        <is>
          <t>Giá trị</t>
        </is>
      </c>
      <c r="C1" s="12" t="inlineStr">
        <is>
          <t>Ghi chú</t>
        </is>
      </c>
    </row>
    <row r="2">
      <c r="A2" s="4" t="inlineStr">
        <is>
          <t>Rf (lãi TPCP 10Y, %/năm)</t>
        </is>
      </c>
      <c r="B2" s="13" t="n">
        <v>0.045</v>
      </c>
      <c r="C2" s="3" t="inlineStr">
        <is>
          <t>Tự động fetch từ investing.com/WGB</t>
        </is>
      </c>
    </row>
    <row r="3">
      <c r="A3" s="4" t="inlineStr">
        <is>
          <t>Beta (CAPM)</t>
        </is>
      </c>
      <c r="B3" s="14" t="n">
        <v>1.0268</v>
      </c>
      <c r="C3" s="3" t="inlineStr">
        <is>
          <t>Tự tính toán (1624 phiên)</t>
        </is>
      </c>
    </row>
    <row r="4">
      <c r="A4" s="4" t="inlineStr">
        <is>
          <t>ERP (phần bù rủi ro thị trường)</t>
        </is>
      </c>
      <c r="B4" s="13" t="n">
        <v>0.055</v>
      </c>
      <c r="C4" s="3" t="inlineStr">
        <is>
          <t>Cố định 5.5% cho TTCK VN</t>
        </is>
      </c>
    </row>
    <row r="5">
      <c r="A5" s="4" t="inlineStr">
        <is>
          <t>COE = Rf + β × ERP</t>
        </is>
      </c>
      <c r="B5" s="13" t="n">
        <v>0.101474</v>
      </c>
      <c r="C5" s="3" t="inlineStr">
        <is>
          <t>Cost of Equity (không phần bù đặc thù)</t>
        </is>
      </c>
    </row>
    <row r="6">
      <c r="A6" s="4" t="inlineStr">
        <is>
          <t>EPS lịch sử gần nhất (VND)</t>
        </is>
      </c>
      <c r="B6" s="14" t="n">
        <v>1764</v>
      </c>
      <c r="C6" s="3" t="inlineStr">
        <is>
          <t>Từ isa23 Vietcap</t>
        </is>
      </c>
    </row>
    <row r="7">
      <c r="A7" s="4" t="inlineStr">
        <is>
          <t>BVPS mẹ lịch sử gần nhất (VND)</t>
        </is>
      </c>
      <c r="B7" s="14" t="n">
        <v>32028.88522535</v>
      </c>
      <c r="C7" s="3" t="inlineStr">
        <is>
          <t>(bsa78 − bsa210) / shares</t>
        </is>
      </c>
    </row>
    <row r="8">
      <c r="A8" s="4" t="inlineStr">
        <is>
          <t>Payout ratio trung bình</t>
        </is>
      </c>
      <c r="B8" s="13" t="n">
        <v>0.3714133145234884</v>
      </c>
      <c r="C8" s="3" t="inlineStr">
        <is>
          <t>Trung bình lịch sử cfa32/isa22</t>
        </is>
      </c>
    </row>
    <row r="9">
      <c r="A9" s="4" t="inlineStr">
        <is>
          <t>CAGR EPS dự phóng</t>
        </is>
      </c>
      <c r="B9" s="13" t="n">
        <v>0.04317647112435608</v>
      </c>
      <c r="C9" s="3" t="inlineStr">
        <is>
          <t>CAGR 3 năm lịch sử, kẹp [-10%, +20%]</t>
        </is>
      </c>
    </row>
    <row r="10">
      <c r="A10" s="4" t="inlineStr">
        <is>
          <t>ROE ước tính</t>
        </is>
      </c>
      <c r="B10" s="13" t="n">
        <v>0.05507528556141696</v>
      </c>
      <c r="C10" s="3" t="inlineStr">
        <is>
          <t>EPS_last / BVPS_last</t>
        </is>
      </c>
    </row>
    <row r="11">
      <c r="A11" s="4" t="inlineStr">
        <is>
          <t>P/E mục tiêu</t>
        </is>
      </c>
      <c r="B11" s="14" t="n">
        <v>13</v>
      </c>
      <c r="C11" s="3" t="inlineStr">
        <is>
          <t>Median P/E lịch sử, kẹp [8, 25]</t>
        </is>
      </c>
    </row>
    <row r="12">
      <c r="A12" s="4" t="inlineStr">
        <is>
          <t>P/B mục tiêu</t>
        </is>
      </c>
      <c r="B12" s="14" t="n">
        <v>1.2</v>
      </c>
      <c r="C12" s="3" t="inlineStr">
        <is>
          <t>Median P/B lịch sử, kẹp [0.6, 4]</t>
        </is>
      </c>
    </row>
    <row r="13">
      <c r="A13" s="4" t="inlineStr">
        <is>
          <t>Số năm RI dự phóng (n)</t>
        </is>
      </c>
      <c r="B13" s="15" t="n">
        <v>3</v>
      </c>
      <c r="C13" s="3" t="inlineStr">
        <is>
          <t>PV RI 3 năm + terminal value</t>
        </is>
      </c>
    </row>
    <row r="14">
      <c r="A14" s="4" t="inlineStr">
        <is>
          <t>g terminal RI</t>
        </is>
      </c>
      <c r="B14" s="13" t="n">
        <v>0.02158823556217804</v>
      </c>
      <c r="C14" s="3">
        <f> min(CAGR_EPS × 0.5, 4%)</f>
        <v/>
      </c>
    </row>
    <row r="15">
      <c r="A15" s="4" t="inlineStr">
        <is>
          <t>Số CP lưu hành</t>
        </is>
      </c>
      <c r="B15" s="15" t="n">
        <v>100000000</v>
      </c>
      <c r="C15" s="3" t="inlineStr"/>
    </row>
    <row r="16">
      <c r="A16" s="4" t="inlineStr">
        <is>
          <t>Giá thị trường (VND)</t>
        </is>
      </c>
      <c r="B16" s="14" t="n">
        <v>21200</v>
      </c>
      <c r="C16" s="3" t="inlineStr">
        <is>
          <t>Giá cuối phiên gần nhất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2" t="inlineStr">
        <is>
          <t>Chỉ tiêu P&amp;L (tỷ VND)</t>
        </is>
      </c>
      <c r="B1" s="12" t="inlineStr">
        <is>
          <t>2021A</t>
        </is>
      </c>
      <c r="C1" s="12" t="inlineStr">
        <is>
          <t>2022A</t>
        </is>
      </c>
      <c r="D1" s="12" t="inlineStr">
        <is>
          <t>2023A</t>
        </is>
      </c>
      <c r="E1" s="12" t="inlineStr">
        <is>
          <t>2024A</t>
        </is>
      </c>
      <c r="F1" s="12" t="inlineStr">
        <is>
          <t>2025A</t>
        </is>
      </c>
      <c r="G1" s="12" t="inlineStr">
        <is>
          <t>2026E</t>
        </is>
      </c>
      <c r="H1" s="12" t="inlineStr">
        <is>
          <t>2027E</t>
        </is>
      </c>
      <c r="I1" s="12" t="inlineStr">
        <is>
          <t>2028E</t>
        </is>
      </c>
    </row>
    <row r="2">
      <c r="A2" s="9" t="inlineStr">
        <is>
          <t>Doanh thu thuần</t>
        </is>
      </c>
      <c r="B2" s="16" t="n">
        <v>713.22</v>
      </c>
      <c r="C2" s="16" t="n">
        <v>858.89</v>
      </c>
      <c r="D2" s="16" t="n">
        <v>817.95</v>
      </c>
      <c r="E2" s="16" t="n">
        <v>870.6799999999999</v>
      </c>
      <c r="F2" s="16" t="n">
        <v>1097.95</v>
      </c>
      <c r="G2" s="17" t="n">
        <v>40.11</v>
      </c>
      <c r="H2" s="17" t="n">
        <v>42.12</v>
      </c>
      <c r="I2" s="17" t="n">
        <v>44.22</v>
      </c>
    </row>
    <row r="3">
      <c r="A3" s="4" t="inlineStr">
        <is>
          <t>Giá vốn hàng bán</t>
        </is>
      </c>
      <c r="B3" s="5" t="n">
        <v>-262.2</v>
      </c>
      <c r="C3" s="5" t="n">
        <v>-549.25</v>
      </c>
      <c r="D3" s="5" t="n">
        <v>-467.62</v>
      </c>
      <c r="E3" s="5" t="n">
        <v>-439.85</v>
      </c>
      <c r="F3" s="5" t="n">
        <v>-537.45</v>
      </c>
      <c r="G3" s="15" t="n">
        <v>-19.95</v>
      </c>
      <c r="H3" s="15" t="n">
        <v>-20.95</v>
      </c>
      <c r="I3" s="15" t="n">
        <v>-21.99</v>
      </c>
    </row>
    <row r="4">
      <c r="A4" s="9" t="inlineStr">
        <is>
          <t>Lợi nhuận gộp</t>
        </is>
      </c>
      <c r="B4" s="16" t="n">
        <v>975.4299999999999</v>
      </c>
      <c r="C4" s="16" t="n">
        <v>1408.14</v>
      </c>
      <c r="D4" s="16" t="n">
        <v>1285.57</v>
      </c>
      <c r="E4" s="16" t="n">
        <v>1310.54</v>
      </c>
      <c r="F4" s="16" t="n">
        <v>1635.4</v>
      </c>
      <c r="G4" s="17" t="n">
        <v>60.06</v>
      </c>
      <c r="H4" s="17" t="n">
        <v>63.07</v>
      </c>
      <c r="I4" s="17" t="n">
        <v>66.20999999999999</v>
      </c>
    </row>
    <row r="5">
      <c r="A5" s="4" t="inlineStr">
        <is>
          <t>Lợi nhuận trước thuế</t>
        </is>
      </c>
      <c r="B5" s="5" t="n">
        <v>396.69</v>
      </c>
      <c r="C5" s="5" t="n">
        <v>244.18</v>
      </c>
      <c r="D5" s="5" t="n">
        <v>266.88</v>
      </c>
      <c r="E5" s="5" t="n">
        <v>374.6</v>
      </c>
      <c r="F5" s="5" t="n">
        <v>443.28</v>
      </c>
      <c r="G5" s="15" t="n">
        <v>0</v>
      </c>
      <c r="H5" s="15" t="n">
        <v>0</v>
      </c>
      <c r="I5" s="15" t="n">
        <v>0</v>
      </c>
    </row>
    <row r="6">
      <c r="A6" s="4" t="inlineStr">
        <is>
          <t>LNST (hợp nhất)</t>
        </is>
      </c>
      <c r="B6" s="5" t="n">
        <v>323.63</v>
      </c>
      <c r="C6" s="5" t="n">
        <v>197.37</v>
      </c>
      <c r="D6" s="5" t="n">
        <v>218.87</v>
      </c>
      <c r="E6" s="5" t="n">
        <v>298.6</v>
      </c>
      <c r="F6" s="5" t="n">
        <v>344.8</v>
      </c>
      <c r="G6" s="15" t="n">
        <v>13.18</v>
      </c>
      <c r="H6" s="15" t="n">
        <v>13.84</v>
      </c>
      <c r="I6" s="15" t="n">
        <v>14.53</v>
      </c>
    </row>
    <row r="7">
      <c r="A7" s="9" t="inlineStr">
        <is>
          <t>LNST cổ đông mẹ</t>
        </is>
      </c>
      <c r="B7" s="16" t="n">
        <v>323.63</v>
      </c>
      <c r="C7" s="16" t="n">
        <v>197.37</v>
      </c>
      <c r="D7" s="16" t="n">
        <v>218.87</v>
      </c>
      <c r="E7" s="16" t="n">
        <v>298.6</v>
      </c>
      <c r="F7" s="16" t="n">
        <v>344.8</v>
      </c>
      <c r="G7" s="17" t="n">
        <v>0</v>
      </c>
      <c r="H7" s="17" t="n">
        <v>0</v>
      </c>
      <c r="I7" s="17" t="n">
        <v>0</v>
      </c>
    </row>
    <row r="8">
      <c r="A8" s="3" t="inlineStr">
        <is>
          <t>Biên lợi nhuận gộp (%)</t>
        </is>
      </c>
      <c r="B8" s="18" t="n">
        <v>1.3676</v>
      </c>
      <c r="C8" s="18" t="n">
        <v>1.6395</v>
      </c>
      <c r="D8" s="18" t="n">
        <v>1.5717</v>
      </c>
      <c r="E8" s="18" t="n">
        <v>1.5052</v>
      </c>
      <c r="F8" s="18" t="n">
        <v>1.4895</v>
      </c>
      <c r="G8" s="18">
        <f>G4/G2</f>
        <v/>
      </c>
      <c r="H8" s="18">
        <f>H4/H2</f>
        <v/>
      </c>
      <c r="I8" s="18">
        <f>I4/I2</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s>
  <sheetData>
    <row r="1">
      <c r="A1" s="12" t="inlineStr">
        <is>
          <t>Mảng kinh doanh</t>
        </is>
      </c>
      <c r="B1" s="12" t="inlineStr">
        <is>
          <t>2022(CN)A</t>
        </is>
      </c>
      <c r="C1" s="12" t="inlineStr">
        <is>
          <t>2023(CN)A</t>
        </is>
      </c>
      <c r="D1" s="12" t="inlineStr">
        <is>
          <t>2026E</t>
        </is>
      </c>
      <c r="E1" s="12" t="inlineStr">
        <is>
          <t>2027E</t>
        </is>
      </c>
      <c r="F1" s="12" t="inlineStr">
        <is>
          <t>2028E</t>
        </is>
      </c>
    </row>
    <row r="2">
      <c r="A2" s="4" t="inlineStr">
        <is>
          <t>Cho thuê đất &amp; phí quản lý KCN</t>
        </is>
      </c>
      <c r="B2" s="19" t="n">
        <v>0</v>
      </c>
      <c r="C2" s="19" t="n">
        <v>0</v>
      </c>
      <c r="D2" s="20" t="n">
        <v>0</v>
      </c>
      <c r="E2" s="20" t="n">
        <v>0</v>
      </c>
      <c r="F2" s="20" t="n">
        <v>0</v>
      </c>
    </row>
    <row r="3">
      <c r="A3" s="4" t="inlineStr">
        <is>
          <t>Kinh doanh thu phí đường bộ (BOT)</t>
        </is>
      </c>
      <c r="B3" s="19" t="n">
        <v>7</v>
      </c>
      <c r="C3" s="19" t="n">
        <v>38.2</v>
      </c>
      <c r="D3" s="20" t="n">
        <v>40.11</v>
      </c>
      <c r="E3" s="20" t="n">
        <v>42.12</v>
      </c>
      <c r="F3" s="20" t="n">
        <v>44.22</v>
      </c>
    </row>
    <row r="4">
      <c r="A4" s="4" t="inlineStr">
        <is>
          <t>Hoạt động thể thao Golf &amp; nhà hàng</t>
        </is>
      </c>
      <c r="B4" s="19" t="n">
        <v>0</v>
      </c>
      <c r="C4" s="19" t="n">
        <v>0</v>
      </c>
      <c r="D4" s="20" t="n">
        <v>0</v>
      </c>
      <c r="E4" s="20" t="n">
        <v>0</v>
      </c>
      <c r="F4" s="20" t="n">
        <v>0</v>
      </c>
    </row>
    <row r="5">
      <c r="A5" s="4" t="inlineStr">
        <is>
          <t>Cung cấp nước</t>
        </is>
      </c>
      <c r="B5" s="19" t="n">
        <v>0</v>
      </c>
      <c r="C5" s="19" t="n">
        <v>0</v>
      </c>
      <c r="D5" s="20" t="n">
        <v>0</v>
      </c>
      <c r="E5" s="20" t="n">
        <v>0</v>
      </c>
      <c r="F5" s="20" t="n">
        <v>0</v>
      </c>
    </row>
    <row r="6">
      <c r="A6" s="4" t="inlineStr">
        <is>
          <t>Bán nhà liên kế KDC Hữu Phước</t>
        </is>
      </c>
      <c r="B6" s="19" t="n">
        <v>0</v>
      </c>
      <c r="C6" s="19" t="n">
        <v>0</v>
      </c>
      <c r="D6" s="20" t="n">
        <v>0</v>
      </c>
      <c r="E6" s="20" t="n">
        <v>0</v>
      </c>
      <c r="F6" s="20" t="n">
        <v>0</v>
      </c>
    </row>
    <row r="7">
      <c r="A7" s="4" t="inlineStr">
        <is>
          <t>Xử lý nước thải KCN</t>
        </is>
      </c>
      <c r="B7" s="19" t="n">
        <v>0</v>
      </c>
      <c r="C7" s="19" t="n">
        <v>0</v>
      </c>
      <c r="D7" s="20" t="n">
        <v>0</v>
      </c>
      <c r="E7" s="20" t="n">
        <v>0</v>
      </c>
      <c r="F7" s="20" t="n">
        <v>0</v>
      </c>
    </row>
    <row r="8">
      <c r="A8" s="4" t="inlineStr">
        <is>
          <t>Cho thuê xưởng &amp; phí quản lý</t>
        </is>
      </c>
      <c r="B8" s="19" t="n">
        <v>0</v>
      </c>
      <c r="C8" s="19" t="n">
        <v>0</v>
      </c>
      <c r="D8" s="20" t="n">
        <v>0</v>
      </c>
      <c r="E8" s="20" t="n">
        <v>0</v>
      </c>
      <c r="F8" s="20" t="n">
        <v>0</v>
      </c>
    </row>
    <row r="9">
      <c r="A9" s="4" t="inlineStr">
        <is>
          <t>Sản phẩm &amp; dịch vụ khác</t>
        </is>
      </c>
      <c r="B9" s="19" t="n">
        <v>0</v>
      </c>
      <c r="C9" s="19" t="n">
        <v>0</v>
      </c>
      <c r="D9" s="20" t="n">
        <v>0</v>
      </c>
      <c r="E9" s="20" t="n">
        <v>0</v>
      </c>
      <c r="F9" s="20" t="n">
        <v>0</v>
      </c>
    </row>
    <row r="10">
      <c r="A10" s="21" t="inlineStr">
        <is>
          <t>TỔNG DOANH THU</t>
        </is>
      </c>
      <c r="B10" s="22">
        <f>SUM(B2:B9)</f>
        <v/>
      </c>
      <c r="C10" s="22">
        <f>SUM(C2:C9)</f>
        <v/>
      </c>
      <c r="D10" s="22">
        <f>SUM(D2:D9)</f>
        <v/>
      </c>
      <c r="E10" s="22">
        <f>SUM(E2:E9)</f>
        <v/>
      </c>
      <c r="F10" s="22">
        <f>SUM(F2:F9)</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s>
  <sheetData>
    <row r="1">
      <c r="A1" s="12" t="inlineStr">
        <is>
          <t>Mảng kinh doanh (Biên LNG %)</t>
        </is>
      </c>
      <c r="B1" s="12" t="inlineStr">
        <is>
          <t>2022(CN)A</t>
        </is>
      </c>
      <c r="C1" s="12" t="inlineStr">
        <is>
          <t>2023(CN)A</t>
        </is>
      </c>
      <c r="D1" s="12" t="inlineStr">
        <is>
          <t>2026E</t>
        </is>
      </c>
      <c r="E1" s="12" t="inlineStr">
        <is>
          <t>2027E</t>
        </is>
      </c>
      <c r="F1" s="12" t="inlineStr">
        <is>
          <t>2028E</t>
        </is>
      </c>
    </row>
    <row r="2">
      <c r="A2" s="4" t="inlineStr">
        <is>
          <t>Cho thuê đất &amp; phí quản lý KCN</t>
        </is>
      </c>
      <c r="B2" t="inlineStr"/>
      <c r="C2" t="inlineStr"/>
      <c r="D2" s="23" t="inlineStr"/>
      <c r="E2" s="23" t="inlineStr"/>
      <c r="F2" s="23" t="inlineStr"/>
    </row>
    <row r="3">
      <c r="A3" s="4" t="inlineStr">
        <is>
          <t>Kinh doanh thu phí đường bộ (BOT)</t>
        </is>
      </c>
      <c r="B3" s="18" t="n">
        <v>1</v>
      </c>
      <c r="C3" s="18" t="n">
        <v>1</v>
      </c>
      <c r="D3" s="24" t="n">
        <v>1</v>
      </c>
      <c r="E3" s="24" t="n">
        <v>1</v>
      </c>
      <c r="F3" s="24" t="n">
        <v>1</v>
      </c>
    </row>
    <row r="4">
      <c r="A4" s="4" t="inlineStr">
        <is>
          <t>Hoạt động thể thao Golf &amp; nhà hàng</t>
        </is>
      </c>
      <c r="B4" t="inlineStr"/>
      <c r="C4" t="inlineStr"/>
      <c r="D4" s="23" t="inlineStr"/>
      <c r="E4" s="23" t="inlineStr"/>
      <c r="F4" s="23" t="inlineStr"/>
    </row>
    <row r="5">
      <c r="A5" s="4" t="inlineStr">
        <is>
          <t>Cung cấp nước</t>
        </is>
      </c>
      <c r="B5" t="inlineStr"/>
      <c r="C5" t="inlineStr"/>
      <c r="D5" s="23" t="inlineStr"/>
      <c r="E5" s="23" t="inlineStr"/>
      <c r="F5" s="23" t="inlineStr"/>
    </row>
    <row r="6">
      <c r="A6" s="4" t="inlineStr">
        <is>
          <t>Bán nhà liên kế KDC Hữu Phước</t>
        </is>
      </c>
      <c r="B6" t="inlineStr"/>
      <c r="C6" t="inlineStr"/>
      <c r="D6" s="23" t="inlineStr"/>
      <c r="E6" s="23" t="inlineStr"/>
      <c r="F6" s="23" t="inlineStr"/>
    </row>
    <row r="7">
      <c r="A7" s="4" t="inlineStr">
        <is>
          <t>Xử lý nước thải KCN</t>
        </is>
      </c>
      <c r="B7" t="inlineStr"/>
      <c r="C7" t="inlineStr"/>
      <c r="D7" s="23" t="inlineStr"/>
      <c r="E7" s="23" t="inlineStr"/>
      <c r="F7" s="23" t="inlineStr"/>
    </row>
    <row r="8">
      <c r="A8" s="4" t="inlineStr">
        <is>
          <t>Cho thuê xưởng &amp; phí quản lý</t>
        </is>
      </c>
      <c r="B8" t="inlineStr"/>
      <c r="C8" t="inlineStr"/>
      <c r="D8" s="23" t="inlineStr"/>
      <c r="E8" s="23" t="inlineStr"/>
      <c r="F8" s="23" t="inlineStr"/>
    </row>
    <row r="9">
      <c r="A9" s="4" t="inlineStr">
        <is>
          <t>Sản phẩm &amp; dịch vụ khác</t>
        </is>
      </c>
      <c r="B9" t="inlineStr"/>
      <c r="C9" t="inlineStr"/>
      <c r="D9" s="23" t="inlineStr"/>
      <c r="E9" s="23" t="inlineStr"/>
      <c r="F9" s="2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s>
  <sheetData>
    <row r="1">
      <c r="A1" s="12" t="inlineStr">
        <is>
          <t>Chỉ tiêu BS (tỷ VND)</t>
        </is>
      </c>
      <c r="B1" s="12" t="inlineStr">
        <is>
          <t>2021A</t>
        </is>
      </c>
      <c r="C1" s="12" t="inlineStr">
        <is>
          <t>2022A</t>
        </is>
      </c>
      <c r="D1" s="12" t="inlineStr">
        <is>
          <t>2023A</t>
        </is>
      </c>
      <c r="E1" s="12" t="inlineStr">
        <is>
          <t>2024A</t>
        </is>
      </c>
      <c r="F1" s="12" t="inlineStr">
        <is>
          <t>2025A</t>
        </is>
      </c>
    </row>
    <row r="2">
      <c r="A2" s="4" t="inlineStr">
        <is>
          <t>Tiền &amp; tương đương</t>
        </is>
      </c>
      <c r="B2" s="19" t="n">
        <v>199.38</v>
      </c>
      <c r="C2" s="19" t="n">
        <v>265.63</v>
      </c>
      <c r="D2" s="19" t="n">
        <v>222.42</v>
      </c>
      <c r="E2" s="19" t="n">
        <v>705.29</v>
      </c>
      <c r="F2" s="19" t="n">
        <v>417.19</v>
      </c>
    </row>
    <row r="3">
      <c r="A3" s="4" t="inlineStr">
        <is>
          <t>Tổng tài sản</t>
        </is>
      </c>
      <c r="B3" s="19" t="n">
        <v>5616.38</v>
      </c>
      <c r="C3" s="19" t="n">
        <v>6335</v>
      </c>
      <c r="D3" s="19" t="n">
        <v>6961.13</v>
      </c>
      <c r="E3" s="19" t="n">
        <v>8225.799999999999</v>
      </c>
      <c r="F3" s="19" t="n">
        <v>8171.47</v>
      </c>
    </row>
    <row r="4">
      <c r="A4" s="4" t="inlineStr">
        <is>
          <t>Vay ngắn hạn</t>
        </is>
      </c>
      <c r="B4" s="19" t="n">
        <v>386.16</v>
      </c>
      <c r="C4" s="19" t="n">
        <v>491.19</v>
      </c>
      <c r="D4" s="19" t="n">
        <v>601.04</v>
      </c>
      <c r="E4" s="19" t="n">
        <v>675.5599999999999</v>
      </c>
      <c r="F4" s="19" t="n">
        <v>515.61</v>
      </c>
    </row>
    <row r="5">
      <c r="A5" s="4" t="inlineStr">
        <is>
          <t>Vay dài hạn</t>
        </is>
      </c>
      <c r="B5" s="19" t="n">
        <v>1813.42</v>
      </c>
      <c r="C5" s="19" t="n">
        <v>2144.01</v>
      </c>
      <c r="D5" s="19" t="n">
        <v>2066.83</v>
      </c>
      <c r="E5" s="19" t="n">
        <v>1656.82</v>
      </c>
      <c r="F5" s="19" t="n">
        <v>1960.86</v>
      </c>
    </row>
    <row r="6">
      <c r="A6" s="4" t="inlineStr">
        <is>
          <t>Tổng nợ phải trả</t>
        </is>
      </c>
      <c r="B6" s="19" t="n">
        <v>4150.79</v>
      </c>
      <c r="C6" s="19" t="n">
        <v>4800.74</v>
      </c>
      <c r="D6" s="19" t="n">
        <v>5223.81</v>
      </c>
      <c r="E6" s="19" t="n">
        <v>5120.25</v>
      </c>
      <c r="F6" s="19" t="n">
        <v>4968.58</v>
      </c>
    </row>
    <row r="7">
      <c r="A7" s="4" t="inlineStr">
        <is>
          <t>VCSH (bao gồm NCI)</t>
        </is>
      </c>
      <c r="B7" s="19" t="n">
        <v>1465.59</v>
      </c>
      <c r="C7" s="19" t="n">
        <v>1534.25</v>
      </c>
      <c r="D7" s="19" t="n">
        <v>1737.32</v>
      </c>
      <c r="E7" s="19" t="n">
        <v>3105.55</v>
      </c>
      <c r="F7" s="19" t="n">
        <v>3202.89</v>
      </c>
    </row>
    <row r="8">
      <c r="A8" s="4" t="inlineStr">
        <is>
          <t>Vốn góp (charter capital)</t>
        </is>
      </c>
      <c r="B8" s="19" t="n">
        <v>1000</v>
      </c>
      <c r="C8" s="19" t="n">
        <v>1000</v>
      </c>
      <c r="D8" s="19" t="n">
        <v>1200</v>
      </c>
      <c r="E8" s="19" t="n">
        <v>1799.86</v>
      </c>
      <c r="F8" s="19" t="n">
        <v>1799.86</v>
      </c>
    </row>
    <row r="9">
      <c r="A9" s="4" t="inlineStr">
        <is>
          <t>NCI (cổ đông thiểu số)</t>
        </is>
      </c>
      <c r="B9" s="19" t="n">
        <v>0</v>
      </c>
      <c r="C9" s="19" t="n">
        <v>0</v>
      </c>
      <c r="D9" s="19" t="n">
        <v>0</v>
      </c>
      <c r="E9" s="19" t="n">
        <v>0</v>
      </c>
      <c r="F9" s="19" t="n">
        <v>0</v>
      </c>
    </row>
    <row r="10">
      <c r="A10" s="25" t="inlineStr">
        <is>
          <t>VCSH cổ đông mẹ (= VCSH − NCI)</t>
        </is>
      </c>
      <c r="B10" s="10" t="n">
        <v>1465.59</v>
      </c>
      <c r="C10" s="10" t="n">
        <v>1534.25</v>
      </c>
      <c r="D10" s="10" t="n">
        <v>1737.32</v>
      </c>
      <c r="E10" s="10" t="n">
        <v>3105.55</v>
      </c>
      <c r="F10" s="10" t="n">
        <v>3202.89</v>
      </c>
    </row>
    <row r="12">
      <c r="A12" s="4" t="inlineStr">
        <is>
          <t>BVPS mẹ (VND/cp)</t>
        </is>
      </c>
      <c r="B12" s="19" t="n">
        <v>14656</v>
      </c>
      <c r="C12" s="19" t="n">
        <v>15343</v>
      </c>
      <c r="D12" s="19" t="n">
        <v>17373</v>
      </c>
      <c r="E12" s="19" t="n">
        <v>31056</v>
      </c>
      <c r="F12" s="19" t="n">
        <v>32029</v>
      </c>
    </row>
    <row r="13">
      <c r="A13" s="4" t="inlineStr">
        <is>
          <t>EPS cơ bản (VND/cp)</t>
        </is>
      </c>
      <c r="B13" s="19" t="n">
        <v>2874</v>
      </c>
      <c r="C13" s="19" t="n">
        <v>1513</v>
      </c>
      <c r="D13" s="19" t="n">
        <v>1621</v>
      </c>
      <c r="E13" s="19" t="n">
        <v>1630</v>
      </c>
      <c r="F13" s="19" t="n">
        <v>1764</v>
      </c>
    </row>
    <row r="14">
      <c r="A14" s="4" t="inlineStr">
        <is>
          <t>Payout ratio lịch sử</t>
        </is>
      </c>
      <c r="B14" s="18" t="n">
        <v>0.2211</v>
      </c>
      <c r="C14" s="18" t="n">
        <v>0.6911</v>
      </c>
      <c r="D14" s="18" t="n">
        <v>0.0258</v>
      </c>
      <c r="E14" s="18" t="n">
        <v>0.3988</v>
      </c>
      <c r="F14" s="18" t="n">
        <v>0.5203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8" customWidth="1" min="1" max="1"/>
    <col width="16" customWidth="1" min="2" max="2"/>
    <col width="45" customWidth="1" min="3" max="3"/>
  </cols>
  <sheetData>
    <row r="1">
      <c r="A1" s="12" t="inlineStr">
        <is>
          <t>Định giá KCN (40%P/E + 40%P/B + 20%RI)</t>
        </is>
      </c>
      <c r="B1" s="12" t="inlineStr">
        <is>
          <t>Giá trị</t>
        </is>
      </c>
      <c r="C1" s="12" t="inlineStr">
        <is>
          <t>Ghi chú</t>
        </is>
      </c>
    </row>
    <row r="2">
      <c r="A2" s="26" t="inlineStr">
        <is>
          <t>─ COE &amp; CAPM ─</t>
        </is>
      </c>
      <c r="B2" s="27" t="inlineStr"/>
      <c r="C2" s="3" t="inlineStr"/>
    </row>
    <row r="3">
      <c r="A3" s="4" t="inlineStr">
        <is>
          <t>Rf (lãi suất phi rủi ro)</t>
        </is>
      </c>
      <c r="B3" s="4" t="inlineStr">
        <is>
          <t>4.50%</t>
        </is>
      </c>
      <c r="C3" s="3" t="inlineStr">
        <is>
          <t>TPCP 10Y VN</t>
        </is>
      </c>
    </row>
    <row r="4">
      <c r="A4" s="4" t="inlineStr">
        <is>
          <t>Beta</t>
        </is>
      </c>
      <c r="B4" s="28" t="n">
        <v>1.0268</v>
      </c>
      <c r="C4" s="3" t="inlineStr">
        <is>
          <t>Tự tính toán (1624 phiên)</t>
        </is>
      </c>
    </row>
    <row r="5">
      <c r="A5" s="4" t="inlineStr">
        <is>
          <t>ERP</t>
        </is>
      </c>
      <c r="B5" s="4" t="inlineStr">
        <is>
          <t>5.50%</t>
        </is>
      </c>
      <c r="C5" s="3" t="inlineStr">
        <is>
          <t>Phần bù rủi ro TTCK VN</t>
        </is>
      </c>
    </row>
    <row r="6">
      <c r="A6" s="4" t="inlineStr">
        <is>
          <t>COE = Rf + β × ERP</t>
        </is>
      </c>
      <c r="B6" s="4" t="inlineStr">
        <is>
          <t>10.15%</t>
        </is>
      </c>
      <c r="C6" s="3" t="inlineStr">
        <is>
          <t>Chi phí vốn chủ sở hữu</t>
        </is>
      </c>
    </row>
    <row r="7">
      <c r="A7" s="26" t="inlineStr">
        <is>
          <t>─ P/E ─</t>
        </is>
      </c>
      <c r="B7" s="27" t="inlineStr"/>
      <c r="C7" s="3" t="inlineStr"/>
    </row>
    <row r="8">
      <c r="A8" s="4" t="inlineStr">
        <is>
          <t>EPS forward 1Y (VND)</t>
        </is>
      </c>
      <c r="B8" s="5" t="n">
        <v>1840</v>
      </c>
      <c r="C8" s="3">
        <f> EPS_last × (1 + CAGR EPS)</f>
        <v/>
      </c>
    </row>
    <row r="9">
      <c r="A9" s="4" t="inlineStr">
        <is>
          <t>P/E mục tiêu</t>
        </is>
      </c>
      <c r="B9" s="5" t="n">
        <v>13</v>
      </c>
      <c r="C9" s="3" t="inlineStr">
        <is>
          <t>Median P/E lịch sử, kẹp [8,25]</t>
        </is>
      </c>
    </row>
    <row r="10">
      <c r="A10" s="4" t="inlineStr">
        <is>
          <t>Giá hợp lý P/E</t>
        </is>
      </c>
      <c r="B10" s="5" t="n">
        <v>23922</v>
      </c>
      <c r="C10" s="3">
        <f> P/E × EPS_fc1</f>
        <v/>
      </c>
    </row>
    <row r="11">
      <c r="A11" s="26" t="inlineStr">
        <is>
          <t>─ P/B ─</t>
        </is>
      </c>
      <c r="B11" s="27" t="inlineStr"/>
      <c r="C11" s="3" t="inlineStr"/>
    </row>
    <row r="12">
      <c r="A12" s="4" t="inlineStr">
        <is>
          <t>BVPS forward 1Y (VND)</t>
        </is>
      </c>
      <c r="B12" s="5" t="n">
        <v>33138</v>
      </c>
      <c r="C12" s="3" t="inlineStr">
        <is>
          <t>Roll-forward trừ cổ tức</t>
        </is>
      </c>
    </row>
    <row r="13">
      <c r="A13" s="4" t="inlineStr">
        <is>
          <t>P/B mục tiêu</t>
        </is>
      </c>
      <c r="B13" s="28" t="n">
        <v>1.2</v>
      </c>
      <c r="C13" s="3" t="inlineStr">
        <is>
          <t>Median P/B lịch sử, kẹp [0.6,4]</t>
        </is>
      </c>
    </row>
    <row r="14">
      <c r="A14" s="4" t="inlineStr">
        <is>
          <t>Giá hợp lý P/B</t>
        </is>
      </c>
      <c r="B14" s="5" t="n">
        <v>39765</v>
      </c>
      <c r="C14" s="3">
        <f> P/B × BVPS_fc1</f>
        <v/>
      </c>
    </row>
    <row r="15">
      <c r="A15" s="26" t="inlineStr">
        <is>
          <t>─ Residual Income ─</t>
        </is>
      </c>
      <c r="B15" s="27" t="inlineStr"/>
      <c r="C15" s="3" t="inlineStr"/>
    </row>
    <row r="16">
      <c r="A16" s="4" t="inlineStr">
        <is>
          <t>BVPS hiện tại (VND)</t>
        </is>
      </c>
      <c r="B16" s="5" t="n">
        <v>32029</v>
      </c>
      <c r="C16" s="3" t="inlineStr">
        <is>
          <t>bsa78 − bsa210 / shares</t>
        </is>
      </c>
    </row>
    <row r="17">
      <c r="A17" s="4" t="inlineStr">
        <is>
          <t>CAGR EPS</t>
        </is>
      </c>
      <c r="B17" s="8" t="n">
        <v>0.04317647112435608</v>
      </c>
      <c r="C17" s="3" t="inlineStr">
        <is>
          <t>Kẹp [−10%, +20%]</t>
        </is>
      </c>
    </row>
    <row r="18">
      <c r="A18" s="4" t="inlineStr">
        <is>
          <t>RI Năm 1 (VND)</t>
        </is>
      </c>
      <c r="B18" s="5" t="n">
        <v>-1280</v>
      </c>
      <c r="C18" s="3" t="inlineStr">
        <is>
          <t>PV EPS1 − COE×BVPS0</t>
        </is>
      </c>
    </row>
    <row r="19">
      <c r="A19" s="4" t="inlineStr">
        <is>
          <t>RI Năm 2 (VND)</t>
        </is>
      </c>
      <c r="B19" s="5" t="n">
        <v>-1193.4</v>
      </c>
      <c r="C19" s="3" t="inlineStr">
        <is>
          <t>PV EPS2 − COE×BVPS1</t>
        </is>
      </c>
    </row>
    <row r="20">
      <c r="A20" s="4" t="inlineStr">
        <is>
          <t>RI Năm 3 (VND)</t>
        </is>
      </c>
      <c r="B20" s="5" t="n">
        <v>-1113</v>
      </c>
      <c r="C20" s="3" t="inlineStr">
        <is>
          <t>PV EPS3 − COE×BVPS2</t>
        </is>
      </c>
    </row>
    <row r="21">
      <c r="A21" s="4" t="inlineStr">
        <is>
          <t>RI Terminal (PV, VND)</t>
        </is>
      </c>
      <c r="B21" s="5" t="n">
        <v>-11484</v>
      </c>
      <c r="C21" s="3" t="inlineStr">
        <is>
          <t>TV/(COE−g)</t>
        </is>
      </c>
    </row>
    <row r="22">
      <c r="A22" s="4" t="inlineStr">
        <is>
          <t>Giá hợp lý RI (VND)</t>
        </is>
      </c>
      <c r="B22" s="5" t="n">
        <v>16958</v>
      </c>
      <c r="C22" s="3" t="inlineStr">
        <is>
          <t>BVPS + ΣRI_PV + Terminal_PV</t>
        </is>
      </c>
    </row>
    <row r="23">
      <c r="A23" s="26" t="inlineStr">
        <is>
          <t>─ KẾT QUẢ ─</t>
        </is>
      </c>
      <c r="B23" s="27" t="inlineStr"/>
      <c r="C23" s="3" t="inlineStr"/>
    </row>
    <row r="24">
      <c r="A24" s="4" t="inlineStr">
        <is>
          <t>Giá thị trường (VND)</t>
        </is>
      </c>
      <c r="B24" s="5" t="n">
        <v>21200</v>
      </c>
      <c r="C24" s="3" t="inlineStr"/>
    </row>
    <row r="25">
      <c r="A25" s="25" t="inlineStr">
        <is>
          <t>Giá mục tiêu (40+40+20)</t>
        </is>
      </c>
      <c r="B25" s="10" t="n">
        <v>28867</v>
      </c>
      <c r="C25" s="3" t="inlineStr">
        <is>
          <t>Tổng hợp 3 phương pháp</t>
        </is>
      </c>
    </row>
    <row r="26">
      <c r="A26" s="25" t="inlineStr">
        <is>
          <t>Upside / Downside</t>
        </is>
      </c>
      <c r="B26" s="29" t="n">
        <v>0.3616</v>
      </c>
      <c r="C26" s="3" t="inlineStr">
        <is>
          <t>+/- % so với giá thị trường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2" customWidth="1" min="2" max="2"/>
    <col width="12" customWidth="1" min="3" max="3"/>
    <col width="11" customWidth="1" min="4" max="4"/>
    <col width="11" customWidth="1" min="5" max="5"/>
    <col width="11" customWidth="1" min="6" max="6"/>
    <col width="11" customWidth="1" min="7" max="7"/>
  </cols>
  <sheetData>
    <row r="1">
      <c r="A1" s="12" t="inlineStr">
        <is>
          <t>Mảng / Quý</t>
        </is>
      </c>
      <c r="B1" s="12" t="inlineStr">
        <is>
          <t>2024Q3</t>
        </is>
      </c>
      <c r="C1" s="12" t="inlineStr">
        <is>
          <t>2025Q3</t>
        </is>
      </c>
      <c r="D1" s="12" t="inlineStr">
        <is>
          <t>DT</t>
        </is>
      </c>
      <c r="E1" s="12" t="inlineStr">
        <is>
          <t>GV</t>
        </is>
      </c>
      <c r="F1" s="12" t="inlineStr">
        <is>
          <t>LNG</t>
        </is>
      </c>
      <c r="G1" s="12" t="inlineStr">
        <is>
          <t>Biên LNG</t>
        </is>
      </c>
    </row>
    <row r="2">
      <c r="A2" s="4" t="inlineStr">
        <is>
          <t>Cho thuê đất &amp; phí quản lý KCN</t>
        </is>
      </c>
      <c r="B2" s="19" t="inlineStr"/>
      <c r="C2" s="19" t="inlineStr"/>
      <c r="D2" s="30" t="n">
        <v>0</v>
      </c>
      <c r="E2" s="30" t="n">
        <v>0</v>
      </c>
      <c r="F2" s="30" t="n">
        <v>0</v>
      </c>
      <c r="G2" s="31" t="n">
        <v>0</v>
      </c>
    </row>
    <row r="3">
      <c r="A3" s="4" t="inlineStr">
        <is>
          <t>Kinh doanh thu phí đường bộ (BOT)</t>
        </is>
      </c>
      <c r="B3" s="19" t="inlineStr"/>
      <c r="C3" s="19" t="inlineStr"/>
      <c r="D3" s="30" t="n">
        <v>0</v>
      </c>
      <c r="E3" s="30" t="n">
        <v>0</v>
      </c>
      <c r="F3" s="30" t="n">
        <v>0</v>
      </c>
      <c r="G3" s="31" t="n">
        <v>0</v>
      </c>
    </row>
    <row r="4">
      <c r="A4" s="4" t="inlineStr">
        <is>
          <t>Hoạt động thể thao Golf &amp; nhà hàng</t>
        </is>
      </c>
      <c r="B4" s="19" t="n">
        <v>0</v>
      </c>
      <c r="C4" s="19" t="n">
        <v>4.8</v>
      </c>
      <c r="D4" s="30" t="n">
        <v>2.4</v>
      </c>
      <c r="E4" s="30" t="n">
        <v>0</v>
      </c>
      <c r="F4" s="30" t="n">
        <v>2.4</v>
      </c>
      <c r="G4" s="31" t="n">
        <v>1</v>
      </c>
    </row>
    <row r="5">
      <c r="A5" s="4" t="inlineStr">
        <is>
          <t>Cung cấp nước</t>
        </is>
      </c>
      <c r="B5" s="19" t="inlineStr"/>
      <c r="C5" s="19" t="inlineStr"/>
      <c r="D5" s="30" t="n">
        <v>0</v>
      </c>
      <c r="E5" s="30" t="n">
        <v>0</v>
      </c>
      <c r="F5" s="30" t="n">
        <v>0</v>
      </c>
      <c r="G5" s="31" t="n">
        <v>0</v>
      </c>
    </row>
    <row r="6">
      <c r="A6" s="4" t="inlineStr">
        <is>
          <t>Bán nhà liên kế KDC Hữu Phước</t>
        </is>
      </c>
      <c r="B6" s="19" t="inlineStr"/>
      <c r="C6" s="19" t="inlineStr"/>
      <c r="D6" s="30" t="n">
        <v>0</v>
      </c>
      <c r="E6" s="30" t="n">
        <v>0</v>
      </c>
      <c r="F6" s="30" t="n">
        <v>0</v>
      </c>
      <c r="G6" s="31" t="n">
        <v>0</v>
      </c>
    </row>
    <row r="7">
      <c r="A7" s="4" t="inlineStr">
        <is>
          <t>Xử lý nước thải KCN</t>
        </is>
      </c>
      <c r="B7" s="19" t="inlineStr"/>
      <c r="C7" s="19" t="inlineStr"/>
      <c r="D7" s="30" t="n">
        <v>0</v>
      </c>
      <c r="E7" s="30" t="n">
        <v>0</v>
      </c>
      <c r="F7" s="30" t="n">
        <v>0</v>
      </c>
      <c r="G7" s="31" t="n">
        <v>0</v>
      </c>
    </row>
    <row r="8">
      <c r="A8" s="4" t="inlineStr">
        <is>
          <t>Cho thuê xưởng &amp; phí quản lý</t>
        </is>
      </c>
      <c r="B8" s="19" t="inlineStr"/>
      <c r="C8" s="19" t="inlineStr"/>
      <c r="D8" s="30" t="n">
        <v>0</v>
      </c>
      <c r="E8" s="30" t="n">
        <v>0</v>
      </c>
      <c r="F8" s="30" t="n">
        <v>0</v>
      </c>
      <c r="G8" s="31" t="n">
        <v>0</v>
      </c>
    </row>
    <row r="9">
      <c r="A9" s="4" t="inlineStr">
        <is>
          <t>Sản phẩm &amp; dịch vụ khác</t>
        </is>
      </c>
      <c r="B9" s="19" t="n">
        <v>0.17</v>
      </c>
      <c r="C9" s="19" t="n">
        <v>0.17</v>
      </c>
      <c r="D9" s="30" t="n">
        <v>0.17</v>
      </c>
      <c r="E9" s="30" t="n">
        <v>0</v>
      </c>
      <c r="F9" s="30" t="n">
        <v>0.17</v>
      </c>
      <c r="G9" s="3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2026-07-08T15:36:50Z</dcterms:created>
  <dcterms:modified xmlns:dcterms="http://purl.org/dc/terms/" xmlns:xsi="http://www.w3.org/2001/XMLSchema-instance" xsi:type="dcterms:W3CDTF">2026-07-08T15:36:50Z</dcterms:modified>
</cp:coreProperties>
</file>