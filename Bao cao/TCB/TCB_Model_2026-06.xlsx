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E" sheetId="1" state="visible" r:id="rId1"/>
    <sheet xmlns:r="http://schemas.openxmlformats.org/officeDocument/2006/relationships" name="01_Cover" sheetId="2" state="visible" r:id="rId2"/>
    <sheet xmlns:r="http://schemas.openxmlformats.org/officeDocument/2006/relationships" name="02_Assumptions" sheetId="3" state="visible" r:id="rId3"/>
    <sheet xmlns:r="http://schemas.openxmlformats.org/officeDocument/2006/relationships" name="03_Income_Model" sheetId="4" state="visible" r:id="rId4"/>
    <sheet xmlns:r="http://schemas.openxmlformats.org/officeDocument/2006/relationships" name="04_PnL_Quarterly" sheetId="5" state="visible" r:id="rId5"/>
    <sheet xmlns:r="http://schemas.openxmlformats.org/officeDocument/2006/relationships" name="04_PnL" sheetId="6" state="visible" r:id="rId6"/>
    <sheet xmlns:r="http://schemas.openxmlformats.org/officeDocument/2006/relationships" name="05_Balance_Sheet_Quarterly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Ratios_Quarterly" sheetId="9" state="visible" r:id="rId9"/>
    <sheet xmlns:r="http://schemas.openxmlformats.org/officeDocument/2006/relationships" name="06_Ratios" sheetId="10" state="visible" r:id="rId10"/>
    <sheet xmlns:r="http://schemas.openxmlformats.org/officeDocument/2006/relationships" name="07_Valuation" sheetId="11" state="visible" r:id="rId11"/>
    <sheet xmlns:r="http://schemas.openxmlformats.org/officeDocument/2006/relationships" name="08_Sensitivity" sheetId="12" state="visible" r:id="rId12"/>
    <sheet xmlns:r="http://schemas.openxmlformats.org/officeDocument/2006/relationships" name="09_PESTLE" sheetId="13" state="visible" r:id="rId13"/>
    <sheet xmlns:r="http://schemas.openxmlformats.org/officeDocument/2006/relationships" name="10_Leading_Indicators" sheetId="14" state="visible" r:id="rId14"/>
    <sheet xmlns:r="http://schemas.openxmlformats.org/officeDocument/2006/relationships" name="11_Investment_Thesis" sheetId="15" state="visible" r:id="rId15"/>
    <sheet xmlns:r="http://schemas.openxmlformats.org/officeDocument/2006/relationships" name="12_Summary_Snapshot" sheetId="16" state="visible" r:id="rId16"/>
    <sheet xmlns:r="http://schemas.openxmlformats.org/officeDocument/2006/relationships" name="13_PE_PB_History" sheetId="17" state="visible" r:id="rId17"/>
    <sheet xmlns:r="http://schemas.openxmlformats.org/officeDocument/2006/relationships" name="14_Credit_Funding_Growth" sheetId="18" state="visible" r:id="rId18"/>
    <sheet xmlns:r="http://schemas.openxmlformats.org/officeDocument/2006/relationships" name="15_Peer_Benchmark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  <font>
      <name val="Calibri"/>
      <i val="1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1" fillId="5" borderId="1" pivotButton="0" quotePrefix="0" xfId="0"/>
    <xf numFmtId="10" fontId="11" fillId="5" borderId="1" pivotButton="0" quotePrefix="0" xfId="0"/>
    <xf numFmtId="2" fontId="11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</row>
    <row r="4">
      <c r="A4" t="inlineStr">
        <is>
          <t>Rf — Lãi suất phi rủi ro</t>
        </is>
      </c>
      <c r="B4" s="2" t="n">
        <v>0.045</v>
      </c>
    </row>
    <row r="5">
      <c r="A5" t="inlineStr">
        <is>
          <t>β  — Hệ số Beta</t>
        </is>
      </c>
      <c r="B5" t="n">
        <v>0.98</v>
      </c>
    </row>
    <row r="6">
      <c r="A6" t="inlineStr">
        <is>
          <t>ERP — Phần bù rủi ro vốn</t>
        </is>
      </c>
      <c r="B6" s="2" t="n">
        <v>0.07000000000000001</v>
      </c>
    </row>
    <row r="7">
      <c r="A7" t="inlineStr">
        <is>
          <t>α  — Phần bù rủi ro đặc thù (Frontier/Bank)</t>
        </is>
      </c>
      <c r="B7" s="2" t="n">
        <v>0.02</v>
      </c>
    </row>
    <row r="9">
      <c r="A9" s="1" t="inlineStr">
        <is>
          <t>COE = Rf + β × ERP + α</t>
        </is>
      </c>
      <c r="B9" s="3">
        <f>B4+B5*B6+B7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4" t="inlineStr">
        <is>
          <t>PHÂN TÍCH CỔ PHIẾU NGÂN HÀNG: TCB</t>
        </is>
      </c>
    </row>
    <row r="3">
      <c r="B3" s="5" t="inlineStr">
        <is>
          <t>Ngân hàng TCB</t>
        </is>
      </c>
    </row>
    <row r="5">
      <c r="B5" t="inlineStr">
        <is>
          <t>Giá hiện tại (VND):</t>
        </is>
      </c>
      <c r="C5" s="6">
        <f>'02_Assumptions'!B2</f>
        <v/>
      </c>
    </row>
    <row r="6">
      <c r="B6" t="inlineStr">
        <is>
          <t>Giá mục tiêu (VND):</t>
        </is>
      </c>
      <c r="C6" s="7">
        <f>'07_Valuation'!B21</f>
        <v/>
      </c>
    </row>
    <row r="7">
      <c r="B7" t="inlineStr">
        <is>
          <t>Upside:</t>
        </is>
      </c>
      <c r="C7" s="8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Giá cổ phiếu (VND)</t>
        </is>
      </c>
      <c r="B2" s="11" t="n">
        <v>33400</v>
      </c>
      <c r="C2" s="10" t="n"/>
      <c r="D2" s="10" t="n"/>
      <c r="E2" s="10" t="n"/>
      <c r="F2" s="10" t="n"/>
      <c r="G2" s="10" t="n"/>
      <c r="H2" s="10" t="n"/>
      <c r="I2" s="10" t="n"/>
    </row>
    <row r="3">
      <c r="A3" s="10" t="inlineStr">
        <is>
          <t>Số lượng CP lưu hành</t>
        </is>
      </c>
      <c r="B3" s="11" t="n">
        <v>7862636600</v>
      </c>
      <c r="C3" s="10" t="n"/>
      <c r="D3" s="10" t="n"/>
      <c r="E3" s="10" t="n"/>
      <c r="F3" s="10" t="n"/>
      <c r="G3" s="10" t="n"/>
      <c r="H3" s="10" t="n"/>
      <c r="I3" s="10" t="n"/>
    </row>
    <row r="4">
      <c r="A4" s="10" t="inlineStr">
        <is>
          <t>Tín dụng tăng trưởng (%)</t>
        </is>
      </c>
      <c r="B4" s="10" t="n"/>
      <c r="C4" s="10" t="n"/>
      <c r="D4" s="10" t="n"/>
      <c r="E4" s="10" t="n"/>
      <c r="F4" s="10" t="n"/>
      <c r="G4" s="12" t="n">
        <v>0.14</v>
      </c>
      <c r="H4" s="12" t="n">
        <v>0.13</v>
      </c>
      <c r="I4" s="12" t="n">
        <v>0.12</v>
      </c>
    </row>
    <row r="5">
      <c r="A5" s="10" t="inlineStr">
        <is>
          <t>Huy động tăng trưởng (%)</t>
        </is>
      </c>
      <c r="B5" s="10" t="n"/>
      <c r="C5" s="10" t="n"/>
      <c r="D5" s="10" t="n"/>
      <c r="E5" s="10" t="n"/>
      <c r="F5" s="10" t="n"/>
      <c r="G5" s="12" t="n">
        <v>0.12</v>
      </c>
      <c r="H5" s="12" t="n">
        <v>0.11</v>
      </c>
      <c r="I5" s="12" t="n">
        <v>0.1</v>
      </c>
    </row>
    <row r="6">
      <c r="A6" s="10" t="inlineStr">
        <is>
          <t>NIM (%)</t>
        </is>
      </c>
      <c r="B6" s="12" t="n">
        <v>0.0513</v>
      </c>
      <c r="C6" s="12" t="n">
        <v>0.0532</v>
      </c>
      <c r="D6" s="12" t="n">
        <v>0.0404</v>
      </c>
      <c r="E6" s="12" t="n">
        <v>0.0426</v>
      </c>
      <c r="F6" s="12" t="n">
        <v>0.0378</v>
      </c>
      <c r="G6" s="12" t="n">
        <v>0.0397</v>
      </c>
      <c r="H6" s="12" t="n">
        <v>0.0408</v>
      </c>
      <c r="I6" s="12" t="n">
        <v>0.0416</v>
      </c>
    </row>
    <row r="7">
      <c r="A7" s="10" t="inlineStr">
        <is>
          <t>CIR (%)</t>
        </is>
      </c>
      <c r="B7" s="12" t="n">
        <v>0.3014</v>
      </c>
      <c r="C7" s="12" t="n">
        <v>0.3213</v>
      </c>
      <c r="D7" s="12" t="n">
        <v>0.3308</v>
      </c>
      <c r="E7" s="12" t="n">
        <v>0.3271</v>
      </c>
      <c r="F7" s="12" t="n">
        <v>0.3078</v>
      </c>
      <c r="G7" s="12" t="n">
        <v>0.33</v>
      </c>
      <c r="H7" s="12" t="n">
        <v>0.32</v>
      </c>
      <c r="I7" s="12" t="n">
        <v>0.32</v>
      </c>
    </row>
    <row r="8">
      <c r="A8" s="10" t="inlineStr">
        <is>
          <t>CoC - Credit Cost (%)</t>
        </is>
      </c>
      <c r="B8" s="12" t="n">
        <v>0.007800000000000001</v>
      </c>
      <c r="C8" s="12" t="n">
        <v>0.0051</v>
      </c>
      <c r="D8" s="12" t="n">
        <v>0.008399999999999999</v>
      </c>
      <c r="E8" s="12" t="n">
        <v>0.0072</v>
      </c>
      <c r="F8" s="12" t="n">
        <v>0.0064</v>
      </c>
      <c r="G8" s="12" t="n">
        <v>0.0061</v>
      </c>
      <c r="H8" s="12" t="n">
        <v>0.0058</v>
      </c>
      <c r="I8" s="12" t="n">
        <v>0.0054</v>
      </c>
    </row>
    <row r="9">
      <c r="A9" s="10" t="inlineStr">
        <is>
          <t>NPL ratio (%)</t>
        </is>
      </c>
      <c r="B9" s="12" t="n">
        <v>0.0067</v>
      </c>
      <c r="C9" s="12" t="n">
        <v>0.0073</v>
      </c>
      <c r="D9" s="12" t="n">
        <v>0.0117</v>
      </c>
      <c r="E9" s="12" t="n">
        <v>0.0114</v>
      </c>
      <c r="F9" s="12" t="n">
        <v>0.0108</v>
      </c>
      <c r="G9" s="12" t="n">
        <v>0.0103</v>
      </c>
      <c r="H9" s="12" t="n">
        <v>0.0097</v>
      </c>
      <c r="I9" s="12" t="n">
        <v>0.0092</v>
      </c>
    </row>
    <row r="10">
      <c r="A10" s="10" t="inlineStr">
        <is>
          <t>CASA ratio (%)</t>
        </is>
      </c>
      <c r="B10" s="12" t="n">
        <v>0.4698</v>
      </c>
      <c r="C10" s="12" t="n">
        <v>0.3434</v>
      </c>
      <c r="D10" s="12" t="n">
        <v>0.38</v>
      </c>
      <c r="E10" s="12" t="n">
        <v>0.3594</v>
      </c>
      <c r="F10" s="12" t="n">
        <v>0.3448</v>
      </c>
      <c r="G10" s="12" t="n">
        <v>0.3548</v>
      </c>
      <c r="H10" s="12" t="n">
        <v>0.3648</v>
      </c>
      <c r="I10" s="12" t="n">
        <v>0.3748</v>
      </c>
    </row>
    <row r="11">
      <c r="A11" s="10" t="inlineStr">
        <is>
          <t>Tăng trưởng non-TOI (%)</t>
        </is>
      </c>
      <c r="B11" s="10" t="n"/>
      <c r="C11" s="10" t="n"/>
      <c r="D11" s="10" t="n"/>
      <c r="E11" s="10" t="n"/>
      <c r="F11" s="10" t="n"/>
      <c r="G11" s="12" t="n">
        <v>0.15</v>
      </c>
      <c r="H11" s="12" t="n">
        <v>0.15</v>
      </c>
      <c r="I11" s="12" t="n">
        <v>0.14</v>
      </c>
    </row>
    <row r="12">
      <c r="A12" s="10" t="inlineStr">
        <is>
          <t>Chi phí vốn CSH (COE)</t>
        </is>
      </c>
      <c r="B12" s="10" t="n"/>
      <c r="C12" s="10" t="n"/>
      <c r="D12" s="10" t="n"/>
      <c r="E12" s="10" t="n"/>
      <c r="F12" s="10" t="n"/>
      <c r="G12" s="12" t="n">
        <v>0.1336</v>
      </c>
      <c r="H12" s="12" t="n">
        <v>0.1336</v>
      </c>
      <c r="I12" s="12" t="n">
        <v>0.1336</v>
      </c>
    </row>
    <row r="13">
      <c r="A13" s="10" t="inlineStr">
        <is>
          <t>Tăng trưởng dài hạn (g)</t>
        </is>
      </c>
      <c r="B13" s="10" t="n"/>
      <c r="C13" s="10" t="n"/>
      <c r="D13" s="10" t="n"/>
      <c r="E13" s="10" t="n"/>
      <c r="F13" s="10" t="n"/>
      <c r="G13" s="10" t="n"/>
      <c r="H13" s="10" t="n"/>
      <c r="I13" s="12" t="n">
        <v>0.03</v>
      </c>
    </row>
    <row r="14">
      <c r="A14" s="10" t="inlineStr">
        <is>
          <t>Thuế suất (%)</t>
        </is>
      </c>
      <c r="B14" s="10" t="n"/>
      <c r="C14" s="10" t="n"/>
      <c r="D14" s="10" t="n"/>
      <c r="E14" s="10" t="n"/>
      <c r="F14" s="10" t="n"/>
      <c r="G14" s="12" t="n">
        <v>0.2</v>
      </c>
      <c r="H14" s="12" t="n">
        <v>0.2</v>
      </c>
      <c r="I14" s="12" t="n">
        <v>0.2</v>
      </c>
    </row>
    <row r="15">
      <c r="A15" s="10" t="inlineStr">
        <is>
          <t>P/B mục tiêu (x)</t>
        </is>
      </c>
      <c r="B15" s="10" t="n"/>
      <c r="C15" s="10" t="n"/>
      <c r="D15" s="10" t="n"/>
      <c r="E15" s="10" t="n"/>
      <c r="F15" s="10" t="n"/>
      <c r="G15" s="13" t="n">
        <v>1.45635777105</v>
      </c>
      <c r="H15" s="13" t="n">
        <v>1.45635777105</v>
      </c>
      <c r="I15" s="13" t="n">
        <v>1.45635777105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IEA bình quân (tỷ)</t>
        </is>
      </c>
      <c r="B2" s="13" t="n">
        <v>520194.099</v>
      </c>
      <c r="C2" s="13" t="n">
        <v>569081.67</v>
      </c>
      <c r="D2" s="13" t="n">
        <v>685155.2325</v>
      </c>
      <c r="E2" s="13" t="n">
        <v>833463.7640000001</v>
      </c>
      <c r="F2" s="13" t="n">
        <v>1009356.682</v>
      </c>
      <c r="G2" s="13" t="n">
        <v>1175895.3189</v>
      </c>
      <c r="H2" s="13" t="n">
        <v>1322523.392468</v>
      </c>
      <c r="I2" s="13" t="n">
        <v>1474239.28352848</v>
      </c>
    </row>
    <row r="3">
      <c r="A3" s="10" t="inlineStr">
        <is>
          <t>IEA tăng trưởng (%)</t>
        </is>
      </c>
      <c r="B3" s="10" t="n"/>
      <c r="C3" s="12" t="n">
        <v>0.188</v>
      </c>
      <c r="D3" s="12" t="n">
        <v>0.2174</v>
      </c>
      <c r="E3" s="12" t="n">
        <v>0.2157</v>
      </c>
      <c r="F3" s="12" t="n">
        <v>0.2072</v>
      </c>
      <c r="G3" s="12" t="n">
        <v>0.13</v>
      </c>
      <c r="H3" s="12" t="n">
        <v>0.12</v>
      </c>
      <c r="I3" s="12" t="n">
        <v>0.11</v>
      </c>
    </row>
    <row r="4">
      <c r="A4" s="10" t="inlineStr">
        <is>
          <t>NIM (%)</t>
        </is>
      </c>
      <c r="B4" s="13" t="n">
        <v>0.0513</v>
      </c>
      <c r="C4" s="13" t="n">
        <v>0.0532</v>
      </c>
      <c r="D4" s="13" t="n">
        <v>0.0404</v>
      </c>
      <c r="E4" s="13" t="n">
        <v>0.0426</v>
      </c>
      <c r="F4" s="13" t="n">
        <v>0.0378</v>
      </c>
      <c r="G4" s="13" t="n">
        <v>0.0397</v>
      </c>
      <c r="H4" s="13" t="n">
        <v>0.0408</v>
      </c>
      <c r="I4" s="13" t="n">
        <v>0.0416</v>
      </c>
    </row>
    <row r="5">
      <c r="A5" s="10" t="inlineStr">
        <is>
          <t>NII (tỷ)</t>
        </is>
      </c>
      <c r="B5" s="13" t="n">
        <v>26698.613</v>
      </c>
      <c r="C5" s="13" t="n">
        <v>30289.775</v>
      </c>
      <c r="D5" s="13" t="n">
        <v>27691.12</v>
      </c>
      <c r="E5" s="13" t="n">
        <v>35507.963</v>
      </c>
      <c r="F5" s="13" t="n">
        <v>38155.091</v>
      </c>
      <c r="G5" s="13">
        <f>G2*'02_Assumptions'!G6</f>
        <v/>
      </c>
      <c r="H5" s="13">
        <f>H2*'02_Assumptions'!H6</f>
        <v/>
      </c>
      <c r="I5" s="13">
        <f>I2*'02_Assumptions'!I6</f>
        <v/>
      </c>
    </row>
    <row r="6">
      <c r="A6" s="10" t="inlineStr">
        <is>
          <t>Thu nhập dịch vụ</t>
        </is>
      </c>
      <c r="B6" s="13" t="n">
        <v>6382.24</v>
      </c>
      <c r="C6" s="13" t="n">
        <v>8152.605</v>
      </c>
      <c r="D6" s="13" t="n">
        <v>8714.897000000001</v>
      </c>
      <c r="E6" s="13" t="n">
        <v>8042.248</v>
      </c>
      <c r="F6" s="13" t="n">
        <v>8771.995000000001</v>
      </c>
      <c r="G6" s="10" t="n"/>
      <c r="H6" s="10" t="n"/>
      <c r="I6" s="10" t="n"/>
    </row>
    <row r="7">
      <c r="A7" s="10" t="inlineStr">
        <is>
          <t>Thu nhập ngoại hối</t>
        </is>
      </c>
      <c r="B7" s="13" t="n">
        <v>231.416</v>
      </c>
      <c r="C7" s="13" t="n">
        <v>-275.063</v>
      </c>
      <c r="D7" s="13" t="n">
        <v>195.75</v>
      </c>
      <c r="E7" s="13" t="n">
        <v>592.556</v>
      </c>
      <c r="F7" s="13" t="n">
        <v>1642.201</v>
      </c>
      <c r="G7" s="10" t="n"/>
      <c r="H7" s="10" t="n"/>
      <c r="I7" s="10" t="n"/>
    </row>
    <row r="8">
      <c r="A8" s="10" t="inlineStr">
        <is>
          <t>Thu nhập CK đầu tư</t>
        </is>
      </c>
      <c r="B8" s="13" t="n">
        <v>1956.713</v>
      </c>
      <c r="C8" s="13" t="n">
        <v>183.708</v>
      </c>
      <c r="D8" s="13" t="n">
        <v>990.453</v>
      </c>
      <c r="E8" s="13" t="n">
        <v>2440.358</v>
      </c>
      <c r="F8" s="13" t="n">
        <v>2898.295</v>
      </c>
      <c r="G8" s="10" t="n"/>
      <c r="H8" s="10" t="n"/>
      <c r="I8" s="10" t="n"/>
    </row>
    <row r="9">
      <c r="A9" s="10" t="inlineStr">
        <is>
          <t>Thu nhập khác</t>
        </is>
      </c>
      <c r="B9" s="13" t="n">
        <v>1803.246</v>
      </c>
      <c r="C9" s="13" t="n">
        <v>2167.375</v>
      </c>
      <c r="D9" s="13" t="n">
        <v>2434.116</v>
      </c>
      <c r="E9" s="13" t="n">
        <v>342.711</v>
      </c>
      <c r="F9" s="13" t="n">
        <v>1884.342</v>
      </c>
      <c r="G9" s="10" t="n"/>
      <c r="H9" s="10" t="n"/>
      <c r="I9" s="10" t="n"/>
    </row>
    <row r="10">
      <c r="A10" s="10" t="inlineStr">
        <is>
          <t>Tổng thu nhập ngoài lãi</t>
        </is>
      </c>
      <c r="B10" s="13" t="n">
        <v>10377.678</v>
      </c>
      <c r="C10" s="13" t="n">
        <v>10237.416</v>
      </c>
      <c r="D10" s="13" t="n">
        <v>12369.972</v>
      </c>
      <c r="E10" s="13" t="n">
        <v>11482.43399999999</v>
      </c>
      <c r="F10" s="13" t="n">
        <v>15236.034</v>
      </c>
      <c r="G10" s="13" t="n">
        <v>17521.4391</v>
      </c>
      <c r="H10" s="13" t="n">
        <v>20149.654965</v>
      </c>
      <c r="I10" s="13" t="n">
        <v>22970.6066601</v>
      </c>
    </row>
    <row r="11">
      <c r="A11" s="10" t="inlineStr">
        <is>
          <t>Tổng thu nhập HĐ - TOI</t>
        </is>
      </c>
      <c r="B11" s="13" t="n">
        <v>37076.291</v>
      </c>
      <c r="C11" s="13" t="n">
        <v>40527.191</v>
      </c>
      <c r="D11" s="13" t="n">
        <v>40061.092</v>
      </c>
      <c r="E11" s="13" t="n">
        <v>46990.397</v>
      </c>
      <c r="F11" s="13" t="n">
        <v>53391.125</v>
      </c>
      <c r="G11" s="13">
        <f>G5+G10</f>
        <v/>
      </c>
      <c r="H11" s="13">
        <f>H5+H10</f>
        <v/>
      </c>
      <c r="I11" s="13">
        <f>I5+I10</f>
        <v/>
      </c>
    </row>
    <row r="12">
      <c r="A12" s="10" t="inlineStr">
        <is>
          <t>NII/TOI (%)</t>
        </is>
      </c>
      <c r="B12" s="13" t="n">
        <v>72.01000000000001</v>
      </c>
      <c r="C12" s="13" t="n">
        <v>74.73999999999999</v>
      </c>
      <c r="D12" s="13" t="n">
        <v>69.12</v>
      </c>
      <c r="E12" s="13" t="n">
        <v>75.56</v>
      </c>
      <c r="F12" s="13" t="n">
        <v>71.45999999999999</v>
      </c>
      <c r="G12" s="10" t="n"/>
      <c r="H12" s="10" t="n"/>
      <c r="I12" s="10" t="n"/>
    </row>
    <row r="13">
      <c r="A13" s="10" t="inlineStr">
        <is>
          <t>Chi phí HĐ - OPEX</t>
        </is>
      </c>
      <c r="B13" s="13" t="n">
        <v>11173.395</v>
      </c>
      <c r="C13" s="13" t="n">
        <v>13023.129</v>
      </c>
      <c r="D13" s="13" t="n">
        <v>13251.796</v>
      </c>
      <c r="E13" s="13" t="n">
        <v>15369.735</v>
      </c>
      <c r="F13" s="13" t="n">
        <v>16432.434</v>
      </c>
      <c r="G13" s="13">
        <f>G11*'02_Assumptions'!G7</f>
        <v/>
      </c>
      <c r="H13" s="13">
        <f>H11*'02_Assumptions'!H7</f>
        <v/>
      </c>
      <c r="I13" s="13">
        <f>I11*'02_Assumptions'!I7</f>
        <v/>
      </c>
    </row>
    <row r="14">
      <c r="A14" s="10" t="inlineStr">
        <is>
          <t>PPOP - LN trước dự phòng</t>
        </is>
      </c>
      <c r="B14" s="13" t="n">
        <v>25902.896</v>
      </c>
      <c r="C14" s="13" t="n">
        <v>27504.062</v>
      </c>
      <c r="D14" s="13" t="n">
        <v>26809.296</v>
      </c>
      <c r="E14" s="13" t="n">
        <v>31620.662</v>
      </c>
      <c r="F14" s="13" t="n">
        <v>36958.691</v>
      </c>
      <c r="G14" s="13">
        <f>G11-G13</f>
        <v/>
      </c>
      <c r="H14" s="13">
        <f>H11-H13</f>
        <v/>
      </c>
      <c r="I14" s="13">
        <f>I11-I13</f>
        <v/>
      </c>
    </row>
    <row r="15">
      <c r="A15" s="10" t="inlineStr">
        <is>
          <t>PPOP/TOI (%)</t>
        </is>
      </c>
      <c r="B15" s="13" t="n">
        <v>69.86</v>
      </c>
      <c r="C15" s="13" t="n">
        <v>67.87</v>
      </c>
      <c r="D15" s="13" t="n">
        <v>66.92</v>
      </c>
      <c r="E15" s="13" t="n">
        <v>67.29000000000001</v>
      </c>
      <c r="F15" s="13" t="n">
        <v>69.22</v>
      </c>
      <c r="G15" s="10" t="n"/>
      <c r="H15" s="10" t="n"/>
      <c r="I15" s="10" t="n"/>
    </row>
    <row r="16">
      <c r="A16" s="10" t="inlineStr">
        <is>
          <t>Dự phòng tín dụng</t>
        </is>
      </c>
      <c r="B16" s="13" t="n">
        <v>2664.603</v>
      </c>
      <c r="C16" s="13" t="n">
        <v>1936.294</v>
      </c>
      <c r="D16" s="13" t="n">
        <v>3921.068</v>
      </c>
      <c r="E16" s="13" t="n">
        <v>4082.294</v>
      </c>
      <c r="F16" s="13" t="n">
        <v>4420.625</v>
      </c>
      <c r="G16" s="13">
        <f>(('05_Balance_Sheet'!F3+'05_Balance_Sheet'!G3)/2)*'02_Assumptions'!G8</f>
        <v/>
      </c>
      <c r="H16" s="13">
        <f>(('05_Balance_Sheet'!G3+'05_Balance_Sheet'!H3)/2)*'02_Assumptions'!H8</f>
        <v/>
      </c>
      <c r="I16" s="13">
        <f>(('05_Balance_Sheet'!H3+'05_Balance_Sheet'!I3)/2)*'02_Assumptions'!I8</f>
        <v/>
      </c>
    </row>
    <row r="17">
      <c r="A17" s="10" t="inlineStr">
        <is>
          <t>LN trước thuế - PBT</t>
        </is>
      </c>
      <c r="B17" s="13" t="n">
        <v>23238.293</v>
      </c>
      <c r="C17" s="13" t="n">
        <v>25567.768</v>
      </c>
      <c r="D17" s="13" t="n">
        <v>22888.228</v>
      </c>
      <c r="E17" s="13" t="n">
        <v>27538.368</v>
      </c>
      <c r="F17" s="13" t="n">
        <v>32538.066</v>
      </c>
      <c r="G17" s="13">
        <f>G14-G16</f>
        <v/>
      </c>
      <c r="H17" s="13">
        <f>H14-H16</f>
        <v/>
      </c>
      <c r="I17" s="13">
        <f>I14-I16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Thu nhập lãi thuần - NII</t>
        </is>
      </c>
      <c r="B2" s="13" t="n">
        <v>6294.877</v>
      </c>
      <c r="C2" s="13" t="n">
        <v>7272.16</v>
      </c>
      <c r="D2" s="13" t="n">
        <v>7597.203</v>
      </c>
      <c r="E2" s="13" t="n">
        <v>8499.544</v>
      </c>
      <c r="F2" s="13" t="n">
        <v>9477.925999999999</v>
      </c>
      <c r="G2" s="13" t="n">
        <v>8928.675999999999</v>
      </c>
      <c r="H2" s="13" t="n">
        <v>8601.816999999999</v>
      </c>
      <c r="I2" s="13" t="n">
        <v>8305.393</v>
      </c>
      <c r="J2" s="13" t="n">
        <v>9137.075999999999</v>
      </c>
      <c r="K2" s="13" t="n">
        <v>9924.643</v>
      </c>
      <c r="L2" s="13" t="n">
        <v>10787.979</v>
      </c>
      <c r="M2" s="13" t="n">
        <v>9522.053</v>
      </c>
    </row>
    <row r="3">
      <c r="A3" s="10" t="inlineStr">
        <is>
          <t>Thu nhập ngoài lãi</t>
        </is>
      </c>
      <c r="B3" s="13" t="n">
        <v>3030.294</v>
      </c>
      <c r="C3" s="13" t="n">
        <v>3146.333</v>
      </c>
      <c r="D3" s="13" t="n">
        <v>3420.251</v>
      </c>
      <c r="E3" s="13" t="n">
        <v>3762.223</v>
      </c>
      <c r="F3" s="13" t="n">
        <v>3941.77</v>
      </c>
      <c r="G3" s="13" t="n">
        <v>2825.659</v>
      </c>
      <c r="H3" s="13" t="n">
        <v>952.782</v>
      </c>
      <c r="I3" s="13" t="n">
        <v>3305.805</v>
      </c>
      <c r="J3" s="13" t="n">
        <v>3605.955</v>
      </c>
      <c r="K3" s="13" t="n">
        <v>4317.48</v>
      </c>
      <c r="L3" s="13" t="n">
        <v>4006.794</v>
      </c>
      <c r="M3" s="13" t="n">
        <v>4152.221</v>
      </c>
    </row>
    <row r="4">
      <c r="A4" s="10" t="inlineStr">
        <is>
          <t>Tổng thu nhập HĐ - TOI</t>
        </is>
      </c>
      <c r="B4" s="13" t="n">
        <v>9325.171</v>
      </c>
      <c r="C4" s="13" t="n">
        <v>10418.493</v>
      </c>
      <c r="D4" s="13" t="n">
        <v>11017.454</v>
      </c>
      <c r="E4" s="13" t="n">
        <v>12261.767</v>
      </c>
      <c r="F4" s="13" t="n">
        <v>13419.696</v>
      </c>
      <c r="G4" s="13" t="n">
        <v>11754.335</v>
      </c>
      <c r="H4" s="13" t="n">
        <v>9554.599</v>
      </c>
      <c r="I4" s="13" t="n">
        <v>11611.198</v>
      </c>
      <c r="J4" s="13" t="n">
        <v>12743.031</v>
      </c>
      <c r="K4" s="13" t="n">
        <v>14242.123</v>
      </c>
      <c r="L4" s="13" t="n">
        <v>14794.773</v>
      </c>
      <c r="M4" s="13" t="n">
        <v>13674.274</v>
      </c>
    </row>
    <row r="5">
      <c r="A5" s="10" t="inlineStr">
        <is>
          <t>Chi phí hoạt động - OPEX</t>
        </is>
      </c>
      <c r="B5" s="13" t="n">
        <v>2868.89</v>
      </c>
      <c r="C5" s="13" t="n">
        <v>3630.731</v>
      </c>
      <c r="D5" s="13" t="n">
        <v>3610.089</v>
      </c>
      <c r="E5" s="13" t="n">
        <v>3249.136</v>
      </c>
      <c r="F5" s="13" t="n">
        <v>3948.974</v>
      </c>
      <c r="G5" s="13" t="n">
        <v>3430.902</v>
      </c>
      <c r="H5" s="13" t="n">
        <v>4740.723</v>
      </c>
      <c r="I5" s="13" t="n">
        <v>3284.915</v>
      </c>
      <c r="J5" s="13" t="n">
        <v>3830.693</v>
      </c>
      <c r="K5" s="13" t="n">
        <v>4492.851</v>
      </c>
      <c r="L5" s="13" t="n">
        <v>4823.975</v>
      </c>
      <c r="M5" s="13" t="n">
        <v>3869.012</v>
      </c>
    </row>
    <row r="6">
      <c r="A6" s="10" t="inlineStr">
        <is>
          <t>LN trước dự phòng - PPOP</t>
        </is>
      </c>
      <c r="B6" s="13" t="n">
        <v>6456.281</v>
      </c>
      <c r="C6" s="13" t="n">
        <v>6787.762</v>
      </c>
      <c r="D6" s="13" t="n">
        <v>7407.365</v>
      </c>
      <c r="E6" s="13" t="n">
        <v>9012.630999999999</v>
      </c>
      <c r="F6" s="13" t="n">
        <v>9470.722</v>
      </c>
      <c r="G6" s="13" t="n">
        <v>8323.433000000001</v>
      </c>
      <c r="H6" s="13" t="n">
        <v>4813.876</v>
      </c>
      <c r="I6" s="13" t="n">
        <v>8326.282999999999</v>
      </c>
      <c r="J6" s="13" t="n">
        <v>8912.338</v>
      </c>
      <c r="K6" s="13" t="n">
        <v>9749.272000000001</v>
      </c>
      <c r="L6" s="13" t="n">
        <v>9970.798000000001</v>
      </c>
      <c r="M6" s="13" t="n">
        <v>9805.262000000001</v>
      </c>
    </row>
    <row r="7">
      <c r="A7" s="10" t="inlineStr">
        <is>
          <t>Dự phòng tín dụng</t>
        </is>
      </c>
      <c r="B7" s="13" t="n">
        <v>807.271</v>
      </c>
      <c r="C7" s="13" t="n">
        <v>944.972</v>
      </c>
      <c r="D7" s="13" t="n">
        <v>1634.295</v>
      </c>
      <c r="E7" s="13" t="n">
        <v>1210.972</v>
      </c>
      <c r="F7" s="13" t="n">
        <v>1644.213</v>
      </c>
      <c r="G7" s="13" t="n">
        <v>1109.265</v>
      </c>
      <c r="H7" s="13" t="n">
        <v>117.844</v>
      </c>
      <c r="I7" s="13" t="n">
        <v>1090.055</v>
      </c>
      <c r="J7" s="13" t="n">
        <v>1013.75</v>
      </c>
      <c r="K7" s="13" t="n">
        <v>1499.256</v>
      </c>
      <c r="L7" s="13" t="n">
        <v>817.564</v>
      </c>
      <c r="M7" s="13" t="n">
        <v>935.292</v>
      </c>
    </row>
    <row r="8">
      <c r="A8" s="10" t="inlineStr">
        <is>
          <t>LN trước thuế - PBT</t>
        </is>
      </c>
      <c r="B8" s="13" t="n">
        <v>5649.01</v>
      </c>
      <c r="C8" s="13" t="n">
        <v>5842.79</v>
      </c>
      <c r="D8" s="13" t="n">
        <v>5773.07</v>
      </c>
      <c r="E8" s="13" t="n">
        <v>7801.659</v>
      </c>
      <c r="F8" s="13" t="n">
        <v>7826.509</v>
      </c>
      <c r="G8" s="13" t="n">
        <v>7214.168</v>
      </c>
      <c r="H8" s="13" t="n">
        <v>4696.032</v>
      </c>
      <c r="I8" s="13" t="n">
        <v>7236.228</v>
      </c>
      <c r="J8" s="13" t="n">
        <v>7898.588</v>
      </c>
      <c r="K8" s="13" t="n">
        <v>8250.016</v>
      </c>
      <c r="L8" s="13" t="n">
        <v>9153.234</v>
      </c>
      <c r="M8" s="13" t="n">
        <v>8869.969999999999</v>
      </c>
    </row>
    <row r="9">
      <c r="A9" s="10" t="inlineStr">
        <is>
          <t>LN sau thuế - NPAT</t>
        </is>
      </c>
      <c r="B9" s="13" t="n">
        <v>4503.449</v>
      </c>
      <c r="C9" s="13" t="n">
        <v>4668.705</v>
      </c>
      <c r="D9" s="13" t="n">
        <v>4481.615</v>
      </c>
      <c r="E9" s="13" t="n">
        <v>6277.003</v>
      </c>
      <c r="F9" s="13" t="n">
        <v>6269.968</v>
      </c>
      <c r="G9" s="13" t="n">
        <v>5793.022</v>
      </c>
      <c r="H9" s="13" t="n">
        <v>3420.111</v>
      </c>
      <c r="I9" s="13" t="n">
        <v>6013.511</v>
      </c>
      <c r="J9" s="13" t="n">
        <v>6347.61</v>
      </c>
      <c r="K9" s="13" t="n">
        <v>6613.525</v>
      </c>
      <c r="L9" s="13" t="n">
        <v>6979.826</v>
      </c>
      <c r="M9" s="13" t="n">
        <v>6950.28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26698.613</v>
      </c>
      <c r="C2" s="13" t="n">
        <v>30289.775</v>
      </c>
      <c r="D2" s="13" t="n">
        <v>27691.12</v>
      </c>
      <c r="E2" s="13" t="n">
        <v>35507.963</v>
      </c>
      <c r="F2" s="13" t="n">
        <v>38155.091</v>
      </c>
      <c r="G2" s="13">
        <f>'03_Income_Model'!G5</f>
        <v/>
      </c>
      <c r="H2" s="13">
        <f>'03_Income_Model'!H5</f>
        <v/>
      </c>
      <c r="I2" s="13">
        <f>'03_Income_Model'!I5</f>
        <v/>
      </c>
    </row>
    <row r="3">
      <c r="A3" s="10" t="inlineStr">
        <is>
          <t>Tổng thu nhập hoạt động (TOI)</t>
        </is>
      </c>
      <c r="B3" s="13" t="n">
        <v>37076.291</v>
      </c>
      <c r="C3" s="13" t="n">
        <v>40527.191</v>
      </c>
      <c r="D3" s="13" t="n">
        <v>40061.092</v>
      </c>
      <c r="E3" s="13" t="n">
        <v>46990.397</v>
      </c>
      <c r="F3" s="13" t="n">
        <v>53391.125</v>
      </c>
      <c r="G3" s="13">
        <f>SUM(G2+'03_Income_Model'!G10)</f>
        <v/>
      </c>
      <c r="H3" s="13">
        <f>SUM(H2+'03_Income_Model'!H10)</f>
        <v/>
      </c>
      <c r="I3" s="13">
        <f>SUM(I2+'03_Income_Model'!I10)</f>
        <v/>
      </c>
    </row>
    <row r="4">
      <c r="A4" s="10" t="inlineStr">
        <is>
          <t>Lợi nhuận trước dự phòng (PPOP)</t>
        </is>
      </c>
      <c r="B4" s="13" t="n">
        <v>25902.896</v>
      </c>
      <c r="C4" s="13" t="n">
        <v>27504.062</v>
      </c>
      <c r="D4" s="13" t="n">
        <v>26809.296</v>
      </c>
      <c r="E4" s="13" t="n">
        <v>31620.662</v>
      </c>
      <c r="F4" s="13" t="n">
        <v>36958.691</v>
      </c>
      <c r="G4" s="13">
        <f>'03_Income_Model'!G14</f>
        <v/>
      </c>
      <c r="H4" s="13">
        <f>'03_Income_Model'!H14</f>
        <v/>
      </c>
      <c r="I4" s="13">
        <f>'03_Income_Model'!I14</f>
        <v/>
      </c>
    </row>
    <row r="5">
      <c r="A5" s="10" t="inlineStr">
        <is>
          <t>LNST (NPAT)</t>
        </is>
      </c>
      <c r="B5" s="13" t="n">
        <v>18415.382</v>
      </c>
      <c r="C5" s="13" t="n">
        <v>20436.426</v>
      </c>
      <c r="D5" s="13" t="n">
        <v>18190.866</v>
      </c>
      <c r="E5" s="13" t="n">
        <v>21760.104</v>
      </c>
      <c r="F5" s="13" t="n">
        <v>25954.472</v>
      </c>
      <c r="G5" s="13">
        <f>('03_Income_Model'!G17)-MAX(('03_Income_Model'!G17)*'02_Assumptions'!G14,0)</f>
        <v/>
      </c>
      <c r="H5" s="13">
        <f>('03_Income_Model'!H17)-MAX(('03_Income_Model'!H17)*'02_Assumptions'!H14,0)</f>
        <v/>
      </c>
      <c r="I5" s="13">
        <f>('03_Income_Model'!I17)-MAX(('03_Income_Model'!I17)*'02_Assumptions'!I14,0)</f>
        <v/>
      </c>
    </row>
    <row r="6">
      <c r="A6" s="10" t="inlineStr">
        <is>
          <t>EPS (VND)</t>
        </is>
      </c>
      <c r="B6" s="11" t="n">
        <v>2342.138259321307</v>
      </c>
      <c r="C6" s="11" t="n">
        <v>2599.182315001052</v>
      </c>
      <c r="D6" s="11" t="n">
        <v>2313.583461303553</v>
      </c>
      <c r="E6" s="11" t="n">
        <v>2767.53271288158</v>
      </c>
      <c r="F6" s="11" t="n">
        <v>3300.988373289438</v>
      </c>
      <c r="G6" s="11">
        <f>G5*1000000000/'02_Assumptions'!$B$3</f>
        <v/>
      </c>
      <c r="H6" s="11">
        <f>H5*1000000000/'02_Assumptions'!$B$3</f>
        <v/>
      </c>
      <c r="I6" s="11">
        <f>I5*1000000000/'02_Assumptions'!$B$3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Tổng tài sản</t>
        </is>
      </c>
      <c r="B2" s="13" t="n">
        <v>732470.169</v>
      </c>
      <c r="C2" s="13" t="n">
        <v>781278.666</v>
      </c>
      <c r="D2" s="13" t="n">
        <v>849482.012</v>
      </c>
      <c r="E2" s="13" t="n">
        <v>885653.461</v>
      </c>
      <c r="F2" s="13" t="n">
        <v>908306.7</v>
      </c>
      <c r="G2" s="13" t="n">
        <v>927053.345</v>
      </c>
      <c r="H2" s="13" t="n">
        <v>978798.549</v>
      </c>
      <c r="I2" s="13" t="n">
        <v>989215.993</v>
      </c>
      <c r="J2" s="13" t="n">
        <v>1037645.395</v>
      </c>
      <c r="K2" s="13" t="n">
        <v>1129570.458</v>
      </c>
      <c r="L2" s="13" t="n">
        <v>1192344.137</v>
      </c>
      <c r="M2" s="13" t="n">
        <v>1190453.754</v>
      </c>
    </row>
    <row r="3">
      <c r="A3" s="10" t="inlineStr">
        <is>
          <t>Tiền mặt &amp; NHNN</t>
        </is>
      </c>
      <c r="B3" s="13" t="n">
        <v>3112.603</v>
      </c>
      <c r="C3" s="13" t="n">
        <v>3505.804</v>
      </c>
      <c r="D3" s="13" t="n">
        <v>3620.695</v>
      </c>
      <c r="E3" s="13" t="n">
        <v>3665.067</v>
      </c>
      <c r="F3" s="13" t="n">
        <v>3638.265</v>
      </c>
      <c r="G3" s="13" t="n">
        <v>3608.503</v>
      </c>
      <c r="H3" s="13" t="n">
        <v>3384.77</v>
      </c>
      <c r="I3" s="13" t="n">
        <v>3789.947</v>
      </c>
      <c r="J3" s="13" t="n">
        <v>3666.435</v>
      </c>
      <c r="K3" s="13" t="n">
        <v>4045.689</v>
      </c>
      <c r="L3" s="13" t="n">
        <v>4360.821</v>
      </c>
      <c r="M3" s="13" t="n">
        <v>5467.7</v>
      </c>
    </row>
    <row r="4">
      <c r="A4" s="10" t="inlineStr">
        <is>
          <t>TG các TCTD khác</t>
        </is>
      </c>
      <c r="B4" s="13" t="n">
        <v>71193.28200000001</v>
      </c>
      <c r="C4" s="13" t="n">
        <v>69386.02099999999</v>
      </c>
      <c r="D4" s="13" t="n">
        <v>104072.32</v>
      </c>
      <c r="E4" s="13" t="n">
        <v>89074.53999999999</v>
      </c>
      <c r="F4" s="13" t="n">
        <v>88903.726</v>
      </c>
      <c r="G4" s="13" t="n">
        <v>90014.29300000001</v>
      </c>
      <c r="H4" s="13" t="n">
        <v>84590.474</v>
      </c>
      <c r="I4" s="13" t="n">
        <v>81883.42999999999</v>
      </c>
      <c r="J4" s="13" t="n">
        <v>80845.693</v>
      </c>
      <c r="K4" s="13" t="n">
        <v>92999.08900000001</v>
      </c>
      <c r="L4" s="13" t="n">
        <v>114958.312</v>
      </c>
      <c r="M4" s="13" t="n">
        <v>87777.341</v>
      </c>
    </row>
    <row r="5">
      <c r="A5" s="10" t="inlineStr">
        <is>
          <t>Cho vay khách hàng</t>
        </is>
      </c>
      <c r="B5" s="13" t="n">
        <v>460753.044</v>
      </c>
      <c r="C5" s="13" t="n">
        <v>469588.515</v>
      </c>
      <c r="D5" s="13" t="n">
        <v>512513.672</v>
      </c>
      <c r="E5" s="13" t="n">
        <v>552577.121</v>
      </c>
      <c r="F5" s="13" t="n">
        <v>584713.478</v>
      </c>
      <c r="G5" s="13" t="n">
        <v>617924.5699999999</v>
      </c>
      <c r="H5" s="13" t="n">
        <v>623634.2709999999</v>
      </c>
      <c r="I5" s="13" t="n">
        <v>655007.208</v>
      </c>
      <c r="J5" s="13" t="n">
        <v>700801.926</v>
      </c>
      <c r="K5" s="13" t="n">
        <v>756078.003</v>
      </c>
      <c r="L5" s="13" t="n">
        <v>757118.751</v>
      </c>
      <c r="M5" s="13" t="n">
        <v>785612.53</v>
      </c>
    </row>
    <row r="6">
      <c r="A6" s="10" t="inlineStr">
        <is>
          <t>CK đầu tư</t>
        </is>
      </c>
      <c r="B6" s="13" t="n">
        <v>107847.625</v>
      </c>
      <c r="C6" s="13" t="n">
        <v>121243.204</v>
      </c>
      <c r="D6" s="13" t="n">
        <v>104993.945</v>
      </c>
      <c r="E6" s="13" t="n">
        <v>131188.842</v>
      </c>
      <c r="F6" s="13" t="n">
        <v>113677.245</v>
      </c>
      <c r="G6" s="13" t="n">
        <v>102135.236</v>
      </c>
      <c r="H6" s="13" t="n">
        <v>148623.636</v>
      </c>
      <c r="I6" s="13" t="n">
        <v>124378.656</v>
      </c>
      <c r="J6" s="13" t="n">
        <v>146985.597</v>
      </c>
      <c r="K6" s="13" t="n">
        <v>139296.462</v>
      </c>
      <c r="L6" s="13" t="n">
        <v>145526.404</v>
      </c>
      <c r="M6" s="13" t="n">
        <v>141063.971</v>
      </c>
    </row>
    <row r="7">
      <c r="A7" s="10" t="inlineStr">
        <is>
          <t>Tiền gửi khách hàng</t>
        </is>
      </c>
      <c r="B7" s="13" t="n">
        <v>381946.519</v>
      </c>
      <c r="C7" s="13" t="n">
        <v>409044.572</v>
      </c>
      <c r="D7" s="13" t="n">
        <v>454660.779</v>
      </c>
      <c r="E7" s="13" t="n">
        <v>458040.69</v>
      </c>
      <c r="F7" s="13" t="n">
        <v>481860.239</v>
      </c>
      <c r="G7" s="13" t="n">
        <v>494954.017</v>
      </c>
      <c r="H7" s="13" t="n">
        <v>533392.35</v>
      </c>
      <c r="I7" s="13" t="n">
        <v>531583.052</v>
      </c>
      <c r="J7" s="13" t="n">
        <v>545078.843</v>
      </c>
      <c r="K7" s="13" t="n">
        <v>595086.941</v>
      </c>
      <c r="L7" s="13" t="n">
        <v>618911.535</v>
      </c>
      <c r="M7" s="13" t="n">
        <v>599808.238</v>
      </c>
    </row>
    <row r="8">
      <c r="A8" s="10" t="inlineStr">
        <is>
          <t>Vốn chủ sở hữu</t>
        </is>
      </c>
      <c r="B8" s="13" t="n">
        <v>122464.97</v>
      </c>
      <c r="C8" s="13" t="n">
        <v>127129.786</v>
      </c>
      <c r="D8" s="13" t="n">
        <v>131628.065</v>
      </c>
      <c r="E8" s="13" t="n">
        <v>137872.726</v>
      </c>
      <c r="F8" s="13" t="n">
        <v>138551.657</v>
      </c>
      <c r="G8" s="13" t="n">
        <v>144367.982</v>
      </c>
      <c r="H8" s="13" t="n">
        <v>147939.621</v>
      </c>
      <c r="I8" s="13" t="n">
        <v>153952.665</v>
      </c>
      <c r="J8" s="13" t="n">
        <v>161827.229</v>
      </c>
      <c r="K8" s="13" t="n">
        <v>179430.593</v>
      </c>
      <c r="L8" s="13" t="n">
        <v>179501.442</v>
      </c>
      <c r="M8" s="13" t="n">
        <v>186682.773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Tổng tài sản</t>
        </is>
      </c>
      <c r="B2" s="13" t="n">
        <v>568728.95</v>
      </c>
      <c r="C2" s="13" t="n">
        <v>699032.544</v>
      </c>
      <c r="D2" s="13" t="n">
        <v>849482.012</v>
      </c>
      <c r="E2" s="13" t="n">
        <v>978798.549</v>
      </c>
      <c r="F2" s="13" t="n">
        <v>1192344.137</v>
      </c>
      <c r="G2" s="10">
        <f>SUM(G3:G6)+G7-G8-G9+G10</f>
        <v/>
      </c>
      <c r="H2" s="10">
        <f>SUM(H3:H6)+H7-H8-H9+H10</f>
        <v/>
      </c>
      <c r="I2" s="10">
        <f>SUM(I3:I6)+I7-I8-I9+I10</f>
        <v/>
      </c>
    </row>
    <row r="3">
      <c r="A3" s="10" t="inlineStr">
        <is>
          <t>Cho vay khách hàng (Gross)</t>
        </is>
      </c>
      <c r="B3" s="13" t="n">
        <v>343605.581</v>
      </c>
      <c r="C3" s="13" t="n">
        <v>415752.256</v>
      </c>
      <c r="D3" s="13" t="n">
        <v>512513.672</v>
      </c>
      <c r="E3" s="13" t="n">
        <v>623634.2709999999</v>
      </c>
      <c r="F3" s="13" t="n">
        <v>757118.751</v>
      </c>
      <c r="G3" s="13">
        <f>F3*(1+'02_Assumptions'!G4)</f>
        <v/>
      </c>
      <c r="H3" s="13">
        <f>G3*(1+'02_Assumptions'!H4)</f>
        <v/>
      </c>
      <c r="I3" s="13">
        <f>H3*(1+'02_Assumptions'!I4)</f>
        <v/>
      </c>
    </row>
    <row r="4">
      <c r="A4" s="10" t="inlineStr">
        <is>
          <t>Trái phiếu doanh nghiệp</t>
        </is>
      </c>
      <c r="B4" s="13" t="n">
        <v>200</v>
      </c>
      <c r="C4" s="13" t="n">
        <v>0</v>
      </c>
      <c r="D4" s="13" t="n">
        <v>0</v>
      </c>
      <c r="E4" s="13" t="n">
        <v>6900</v>
      </c>
      <c r="F4" s="13" t="n">
        <v>0</v>
      </c>
      <c r="G4" s="10">
        <f>F4*(1+'02_Assumptions'!G4)</f>
        <v/>
      </c>
      <c r="H4" s="10">
        <f>G4*(1+'02_Assumptions'!H4)</f>
        <v/>
      </c>
      <c r="I4" s="10">
        <f>H4*(1+'02_Assumptions'!I4)</f>
        <v/>
      </c>
    </row>
    <row r="5">
      <c r="A5" s="10" t="inlineStr">
        <is>
          <t>Tiền gửi khách hàng</t>
        </is>
      </c>
      <c r="B5" s="13" t="n">
        <v>314752.525</v>
      </c>
      <c r="C5" s="13" t="n">
        <v>358403.785</v>
      </c>
      <c r="D5" s="13" t="n">
        <v>454660.779</v>
      </c>
      <c r="E5" s="13" t="n">
        <v>533392.35</v>
      </c>
      <c r="F5" s="13" t="n">
        <v>618911.535</v>
      </c>
      <c r="G5" s="13">
        <f>F5*(1+'02_Assumptions'!G5)</f>
        <v/>
      </c>
      <c r="H5" s="13">
        <f>G5*(1+'02_Assumptions'!H5)</f>
        <v/>
      </c>
      <c r="I5" s="13">
        <f>H5*(1+'02_Assumptions'!I5)</f>
        <v/>
      </c>
    </row>
    <row r="6">
      <c r="A6" s="10" t="inlineStr">
        <is>
          <t>Giấy tờ có giá phát hành (Bonds)</t>
        </is>
      </c>
      <c r="B6" s="13" t="n">
        <v>33679.824</v>
      </c>
      <c r="C6" s="13" t="n">
        <v>34006.619</v>
      </c>
      <c r="D6" s="13" t="n">
        <v>84703.3</v>
      </c>
      <c r="E6" s="13" t="n">
        <v>140422.321</v>
      </c>
      <c r="F6" s="13" t="n">
        <v>215330.128</v>
      </c>
      <c r="G6" s="10">
        <f>F6*1.02</f>
        <v/>
      </c>
      <c r="H6" s="10">
        <f>G6*1.02</f>
        <v/>
      </c>
      <c r="I6" s="10">
        <f>H6*1.02</f>
        <v/>
      </c>
    </row>
    <row r="7">
      <c r="A7" s="10" t="inlineStr">
        <is>
          <t>Tiền gửi Kho bạc Nhà nước</t>
        </is>
      </c>
      <c r="B7" s="13" t="n">
        <v>34711.477</v>
      </c>
      <c r="C7" s="13" t="n">
        <v>70525.05100000001</v>
      </c>
      <c r="D7" s="13" t="n">
        <v>80543.55499999999</v>
      </c>
      <c r="E7" s="13" t="n">
        <v>39512.09600000001</v>
      </c>
      <c r="F7" s="13" t="n">
        <v>72324.96399999999</v>
      </c>
      <c r="G7" s="10">
        <f>F7*(1+'02_Assumptions'!G5)</f>
        <v/>
      </c>
      <c r="H7" s="10">
        <f>G7*(1+'02_Assumptions'!H5)</f>
        <v/>
      </c>
      <c r="I7" s="10">
        <f>H7*(1+'02_Assumptions'!I5)</f>
        <v/>
      </c>
    </row>
    <row r="8">
      <c r="A8" s="10" t="inlineStr">
        <is>
          <t>Tiền gửi ký quỹ (trừ đi)</t>
        </is>
      </c>
      <c r="B8" s="13" t="n">
        <v>11956.065</v>
      </c>
      <c r="C8" s="13" t="n">
        <v>13303.703</v>
      </c>
      <c r="D8" s="13" t="n">
        <v>13948.273</v>
      </c>
      <c r="E8" s="13" t="n">
        <v>20192.422</v>
      </c>
      <c r="F8" s="13" t="n">
        <v>23104.566</v>
      </c>
      <c r="G8" s="10">
        <f>F8*(1+'02_Assumptions'!G5)</f>
        <v/>
      </c>
      <c r="H8" s="10">
        <f>G8*(1+'02_Assumptions'!H5)</f>
        <v/>
      </c>
      <c r="I8" s="10">
        <f>H8*(1+'02_Assumptions'!I5)</f>
        <v/>
      </c>
    </row>
    <row r="9">
      <c r="A9" s="10" t="inlineStr">
        <is>
          <t>Vốn chuyên dùng (trừ đi)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0">
        <f>F9*1.02</f>
        <v/>
      </c>
      <c r="H9" s="10">
        <f>G9*1.02</f>
        <v/>
      </c>
      <c r="I9" s="10">
        <f>H9*1.02</f>
        <v/>
      </c>
    </row>
    <row r="10">
      <c r="A10" s="10" t="inlineStr">
        <is>
          <t>Vốn chủ sở hữu (VCSH)</t>
        </is>
      </c>
      <c r="B10" s="13" t="n">
        <v>93041.47199999999</v>
      </c>
      <c r="C10" s="13" t="n">
        <v>113424.966</v>
      </c>
      <c r="D10" s="13" t="n">
        <v>131616.065</v>
      </c>
      <c r="E10" s="13" t="n">
        <v>147939.621</v>
      </c>
      <c r="F10" s="13" t="n">
        <v>179501.442</v>
      </c>
      <c r="G10" s="10">
        <f>F10+'04_PnL'!G5*0.7</f>
        <v/>
      </c>
      <c r="H10" s="10">
        <f>G10+'04_PnL'!H5*0.7</f>
        <v/>
      </c>
      <c r="I10" s="10">
        <f>H10+'04_PnL'!I5*0.7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NIM — năm hóa (%)</t>
        </is>
      </c>
      <c r="B2" s="10">
        <f>('04_PnL_Quarterly'!B2*4/'05_Balance_Sheet_Quarterly'!B4)*100</f>
        <v/>
      </c>
      <c r="C2" s="10">
        <f>('04_PnL_Quarterly'!C2*4/'05_Balance_Sheet_Quarterly'!C4)*100</f>
        <v/>
      </c>
      <c r="D2" s="10">
        <f>('04_PnL_Quarterly'!D2*4/'05_Balance_Sheet_Quarterly'!D4)*100</f>
        <v/>
      </c>
      <c r="E2" s="10">
        <f>('04_PnL_Quarterly'!E2*4/'05_Balance_Sheet_Quarterly'!E4)*100</f>
        <v/>
      </c>
      <c r="F2" s="10">
        <f>('04_PnL_Quarterly'!F2*4/'05_Balance_Sheet_Quarterly'!F4)*100</f>
        <v/>
      </c>
      <c r="G2" s="10">
        <f>('04_PnL_Quarterly'!G2*4/'05_Balance_Sheet_Quarterly'!G4)*100</f>
        <v/>
      </c>
      <c r="H2" s="10">
        <f>('04_PnL_Quarterly'!H2*4/'05_Balance_Sheet_Quarterly'!H4)*100</f>
        <v/>
      </c>
      <c r="I2" s="10">
        <f>('04_PnL_Quarterly'!I2*4/'05_Balance_Sheet_Quarterly'!I4)*100</f>
        <v/>
      </c>
      <c r="J2" s="10">
        <f>('04_PnL_Quarterly'!J2*4/'05_Balance_Sheet_Quarterly'!J4)*100</f>
        <v/>
      </c>
      <c r="K2" s="10">
        <f>('04_PnL_Quarterly'!K2*4/'05_Balance_Sheet_Quarterly'!K4)*100</f>
        <v/>
      </c>
      <c r="L2" s="10">
        <f>('04_PnL_Quarterly'!L2*4/'05_Balance_Sheet_Quarterly'!L4)*100</f>
        <v/>
      </c>
      <c r="M2" s="10">
        <f>('04_PnL_Quarterly'!M2*4/'05_Balance_Sheet_Quarterly'!M4)*100</f>
        <v/>
      </c>
    </row>
    <row r="3">
      <c r="A3" s="10" t="inlineStr">
        <is>
          <t>ROE — năm hóa (%)</t>
        </is>
      </c>
      <c r="B3" s="10">
        <f>('04_PnL_Quarterly'!B8*4/'05_Balance_Sheet_Quarterly'!B7)*100</f>
        <v/>
      </c>
      <c r="C3" s="10">
        <f>('04_PnL_Quarterly'!C8*4/'05_Balance_Sheet_Quarterly'!C7)*100</f>
        <v/>
      </c>
      <c r="D3" s="10">
        <f>('04_PnL_Quarterly'!D8*4/'05_Balance_Sheet_Quarterly'!D7)*100</f>
        <v/>
      </c>
      <c r="E3" s="10">
        <f>('04_PnL_Quarterly'!E8*4/'05_Balance_Sheet_Quarterly'!E7)*100</f>
        <v/>
      </c>
      <c r="F3" s="10">
        <f>('04_PnL_Quarterly'!F8*4/'05_Balance_Sheet_Quarterly'!F7)*100</f>
        <v/>
      </c>
      <c r="G3" s="10">
        <f>('04_PnL_Quarterly'!G8*4/'05_Balance_Sheet_Quarterly'!G7)*100</f>
        <v/>
      </c>
      <c r="H3" s="10">
        <f>('04_PnL_Quarterly'!H8*4/'05_Balance_Sheet_Quarterly'!H7)*100</f>
        <v/>
      </c>
      <c r="I3" s="10">
        <f>('04_PnL_Quarterly'!I8*4/'05_Balance_Sheet_Quarterly'!I7)*100</f>
        <v/>
      </c>
      <c r="J3" s="10">
        <f>('04_PnL_Quarterly'!J8*4/'05_Balance_Sheet_Quarterly'!J7)*100</f>
        <v/>
      </c>
      <c r="K3" s="10">
        <f>('04_PnL_Quarterly'!K8*4/'05_Balance_Sheet_Quarterly'!K7)*100</f>
        <v/>
      </c>
      <c r="L3" s="10">
        <f>('04_PnL_Quarterly'!L8*4/'05_Balance_Sheet_Quarterly'!L7)*100</f>
        <v/>
      </c>
      <c r="M3" s="10">
        <f>('04_PnL_Quarterly'!M8*4/'05_Balance_Sheet_Quarterly'!M7)*100</f>
        <v/>
      </c>
    </row>
    <row r="4">
      <c r="A4" s="10" t="inlineStr">
        <is>
          <t>LDR (%)</t>
        </is>
      </c>
      <c r="B4" s="10">
        <f>('05_Balance_Sheet_Quarterly'!B4/'05_Balance_Sheet_Quarterly'!B6)*100</f>
        <v/>
      </c>
      <c r="C4" s="10">
        <f>('05_Balance_Sheet_Quarterly'!C4/'05_Balance_Sheet_Quarterly'!C6)*100</f>
        <v/>
      </c>
      <c r="D4" s="10">
        <f>('05_Balance_Sheet_Quarterly'!D4/'05_Balance_Sheet_Quarterly'!D6)*100</f>
        <v/>
      </c>
      <c r="E4" s="10">
        <f>('05_Balance_Sheet_Quarterly'!E4/'05_Balance_Sheet_Quarterly'!E6)*100</f>
        <v/>
      </c>
      <c r="F4" s="10">
        <f>('05_Balance_Sheet_Quarterly'!F4/'05_Balance_Sheet_Quarterly'!F6)*100</f>
        <v/>
      </c>
      <c r="G4" s="10">
        <f>('05_Balance_Sheet_Quarterly'!G4/'05_Balance_Sheet_Quarterly'!G6)*100</f>
        <v/>
      </c>
      <c r="H4" s="10">
        <f>('05_Balance_Sheet_Quarterly'!H4/'05_Balance_Sheet_Quarterly'!H6)*100</f>
        <v/>
      </c>
      <c r="I4" s="10">
        <f>('05_Balance_Sheet_Quarterly'!I4/'05_Balance_Sheet_Quarterly'!I6)*100</f>
        <v/>
      </c>
      <c r="J4" s="10">
        <f>('05_Balance_Sheet_Quarterly'!J4/'05_Balance_Sheet_Quarterly'!J6)*100</f>
        <v/>
      </c>
      <c r="K4" s="10">
        <f>('05_Balance_Sheet_Quarterly'!K4/'05_Balance_Sheet_Quarterly'!K6)*100</f>
        <v/>
      </c>
      <c r="L4" s="10">
        <f>('05_Balance_Sheet_Quarterly'!L4/'05_Balance_Sheet_Quarterly'!L6)*100</f>
        <v/>
      </c>
      <c r="M4" s="10">
        <f>('05_Balance_Sheet_Quarterly'!M4/'05_Balance_Sheet_Quarterly'!M6)*100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NIM (%)</t>
        </is>
      </c>
      <c r="B2" s="12" t="n">
        <v>0.0513</v>
      </c>
      <c r="C2" s="12" t="n">
        <v>0.0532</v>
      </c>
      <c r="D2" s="12" t="n">
        <v>0.0404</v>
      </c>
      <c r="E2" s="12" t="n">
        <v>0.0426</v>
      </c>
      <c r="F2" s="12" t="n">
        <v>0.0378</v>
      </c>
      <c r="G2" s="12" t="n">
        <v>0.0397</v>
      </c>
      <c r="H2" s="12" t="n">
        <v>0.0408</v>
      </c>
      <c r="I2" s="12" t="n">
        <v>0.0416</v>
      </c>
    </row>
    <row r="3">
      <c r="A3" s="10" t="inlineStr">
        <is>
          <t>CIR (%)</t>
        </is>
      </c>
      <c r="B3" s="12" t="n">
        <v>0.3014</v>
      </c>
      <c r="C3" s="12" t="n">
        <v>0.3213</v>
      </c>
      <c r="D3" s="12" t="n">
        <v>0.3308</v>
      </c>
      <c r="E3" s="12" t="n">
        <v>0.3271</v>
      </c>
      <c r="F3" s="12" t="n">
        <v>0.3078</v>
      </c>
      <c r="G3" s="12" t="n">
        <v>0.33</v>
      </c>
      <c r="H3" s="12" t="n">
        <v>0.32</v>
      </c>
      <c r="I3" s="12" t="n">
        <v>0.32</v>
      </c>
    </row>
    <row r="4">
      <c r="A4" s="10" t="inlineStr">
        <is>
          <t>ROE (%)</t>
        </is>
      </c>
      <c r="B4" s="12" t="n">
        <v>0.1979</v>
      </c>
      <c r="C4" s="12" t="n">
        <v>0.198</v>
      </c>
      <c r="D4" s="12" t="n">
        <v>0.1485</v>
      </c>
      <c r="E4" s="12" t="n">
        <v>0.1557</v>
      </c>
      <c r="F4" s="12" t="n">
        <v>0.1585</v>
      </c>
      <c r="G4" s="12">
        <f>'04_PnL'!G5/AVERAGE('05_Balance_Sheet'!F10,'05_Balance_Sheet'!G10)</f>
        <v/>
      </c>
      <c r="H4" s="12">
        <f>'04_PnL'!H5/AVERAGE('05_Balance_Sheet'!G10,'05_Balance_Sheet'!H10)</f>
        <v/>
      </c>
      <c r="I4" s="12">
        <f>'04_PnL'!I5/AVERAGE('05_Balance_Sheet'!H10,'05_Balance_Sheet'!I10)</f>
        <v/>
      </c>
    </row>
    <row r="5">
      <c r="A5" s="10" t="inlineStr">
        <is>
          <t>ROA (%)</t>
        </is>
      </c>
      <c r="B5" s="12" t="n">
        <v>0.0324</v>
      </c>
      <c r="C5" s="12" t="n">
        <v>0.0292</v>
      </c>
      <c r="D5" s="12" t="n">
        <v>0.0214</v>
      </c>
      <c r="E5" s="12" t="n">
        <v>0.0222</v>
      </c>
      <c r="F5" s="12" t="n">
        <v>0.0218</v>
      </c>
      <c r="G5" s="12">
        <f>'04_PnL'!G5/AVERAGE('05_Balance_Sheet'!F2,'05_Balance_Sheet'!G2)</f>
        <v/>
      </c>
      <c r="H5" s="12">
        <f>'04_PnL'!H5/AVERAGE('05_Balance_Sheet'!G2,'05_Balance_Sheet'!H2)</f>
        <v/>
      </c>
      <c r="I5" s="12">
        <f>'04_PnL'!I5/AVERAGE('05_Balance_Sheet'!H2,'05_Balance_Sheet'!I2)</f>
        <v/>
      </c>
    </row>
    <row r="6">
      <c r="A6" s="10" t="inlineStr">
        <is>
          <t>LDR — điều chỉnh (%)</t>
        </is>
      </c>
      <c r="B6" s="12">
        <f>SUM('05_Balance_Sheet'!B3:B4)/(SUM('05_Balance_Sheet'!B5:B6)+'05_Balance_Sheet'!B7*0.0-'05_Balance_Sheet'!B8-'05_Balance_Sheet'!B9)</f>
        <v/>
      </c>
      <c r="C6" s="12">
        <f>SUM('05_Balance_Sheet'!C3:C4)/(SUM('05_Balance_Sheet'!C5:C6)+'05_Balance_Sheet'!C7*0.0-'05_Balance_Sheet'!C8-'05_Balance_Sheet'!C9)</f>
        <v/>
      </c>
      <c r="D6" s="12">
        <f>SUM('05_Balance_Sheet'!D3:D4)/(SUM('05_Balance_Sheet'!D5:D6)+'05_Balance_Sheet'!D7*0.35-'05_Balance_Sheet'!D8-'05_Balance_Sheet'!D9)</f>
        <v/>
      </c>
      <c r="E6" s="12">
        <f>SUM('05_Balance_Sheet'!E3:E4)/(SUM('05_Balance_Sheet'!E5:E6)+'05_Balance_Sheet'!E7*0.5-'05_Balance_Sheet'!E8-'05_Balance_Sheet'!E9)</f>
        <v/>
      </c>
      <c r="F6" s="12">
        <f>SUM('05_Balance_Sheet'!F3:F4)/(SUM('05_Balance_Sheet'!F5:F6)+'05_Balance_Sheet'!F7*0.6-'05_Balance_Sheet'!F8-'05_Balance_Sheet'!F9)</f>
        <v/>
      </c>
      <c r="G6" s="12">
        <f>SUM('05_Balance_Sheet'!G3:G4)/(SUM('05_Balance_Sheet'!G5:G6)+'05_Balance_Sheet'!G7*0.8-'05_Balance_Sheet'!G8-'05_Balance_Sheet'!G9)</f>
        <v/>
      </c>
      <c r="H6" s="12">
        <f>SUM('05_Balance_Sheet'!H3:H4)/(SUM('05_Balance_Sheet'!H5:H6)+'05_Balance_Sheet'!H7*0.8-'05_Balance_Sheet'!H8-'05_Balance_Sheet'!H9)</f>
        <v/>
      </c>
      <c r="I6" s="12">
        <f>SUM('05_Balance_Sheet'!I3:I4)/(SUM('05_Balance_Sheet'!I5:I6)+'05_Balance_Sheet'!I7*0.8-'05_Balance_Sheet'!I8-'05_Balance_Sheet'!I9)</f>
        <v/>
      </c>
    </row>
    <row r="7">
      <c r="A7" s="10" t="inlineStr">
        <is>
          <t>NPL (%)</t>
        </is>
      </c>
      <c r="B7" s="12" t="n">
        <v>0.0067</v>
      </c>
      <c r="C7" s="12" t="n">
        <v>0.0073</v>
      </c>
      <c r="D7" s="12" t="n">
        <v>0.0117</v>
      </c>
      <c r="E7" s="12" t="n">
        <v>0.0114</v>
      </c>
      <c r="F7" s="12" t="n">
        <v>0.0108</v>
      </c>
      <c r="G7" s="12" t="n">
        <v>0.0103</v>
      </c>
      <c r="H7" s="12" t="n">
        <v>0.0097</v>
      </c>
      <c r="I7" s="12" t="n">
        <v>0.0092</v>
      </c>
    </row>
    <row r="8">
      <c r="A8" s="10" t="inlineStr">
        <is>
          <t>CoC — Credit Cost (%)</t>
        </is>
      </c>
      <c r="B8" s="12" t="n">
        <v>0.0078</v>
      </c>
      <c r="C8" s="12" t="n">
        <v>0.0051</v>
      </c>
      <c r="D8" s="12" t="n">
        <v>0.008399999999999999</v>
      </c>
      <c r="E8" s="12" t="n">
        <v>0.0072</v>
      </c>
      <c r="F8" s="12" t="n">
        <v>0.0064</v>
      </c>
      <c r="G8" s="12" t="n">
        <v>0.0061</v>
      </c>
      <c r="H8" s="12" t="n">
        <v>0.0058</v>
      </c>
      <c r="I8" s="12" t="n">
        <v>0.0054</v>
      </c>
    </row>
    <row r="9">
      <c r="A9" s="10" t="inlineStr">
        <is>
          <t>CASA ratio (%)</t>
        </is>
      </c>
      <c r="B9" s="12" t="n">
        <v>0.4698</v>
      </c>
      <c r="C9" s="12" t="n">
        <v>0.3434</v>
      </c>
      <c r="D9" s="12" t="n">
        <v>0.38</v>
      </c>
      <c r="E9" s="12" t="n">
        <v>0.3594</v>
      </c>
      <c r="F9" s="12" t="n">
        <v>0.3448</v>
      </c>
      <c r="G9" s="12" t="n">
        <v>0.3548</v>
      </c>
      <c r="H9" s="12" t="n">
        <v>0.3648</v>
      </c>
      <c r="I9" s="12" t="n">
        <v>0.3748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2">
        <f>'00_COE'!B9</f>
        <v/>
      </c>
    </row>
    <row r="3">
      <c r="A3" t="inlineStr">
        <is>
          <t>Tăng trưởng dài hạn (g)</t>
        </is>
      </c>
      <c r="B3" s="2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4">
        <f>'05_Balance_Sheet'!F10*1000000000/'02_Assumptions'!$B$3</f>
        <v/>
      </c>
    </row>
    <row r="7">
      <c r="A7" t="inlineStr">
        <is>
          <t>PV của RI 3 năm (VND)</t>
        </is>
      </c>
      <c r="B7" s="14">
        <f>SUM(B31:D31)</f>
        <v/>
      </c>
    </row>
    <row r="8">
      <c r="A8" t="inlineStr">
        <is>
          <t>PV của Continuing Value (VND)</t>
        </is>
      </c>
      <c r="B8" s="14">
        <f>((D29*(1+B3)/(B2-B3))*D30)*0.5</f>
        <v/>
      </c>
    </row>
    <row r="9">
      <c r="A9" s="1" t="inlineStr">
        <is>
          <t>GIÁ TRỊ RI (VND)</t>
        </is>
      </c>
      <c r="B9" s="7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15">
        <f>'02_Assumptions'!B2/B6</f>
        <v/>
      </c>
    </row>
    <row r="13">
      <c r="A13" t="inlineStr">
        <is>
          <t>P/B hấp dẫn (x) — MUA</t>
        </is>
      </c>
      <c r="B13" s="16">
        <f>PERCENTILE('13_PE_PB_History'!C21:C32, 0.25)</f>
        <v/>
      </c>
      <c r="C13" s="17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15">
        <f>MEDIAN('13_PE_PB_History'!C21:C32)</f>
        <v/>
      </c>
      <c r="C14" s="18" t="inlineStr">
        <is>
          <t>Median PB toàn bộ lịch sử</t>
        </is>
      </c>
    </row>
    <row r="15">
      <c r="A15" t="inlineStr">
        <is>
          <t>P/B chốt lời (x) — BÁN / CHỐT LỜI</t>
        </is>
      </c>
      <c r="B15" s="19">
        <f>PERCENTILE('13_PE_PB_History'!C21:C32, 0.75)</f>
        <v/>
      </c>
      <c r="C15" s="20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4">
        <f>B6+B26</f>
        <v/>
      </c>
    </row>
    <row r="17">
      <c r="A17" s="1" t="inlineStr">
        <is>
          <t>GIÁ TRỊ P/B (VND)</t>
        </is>
      </c>
      <c r="B17" s="7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50% RI + 50% P/B</t>
        </is>
      </c>
    </row>
    <row r="21">
      <c r="A21" s="1" t="inlineStr">
        <is>
          <t>Target Price (VND)</t>
        </is>
      </c>
      <c r="B21" s="7">
        <f>B9*0.5+B17*0.5</f>
        <v/>
      </c>
    </row>
    <row r="22">
      <c r="A22" t="inlineStr">
        <is>
          <t>Giá hiện tại (VND)</t>
        </is>
      </c>
      <c r="B22" s="14">
        <f>'02_Assumptions'!B2</f>
        <v/>
      </c>
    </row>
    <row r="23">
      <c r="A23" s="1" t="inlineStr">
        <is>
          <t>UPSIDE (%)</t>
        </is>
      </c>
      <c r="B23" s="8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4">
        <f>'04_PnL'!G6</f>
        <v/>
      </c>
      <c r="C26" s="14">
        <f>'04_PnL'!H6</f>
        <v/>
      </c>
      <c r="D26" s="14">
        <f>'04_PnL'!I6</f>
        <v/>
      </c>
    </row>
    <row r="27">
      <c r="A27" t="inlineStr">
        <is>
          <t>BVPS đầu kỳ (VND)</t>
        </is>
      </c>
      <c r="B27" s="14">
        <f>B6</f>
        <v/>
      </c>
      <c r="C27" s="14">
        <f>B27+B26</f>
        <v/>
      </c>
      <c r="D27" s="14">
        <f>C27+C26</f>
        <v/>
      </c>
    </row>
    <row r="28">
      <c r="A28" t="inlineStr">
        <is>
          <t>Capital Charge (VND)</t>
        </is>
      </c>
      <c r="B28" s="14">
        <f>B27*'07_Valuation'!$B$2</f>
        <v/>
      </c>
      <c r="C28" s="14">
        <f>C27*'07_Valuation'!$B$2</f>
        <v/>
      </c>
      <c r="D28" s="14">
        <f>D27*'07_Valuation'!$B$2</f>
        <v/>
      </c>
    </row>
    <row r="29">
      <c r="A29" t="inlineStr">
        <is>
          <t>Residual Income (VND)</t>
        </is>
      </c>
      <c r="B29" s="14">
        <f>B26-B28</f>
        <v/>
      </c>
      <c r="C29" s="14">
        <f>C26-C28</f>
        <v/>
      </c>
      <c r="D29" s="14">
        <f>D26-D28</f>
        <v/>
      </c>
    </row>
    <row r="30">
      <c r="A30" t="inlineStr">
        <is>
          <t>Discount Factor</t>
        </is>
      </c>
      <c r="B30" s="21">
        <f>1/(1+'07_Valuation'!$B$2)^1</f>
        <v/>
      </c>
      <c r="C30" s="21">
        <f>1/(1+'07_Valuation'!$B$2)^2</f>
        <v/>
      </c>
      <c r="D30" s="21">
        <f>1/(1+'07_Valuation'!$B$2)^3</f>
        <v/>
      </c>
    </row>
    <row r="31">
      <c r="A31" t="inlineStr">
        <is>
          <t>PV of RI</t>
        </is>
      </c>
      <c r="B31" s="14">
        <f>B29*B30</f>
        <v/>
      </c>
      <c r="C31" s="14">
        <f>C29*C30</f>
        <v/>
      </c>
      <c r="D31" s="14">
        <f>D29*D30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2" t="n">
        <v>0.01</v>
      </c>
      <c r="C2" s="22" t="n">
        <v>0.02</v>
      </c>
      <c r="D2" s="22" t="n">
        <v>0.03</v>
      </c>
      <c r="E2" s="22" t="n">
        <v>0.04</v>
      </c>
      <c r="F2" s="22" t="n">
        <v>0.05</v>
      </c>
    </row>
    <row r="3">
      <c r="A3" s="23" t="n">
        <v>0.08</v>
      </c>
      <c r="B3" s="14" t="n">
        <v>31535.18797399649</v>
      </c>
      <c r="C3" s="14" t="n">
        <v>32641.84910125206</v>
      </c>
      <c r="D3" s="14" t="n">
        <v>34191.17467940987</v>
      </c>
      <c r="E3" s="14" t="n">
        <v>36515.16304664659</v>
      </c>
      <c r="F3" s="14" t="n">
        <v>40388.47699204111</v>
      </c>
    </row>
    <row r="4">
      <c r="A4" s="23" t="n">
        <v>0.1</v>
      </c>
      <c r="B4" s="14" t="n">
        <v>29805.19904967938</v>
      </c>
      <c r="C4" s="14" t="n">
        <v>30427.49014966673</v>
      </c>
      <c r="D4" s="14" t="n">
        <v>31227.57870679332</v>
      </c>
      <c r="E4" s="14" t="n">
        <v>32294.36344962878</v>
      </c>
      <c r="F4" s="14" t="n">
        <v>33787.86208959842</v>
      </c>
    </row>
    <row r="5">
      <c r="A5" s="23" t="n">
        <v>0.12</v>
      </c>
      <c r="B5" s="14" t="n">
        <v>28691.30675930642</v>
      </c>
      <c r="C5" s="24" t="n">
        <v>29084.20739003823</v>
      </c>
      <c r="D5" s="24" t="n">
        <v>29564.41927204377</v>
      </c>
      <c r="E5" s="14" t="n">
        <v>30164.6841245507</v>
      </c>
      <c r="F5" s="14" t="n">
        <v>30936.45322063104</v>
      </c>
    </row>
    <row r="6">
      <c r="A6" s="23" t="n">
        <v>0.14</v>
      </c>
      <c r="B6" s="14" t="n">
        <v>27910.1467059452</v>
      </c>
      <c r="C6" s="24" t="n">
        <v>28177.55640513715</v>
      </c>
      <c r="D6" s="24" t="n">
        <v>28493.58604963673</v>
      </c>
      <c r="E6" s="14" t="n">
        <v>28872.82162303623</v>
      </c>
      <c r="F6" s="14" t="n">
        <v>29336.33176830227</v>
      </c>
    </row>
    <row r="7">
      <c r="A7" s="23" t="n">
        <v>0.16</v>
      </c>
      <c r="B7" s="14" t="n">
        <v>27329.3931569062</v>
      </c>
      <c r="C7" s="14" t="n">
        <v>27521.24950928891</v>
      </c>
      <c r="D7" s="14" t="n">
        <v>27742.62222357666</v>
      </c>
      <c r="E7" s="14" t="n">
        <v>28000.8903902457</v>
      </c>
      <c r="F7" s="14" t="n">
        <v>28306.11640540002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Nhân tố</t>
        </is>
      </c>
      <c r="B1" s="9" t="inlineStr">
        <is>
          <t>Nội dung</t>
        </is>
      </c>
      <c r="C1" s="9" t="inlineStr">
        <is>
          <t>Tác động</t>
        </is>
      </c>
      <c r="D1" s="9" t="inlineStr">
        <is>
          <t>Mức độ</t>
        </is>
      </c>
    </row>
    <row r="2">
      <c r="A2" s="10" t="inlineStr">
        <is>
          <t>Chính trị (Political)</t>
        </is>
      </c>
      <c r="B2" s="10" t="inlineStr">
        <is>
          <t>Môi trường chính trị ổn định, NHNN điều hành linh hoạt hỗ trợ tăng trưởng tín dụng.</t>
        </is>
      </c>
      <c r="C2" s="10" t="inlineStr">
        <is>
          <t>Tích cực</t>
        </is>
      </c>
      <c r="D2" s="10" t="inlineStr">
        <is>
          <t>Cao</t>
        </is>
      </c>
    </row>
    <row r="3">
      <c r="A3" s="10" t="inlineStr">
        <is>
          <t>Kinh tế (Economic)</t>
        </is>
      </c>
      <c r="B3" s="10" t="inlineStr">
        <is>
          <t>GDP tăng trưởng 6–7%, nhu cầu vốn sản xuất–tiêu dùng cao, lãi suất huy động giảm dần.</t>
        </is>
      </c>
      <c r="C3" s="10" t="inlineStr">
        <is>
          <t>Tích cực</t>
        </is>
      </c>
      <c r="D3" s="10" t="inlineStr">
        <is>
          <t>Cao</t>
        </is>
      </c>
    </row>
    <row r="4">
      <c r="A4" s="10" t="inlineStr">
        <is>
          <t>Xã hội (Social)</t>
        </is>
      </c>
      <c r="B4" s="10" t="inlineStr">
        <is>
          <t>Tầng lớp trung lưu mở rộng, thanh toán không tiền mặt tăng mạnh thúc đẩy CASA và phí dịch vụ.</t>
        </is>
      </c>
      <c r="C4" s="10" t="inlineStr">
        <is>
          <t>Tích cực</t>
        </is>
      </c>
      <c r="D4" s="10" t="inlineStr">
        <is>
          <t>Trung bình</t>
        </is>
      </c>
    </row>
    <row r="5">
      <c r="A5" s="10" t="inlineStr">
        <is>
          <t>Công nghệ (Technological)</t>
        </is>
      </c>
      <c r="B5" s="10" t="inlineStr">
        <is>
          <t>Chuyển đổi số banking (mobile/open banking) giảm CIR, tăng CASA và cross-sell sản phẩm.</t>
        </is>
      </c>
      <c r="C5" s="10" t="inlineStr">
        <is>
          <t>Tích cực</t>
        </is>
      </c>
      <c r="D5" s="10" t="inlineStr">
        <is>
          <t>Cao</t>
        </is>
      </c>
    </row>
    <row r="6">
      <c r="A6" s="10" t="inlineStr">
        <is>
          <t>Pháp lý (Legal)</t>
        </is>
      </c>
      <c r="B6" s="10" t="inlineStr">
        <is>
          <t>Thông tư 06/2024 siết TPDN, Basel II/III nâng chuẩn CAR — cần theo dõi áp lực pháp lý.</t>
        </is>
      </c>
      <c r="C6" s="10" t="inlineStr">
        <is>
          <t>Trung tính</t>
        </is>
      </c>
      <c r="D6" s="10" t="inlineStr">
        <is>
          <t>Trung bình</t>
        </is>
      </c>
    </row>
    <row r="7">
      <c r="A7" s="10" t="inlineStr">
        <is>
          <t>Môi trường (Environmental)</t>
        </is>
      </c>
      <c r="B7" s="10" t="inlineStr">
        <is>
          <t>ESG lending ngày càng được yêu cầu; rủi ro tín dụng BĐS liên quan biến đổi khí hậu tăng.</t>
        </is>
      </c>
      <c r="C7" s="10" t="inlineStr">
        <is>
          <t>Tiêu cực</t>
        </is>
      </c>
      <c r="D7" s="10" t="inlineStr">
        <is>
          <t>Thấp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số</t>
        </is>
      </c>
      <c r="B1" s="9" t="inlineStr">
        <is>
          <t>Ngưỡng tích cực</t>
        </is>
      </c>
      <c r="C1" s="9" t="inlineStr">
        <is>
          <t>Giá trị hiện tại</t>
        </is>
      </c>
      <c r="D1" s="9" t="inlineStr">
        <is>
          <t>Trạng thái</t>
        </is>
      </c>
    </row>
    <row r="2">
      <c r="A2" s="10" t="inlineStr">
        <is>
          <t>NPL ratio (%)</t>
        </is>
      </c>
      <c r="B2" s="10" t="inlineStr">
        <is>
          <t>&lt; 1.5%</t>
        </is>
      </c>
      <c r="C2" s="10" t="inlineStr">
        <is>
          <t>1.08%</t>
        </is>
      </c>
      <c r="D2" s="10" t="inlineStr">
        <is>
          <t>Đạt</t>
        </is>
      </c>
    </row>
    <row r="3">
      <c r="A3" s="10" t="inlineStr">
        <is>
          <t>CASA ratio (%)</t>
        </is>
      </c>
      <c r="B3" s="10" t="inlineStr">
        <is>
          <t>&gt; 20%</t>
        </is>
      </c>
      <c r="C3" s="10" t="inlineStr">
        <is>
          <t>34.48%</t>
        </is>
      </c>
      <c r="D3" s="10" t="inlineStr">
        <is>
          <t>Tốt</t>
        </is>
      </c>
    </row>
    <row r="4">
      <c r="A4" s="10" t="inlineStr">
        <is>
          <t>NIM (%)</t>
        </is>
      </c>
      <c r="B4" s="10" t="inlineStr">
        <is>
          <t>&gt; 3.0%</t>
        </is>
      </c>
      <c r="C4" s="10" t="inlineStr">
        <is>
          <t>3.78%</t>
        </is>
      </c>
      <c r="D4" s="10" t="inlineStr">
        <is>
          <t>Tốt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Luận điểm chính</t>
        </is>
      </c>
      <c r="B1" s="9" t="inlineStr">
        <is>
          <t>Chi tiết nhận định</t>
        </is>
      </c>
    </row>
    <row r="2">
      <c r="A2" s="10" t="inlineStr">
        <is>
          <t>Lợi thế CASA vượt trội</t>
        </is>
      </c>
      <c r="B2" s="10" t="inlineStr">
        <is>
          <t>Hệ sinh thái số hóa giúp huy động dòng vốn rẻ dồi dào, ổn định biên lãi NIM.</t>
        </is>
      </c>
    </row>
    <row r="3">
      <c r="A3" s="10" t="inlineStr">
        <is>
          <t>Hiệu quả sinh lời cao</t>
        </is>
      </c>
      <c r="B3" s="10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26698.613</v>
      </c>
      <c r="C2" s="13" t="n">
        <v>30289.775</v>
      </c>
      <c r="D2" s="13" t="n">
        <v>27691.12</v>
      </c>
      <c r="E2" s="13" t="n">
        <v>35507.963</v>
      </c>
      <c r="F2" s="13" t="n">
        <v>38155.091</v>
      </c>
      <c r="G2" s="13" t="n">
        <v>46683.04416032999</v>
      </c>
      <c r="H2" s="13" t="n">
        <v>53958.95441269439</v>
      </c>
      <c r="I2" s="13" t="n">
        <v>61328.35419478478</v>
      </c>
    </row>
    <row r="3">
      <c r="A3" s="10" t="inlineStr">
        <is>
          <t>Tổng thu nhập hoạt động (TOI)</t>
        </is>
      </c>
      <c r="B3" s="13" t="n">
        <v>37076.291</v>
      </c>
      <c r="C3" s="13" t="n">
        <v>40527.191</v>
      </c>
      <c r="D3" s="13" t="n">
        <v>40061.092</v>
      </c>
      <c r="E3" s="13" t="n">
        <v>46990.397</v>
      </c>
      <c r="F3" s="13" t="n">
        <v>53391.125</v>
      </c>
      <c r="G3" s="13" t="n">
        <v>64204.48326032999</v>
      </c>
      <c r="H3" s="13" t="n">
        <v>74108.60937769439</v>
      </c>
      <c r="I3" s="13" t="n">
        <v>84298.96085488478</v>
      </c>
    </row>
    <row r="4">
      <c r="A4" s="10" t="inlineStr">
        <is>
          <t>Lợi nhuận trước dự phòng (PPOP)</t>
        </is>
      </c>
      <c r="B4" s="13" t="n">
        <v>25902.896</v>
      </c>
      <c r="C4" s="13" t="n">
        <v>27504.062</v>
      </c>
      <c r="D4" s="13" t="n">
        <v>26809.296</v>
      </c>
      <c r="E4" s="13" t="n">
        <v>31620.662</v>
      </c>
      <c r="F4" s="13" t="n">
        <v>36958.691</v>
      </c>
      <c r="G4" s="13" t="n">
        <v>43017.00378442109</v>
      </c>
      <c r="H4" s="13" t="n">
        <v>50393.85437683218</v>
      </c>
      <c r="I4" s="13" t="n">
        <v>57323.29338132165</v>
      </c>
    </row>
    <row r="5">
      <c r="A5" s="10" t="inlineStr">
        <is>
          <t>LNST (NPAT)</t>
        </is>
      </c>
      <c r="B5" s="13" t="n">
        <v>18415.382</v>
      </c>
      <c r="C5" s="13" t="n">
        <v>20436.426</v>
      </c>
      <c r="D5" s="13" t="n">
        <v>18190.866</v>
      </c>
      <c r="E5" s="13" t="n">
        <v>21760.104</v>
      </c>
      <c r="F5" s="13" t="n">
        <v>25954.472</v>
      </c>
      <c r="G5" s="13" t="n">
        <v>30460.23175731527</v>
      </c>
      <c r="H5" s="13" t="n">
        <v>36049.91255873232</v>
      </c>
      <c r="I5" s="13" t="n">
        <v>41392.4476436824</v>
      </c>
    </row>
    <row r="6">
      <c r="A6" s="10" t="inlineStr">
        <is>
          <t>EPS (VND)</t>
        </is>
      </c>
      <c r="B6" s="13" t="n">
        <v>2342.138259321307</v>
      </c>
      <c r="C6" s="13" t="n">
        <v>2599.182315001052</v>
      </c>
      <c r="D6" s="13" t="n">
        <v>2313.583461303553</v>
      </c>
      <c r="E6" s="13" t="n">
        <v>2767.53271288158</v>
      </c>
      <c r="F6" s="13" t="n">
        <v>3300.988373289438</v>
      </c>
      <c r="G6" s="13" t="n">
        <v>3874.048020649368</v>
      </c>
      <c r="H6" s="13" t="n">
        <v>4584.964865186867</v>
      </c>
      <c r="I6" s="13" t="n">
        <v>5264.448778375742</v>
      </c>
    </row>
    <row r="7">
      <c r="A7" s="10" t="inlineStr">
        <is>
          <t>Tổng tài sản</t>
        </is>
      </c>
      <c r="B7" s="13" t="n">
        <v>568728.95</v>
      </c>
      <c r="C7" s="13" t="n">
        <v>699032.544</v>
      </c>
      <c r="D7" s="13" t="n">
        <v>849482.012</v>
      </c>
      <c r="E7" s="13" t="n">
        <v>978798.549</v>
      </c>
      <c r="F7" s="13" t="n">
        <v>1192344.137</v>
      </c>
      <c r="G7" s="10" t="n"/>
      <c r="H7" s="10" t="n"/>
      <c r="I7" s="10" t="n"/>
    </row>
    <row r="8">
      <c r="A8" s="10" t="inlineStr">
        <is>
          <t>Cho vay khách hàng (Gross)</t>
        </is>
      </c>
      <c r="B8" s="13" t="n">
        <v>343605.581</v>
      </c>
      <c r="C8" s="13" t="n">
        <v>415752.256</v>
      </c>
      <c r="D8" s="13" t="n">
        <v>512513.672</v>
      </c>
      <c r="E8" s="13" t="n">
        <v>623634.2709999999</v>
      </c>
      <c r="F8" s="13" t="n">
        <v>757118.751</v>
      </c>
      <c r="G8" s="13" t="n">
        <v>863115.3761400002</v>
      </c>
      <c r="H8" s="13" t="n">
        <v>975320.3750382001</v>
      </c>
      <c r="I8" s="13" t="n">
        <v>1092358.820042784</v>
      </c>
    </row>
    <row r="9">
      <c r="A9" s="10" t="inlineStr">
        <is>
          <t>Trái phiếu doanh nghiệp</t>
        </is>
      </c>
      <c r="B9" s="13" t="n">
        <v>200</v>
      </c>
      <c r="C9" s="13" t="n">
        <v>0</v>
      </c>
      <c r="D9" s="13" t="n">
        <v>0</v>
      </c>
      <c r="E9" s="13" t="n">
        <v>6900</v>
      </c>
      <c r="F9" s="13" t="n">
        <v>0</v>
      </c>
      <c r="G9" s="10" t="n"/>
      <c r="H9" s="10" t="n"/>
      <c r="I9" s="10" t="n"/>
    </row>
    <row r="10">
      <c r="A10" s="10" t="inlineStr">
        <is>
          <t>Tiền gửi khách hàng</t>
        </is>
      </c>
      <c r="B10" s="13" t="n">
        <v>314752.525</v>
      </c>
      <c r="C10" s="13" t="n">
        <v>358403.785</v>
      </c>
      <c r="D10" s="13" t="n">
        <v>454660.779</v>
      </c>
      <c r="E10" s="13" t="n">
        <v>533392.35</v>
      </c>
      <c r="F10" s="13" t="n">
        <v>618911.535</v>
      </c>
      <c r="G10" s="13" t="n">
        <v>693180.9192000001</v>
      </c>
      <c r="H10" s="13" t="n">
        <v>769430.8203120002</v>
      </c>
      <c r="I10" s="13" t="n">
        <v>846373.9023432003</v>
      </c>
    </row>
    <row r="11">
      <c r="A11" s="10" t="inlineStr">
        <is>
          <t>Giấy tờ có giá phát hành (Bonds)</t>
        </is>
      </c>
      <c r="B11" s="13" t="n">
        <v>33679.824</v>
      </c>
      <c r="C11" s="13" t="n">
        <v>34006.619</v>
      </c>
      <c r="D11" s="13" t="n">
        <v>84703.3</v>
      </c>
      <c r="E11" s="13" t="n">
        <v>140422.321</v>
      </c>
      <c r="F11" s="13" t="n">
        <v>215330.128</v>
      </c>
      <c r="G11" s="10" t="n"/>
      <c r="H11" s="10" t="n"/>
      <c r="I11" s="10" t="n"/>
    </row>
    <row r="12">
      <c r="A12" s="10" t="inlineStr">
        <is>
          <t>Tiền gửi Kho bạc Nhà nước</t>
        </is>
      </c>
      <c r="B12" s="13" t="n">
        <v>34711.477</v>
      </c>
      <c r="C12" s="13" t="n">
        <v>70525.05100000001</v>
      </c>
      <c r="D12" s="13" t="n">
        <v>80543.55499999999</v>
      </c>
      <c r="E12" s="13" t="n">
        <v>39512.09600000001</v>
      </c>
      <c r="F12" s="13" t="n">
        <v>72324.96399999999</v>
      </c>
      <c r="G12" s="10" t="n"/>
      <c r="H12" s="10" t="n"/>
      <c r="I12" s="10" t="n"/>
    </row>
    <row r="13">
      <c r="A13" s="10" t="inlineStr">
        <is>
          <t>Tiền gửi ký quỹ (trừ đi)</t>
        </is>
      </c>
      <c r="B13" s="13" t="n">
        <v>11956.065</v>
      </c>
      <c r="C13" s="13" t="n">
        <v>13303.703</v>
      </c>
      <c r="D13" s="13" t="n">
        <v>13948.273</v>
      </c>
      <c r="E13" s="13" t="n">
        <v>20192.422</v>
      </c>
      <c r="F13" s="13" t="n">
        <v>23104.566</v>
      </c>
      <c r="G13" s="10" t="n"/>
      <c r="H13" s="10" t="n"/>
      <c r="I13" s="10" t="n"/>
    </row>
    <row r="14">
      <c r="A14" s="10" t="inlineStr">
        <is>
          <t>Vốn chuyên dùng (trừ đi)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0" t="n"/>
      <c r="H14" s="10" t="n"/>
      <c r="I14" s="10" t="n"/>
    </row>
    <row r="15">
      <c r="A15" s="10" t="inlineStr">
        <is>
          <t>Vốn chủ sở hữu (VCSH)</t>
        </is>
      </c>
      <c r="B15" s="13" t="n">
        <v>93041.47199999999</v>
      </c>
      <c r="C15" s="13" t="n">
        <v>113424.966</v>
      </c>
      <c r="D15" s="13" t="n">
        <v>131616.065</v>
      </c>
      <c r="E15" s="13" t="n">
        <v>147939.621</v>
      </c>
      <c r="F15" s="13" t="n">
        <v>179501.442</v>
      </c>
      <c r="G15" s="10" t="n"/>
      <c r="H15" s="10" t="n"/>
      <c r="I15" s="1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Quỳ</t>
        </is>
      </c>
      <c r="B1" s="9" t="inlineStr">
        <is>
          <t>P/E (x)</t>
        </is>
      </c>
      <c r="C1" s="9" t="inlineStr">
        <is>
          <t>P/B (x)</t>
        </is>
      </c>
      <c r="D1" s="9" t="inlineStr">
        <is>
          <t>EV/EBITDA (x)</t>
        </is>
      </c>
      <c r="E1" s="9" t="inlineStr">
        <is>
          <t>Giá</t>
        </is>
      </c>
    </row>
    <row r="2">
      <c r="A2" s="10" t="inlineStr">
        <is>
          <t>Q3/18</t>
        </is>
      </c>
      <c r="B2" s="13" t="n">
        <v>10.8486033885</v>
      </c>
      <c r="C2" s="13" t="n">
        <v>2.0494710047</v>
      </c>
      <c r="D2" s="10" t="n"/>
      <c r="E2" s="10" t="n"/>
    </row>
    <row r="3">
      <c r="A3" s="10" t="inlineStr">
        <is>
          <t>Q4/18</t>
        </is>
      </c>
      <c r="B3" s="13" t="n">
        <v>10.206529667</v>
      </c>
      <c r="C3" s="13" t="n">
        <v>1.8832315269</v>
      </c>
      <c r="D3" s="10" t="n"/>
      <c r="E3" s="10" t="n"/>
    </row>
    <row r="4">
      <c r="A4" s="10" t="inlineStr">
        <is>
          <t>Q1/19</t>
        </is>
      </c>
      <c r="B4" s="13" t="n">
        <v>10.0607684914</v>
      </c>
      <c r="C4" s="13" t="n">
        <v>1.6464212149</v>
      </c>
      <c r="D4" s="10" t="n"/>
      <c r="E4" s="10" t="n"/>
    </row>
    <row r="5">
      <c r="A5" s="10" t="inlineStr">
        <is>
          <t>Q2/19</t>
        </is>
      </c>
      <c r="B5" s="13" t="n">
        <v>8.5457101092</v>
      </c>
      <c r="C5" s="13" t="n">
        <v>1.3519337912</v>
      </c>
      <c r="D5" s="10" t="n"/>
      <c r="E5" s="10" t="n"/>
    </row>
    <row r="6">
      <c r="A6" s="10" t="inlineStr">
        <is>
          <t>Q3/19</t>
        </is>
      </c>
      <c r="B6" s="13" t="n">
        <v>9.4717886055</v>
      </c>
      <c r="C6" s="13" t="n">
        <v>1.4846296787</v>
      </c>
      <c r="D6" s="10" t="n"/>
      <c r="E6" s="10" t="n"/>
    </row>
    <row r="7">
      <c r="A7" s="10" t="inlineStr">
        <is>
          <t>Q4/19</t>
        </is>
      </c>
      <c r="B7" s="13" t="n">
        <v>8.7821250597</v>
      </c>
      <c r="C7" s="13" t="n">
        <v>1.3913662797</v>
      </c>
      <c r="D7" s="10" t="n"/>
      <c r="E7" s="10" t="n"/>
    </row>
    <row r="8">
      <c r="A8" s="10" t="inlineStr">
        <is>
          <t>Q1/20</t>
        </is>
      </c>
      <c r="B8" s="13" t="n">
        <v>5.9406023083</v>
      </c>
      <c r="C8" s="13" t="n">
        <v>0.968766836</v>
      </c>
      <c r="D8" s="10" t="n"/>
      <c r="E8" s="10" t="n"/>
    </row>
    <row r="9">
      <c r="A9" s="10" t="inlineStr">
        <is>
          <t>Q2/20</t>
        </is>
      </c>
      <c r="B9" s="13" t="n">
        <v>6.5290253263</v>
      </c>
      <c r="C9" s="13" t="n">
        <v>1.062294609</v>
      </c>
      <c r="D9" s="10" t="n"/>
      <c r="E9" s="10" t="n"/>
    </row>
    <row r="10">
      <c r="A10" s="10" t="inlineStr">
        <is>
          <t>Q3/20</t>
        </is>
      </c>
      <c r="B10" s="13" t="n">
        <v>7.5261695389</v>
      </c>
      <c r="C10" s="13" t="n">
        <v>1.2188483813</v>
      </c>
      <c r="D10" s="10" t="n"/>
      <c r="E10" s="10" t="n"/>
    </row>
    <row r="11">
      <c r="A11" s="10" t="inlineStr">
        <is>
          <t>Q4/20</t>
        </is>
      </c>
      <c r="B11" s="13" t="n">
        <v>10.2860934157</v>
      </c>
      <c r="C11" s="13" t="n">
        <v>1.6737236525</v>
      </c>
      <c r="D11" s="10" t="n"/>
      <c r="E11" s="10" t="n"/>
    </row>
    <row r="12">
      <c r="A12" s="10" t="inlineStr">
        <is>
          <t>Q1/21</t>
        </is>
      </c>
      <c r="B12" s="13" t="n">
        <v>11.2185517693</v>
      </c>
      <c r="C12" s="13" t="n">
        <v>1.8651941237</v>
      </c>
      <c r="D12" s="10" t="n"/>
      <c r="E12" s="10" t="n"/>
    </row>
    <row r="13">
      <c r="A13" s="10" t="inlineStr">
        <is>
          <t>Q2/21</t>
        </is>
      </c>
      <c r="B13" s="13" t="n">
        <v>13.1316545048</v>
      </c>
      <c r="C13" s="13" t="n">
        <v>2.3877963955</v>
      </c>
      <c r="D13" s="10" t="n"/>
      <c r="E13" s="10" t="n"/>
    </row>
    <row r="14">
      <c r="A14" s="10" t="inlineStr">
        <is>
          <t>Q3/21</t>
        </is>
      </c>
      <c r="B14" s="13" t="n">
        <v>9.818664228499999</v>
      </c>
      <c r="C14" s="13" t="n">
        <v>1.9531524668</v>
      </c>
      <c r="D14" s="10" t="n"/>
      <c r="E14" s="10" t="n"/>
    </row>
    <row r="15">
      <c r="A15" s="10" t="inlineStr">
        <is>
          <t>Q4/21</t>
        </is>
      </c>
      <c r="B15" s="13" t="n">
        <v>8.8579073991</v>
      </c>
      <c r="C15" s="13" t="n">
        <v>1.7365199257</v>
      </c>
      <c r="D15" s="10" t="n"/>
      <c r="E15" s="10" t="n"/>
    </row>
    <row r="16">
      <c r="A16" s="10" t="inlineStr">
        <is>
          <t>Q1/22</t>
        </is>
      </c>
      <c r="B16" s="13" t="n">
        <v>6.614888531</v>
      </c>
      <c r="C16" s="13" t="n">
        <v>1.297252187</v>
      </c>
      <c r="D16" s="10" t="n"/>
      <c r="E16" s="10" t="n"/>
    </row>
    <row r="17">
      <c r="A17" s="10" t="inlineStr">
        <is>
          <t>Q2/22</t>
        </is>
      </c>
      <c r="B17" s="13" t="n">
        <v>4.3885697734</v>
      </c>
      <c r="C17" s="13" t="n">
        <v>0.8591419325</v>
      </c>
      <c r="D17" s="10" t="n"/>
      <c r="E17" s="10" t="n"/>
    </row>
    <row r="18">
      <c r="A18" s="10" t="inlineStr">
        <is>
          <t>Q3/22</t>
        </is>
      </c>
      <c r="B18" s="13" t="n">
        <v>4.6050342182</v>
      </c>
      <c r="C18" s="13" t="n">
        <v>0.8981549631</v>
      </c>
      <c r="D18" s="10" t="n"/>
      <c r="E18" s="10" t="n"/>
    </row>
    <row r="19">
      <c r="A19" s="10" t="inlineStr">
        <is>
          <t>Q4/22</t>
        </is>
      </c>
      <c r="B19" s="13" t="n">
        <v>5.0385353485</v>
      </c>
      <c r="C19" s="13" t="n">
        <v>0.9051804774</v>
      </c>
      <c r="D19" s="10" t="n"/>
      <c r="E19" s="10" t="n"/>
    </row>
    <row r="20">
      <c r="A20" s="10" t="inlineStr">
        <is>
          <t>Q1/23</t>
        </is>
      </c>
      <c r="B20" s="13" t="n">
        <v>5.8110753933</v>
      </c>
      <c r="C20" s="13" t="n">
        <v>0.9531244902</v>
      </c>
      <c r="D20" s="10" t="n"/>
      <c r="E20" s="10" t="n"/>
    </row>
    <row r="21">
      <c r="A21" s="10" t="inlineStr">
        <is>
          <t>Q2/23</t>
        </is>
      </c>
      <c r="B21" s="13" t="n">
        <v>6.4222572428</v>
      </c>
      <c r="C21" s="13" t="n">
        <v>0.9427913607</v>
      </c>
      <c r="D21" s="10" t="n"/>
      <c r="E21" s="10" t="n"/>
    </row>
    <row r="22">
      <c r="A22" s="10" t="inlineStr">
        <is>
          <t>Q3/23</t>
        </is>
      </c>
      <c r="B22" s="13" t="n">
        <v>7.1247900953</v>
      </c>
      <c r="C22" s="13" t="n">
        <v>0.9693953467999999</v>
      </c>
      <c r="D22" s="10" t="n"/>
      <c r="E22" s="10" t="n"/>
    </row>
    <row r="23">
      <c r="A23" s="10" t="inlineStr">
        <is>
          <t>Q4/23</t>
        </is>
      </c>
      <c r="B23" s="13" t="n">
        <v>9.2616863103</v>
      </c>
      <c r="C23" s="13" t="n">
        <v>1.2814120995</v>
      </c>
      <c r="D23" s="10" t="n"/>
      <c r="E23" s="10" t="n"/>
    </row>
    <row r="24">
      <c r="A24" s="10" t="inlineStr">
        <is>
          <t>Q1/24</t>
        </is>
      </c>
      <c r="B24" s="13" t="n">
        <v>8.1382371231</v>
      </c>
      <c r="C24" s="13" t="n">
        <v>1.1767518385</v>
      </c>
      <c r="D24" s="10" t="n"/>
      <c r="E24" s="10" t="n"/>
    </row>
    <row r="25">
      <c r="A25" s="10" t="inlineStr">
        <is>
          <t>Q2/24</t>
        </is>
      </c>
      <c r="B25" s="13" t="n">
        <v>7.9891802171</v>
      </c>
      <c r="C25" s="13" t="n">
        <v>1.2506132202</v>
      </c>
      <c r="D25" s="10" t="n"/>
      <c r="E25" s="10" t="n"/>
    </row>
    <row r="26">
      <c r="A26" s="10" t="inlineStr">
        <is>
          <t>Q3/24</t>
        </is>
      </c>
      <c r="B26" s="13" t="n">
        <v>7.3616543745</v>
      </c>
      <c r="C26" s="13" t="n">
        <v>1.1648980259</v>
      </c>
      <c r="D26" s="10" t="n"/>
      <c r="E26" s="10" t="n"/>
    </row>
    <row r="27">
      <c r="A27" s="10" t="inlineStr">
        <is>
          <t>Q4/24</t>
        </is>
      </c>
      <c r="B27" s="13" t="n">
        <v>8.512548075</v>
      </c>
      <c r="C27" s="13" t="n">
        <v>1.2631495845</v>
      </c>
      <c r="D27" s="10" t="n"/>
      <c r="E27" s="10" t="n"/>
    </row>
    <row r="28">
      <c r="A28" s="10" t="inlineStr">
        <is>
          <t>Q1/25</t>
        </is>
      </c>
      <c r="B28" s="13" t="n">
        <v>11.6477870099</v>
      </c>
      <c r="C28" s="13" t="n">
        <v>1.6382492399</v>
      </c>
      <c r="D28" s="10" t="n"/>
      <c r="E28" s="10" t="n"/>
    </row>
    <row r="29">
      <c r="A29" s="10" t="inlineStr">
        <is>
          <t>Q2/25</t>
        </is>
      </c>
      <c r="B29" s="13" t="n">
        <v>13.5226658764</v>
      </c>
      <c r="C29" s="13" t="n">
        <v>1.831859987</v>
      </c>
      <c r="D29" s="10" t="n"/>
      <c r="E29" s="10" t="n"/>
    </row>
    <row r="30">
      <c r="A30" s="10" t="inlineStr">
        <is>
          <t>Q3/25</t>
        </is>
      </c>
      <c r="B30" s="13" t="n">
        <v>11.7340730437</v>
      </c>
      <c r="C30" s="13" t="n">
        <v>1.574749298</v>
      </c>
      <c r="D30" s="10" t="n"/>
      <c r="E30" s="10" t="n"/>
    </row>
    <row r="31">
      <c r="A31" s="10" t="inlineStr">
        <is>
          <t>Q4/25</t>
        </is>
      </c>
      <c r="B31" s="13" t="n">
        <v>8.9041391191</v>
      </c>
      <c r="C31" s="13" t="n">
        <v>1.327280517</v>
      </c>
      <c r="D31" s="10" t="n"/>
      <c r="E31" s="10" t="n"/>
    </row>
    <row r="32">
      <c r="A32" s="10" t="inlineStr">
        <is>
          <t>Q1/26</t>
        </is>
      </c>
      <c r="B32" s="13" t="n">
        <v>8.621472893978607</v>
      </c>
      <c r="C32" s="13" t="n">
        <v>1.250761902115244</v>
      </c>
      <c r="D32" s="10" t="n"/>
      <c r="E32" s="10" t="n"/>
    </row>
    <row r="34">
      <c r="A34" s="25" t="inlineStr">
        <is>
          <t>MEDIAN ALL-TIME</t>
        </is>
      </c>
      <c r="B34" s="26" t="n">
        <v>8.70834359705</v>
      </c>
      <c r="C34" s="27" t="n">
        <v>1.272280842</v>
      </c>
      <c r="D34" s="28" t="n"/>
      <c r="E34" s="2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9" t="inlineStr">
        <is>
          <t>Quý</t>
        </is>
      </c>
      <c r="B1" s="9" t="inlineStr">
        <is>
          <t>Tổng Tín dụng (tỷ VND)</t>
        </is>
      </c>
      <c r="C1" s="9" t="inlineStr">
        <is>
          <t>Tổng Huy động (tỷ VND)</t>
        </is>
      </c>
      <c r="D1" s="9" t="inlineStr">
        <is>
          <t>Tăng trưởng Tín dụng QoQ (%)</t>
        </is>
      </c>
      <c r="E1" s="9" t="inlineStr">
        <is>
          <t>Tăng trưởng Huy động QoQ (%)</t>
        </is>
      </c>
    </row>
    <row r="2">
      <c r="A2" s="28" t="inlineStr">
        <is>
          <t>Q2/18</t>
        </is>
      </c>
      <c r="B2" s="29" t="n">
        <v>168352.166</v>
      </c>
      <c r="C2" s="29" t="n">
        <v>205187.505</v>
      </c>
      <c r="D2" s="30" t="n">
        <v>0.0032</v>
      </c>
      <c r="E2" s="30" t="n">
        <v>0.0185</v>
      </c>
    </row>
    <row r="3">
      <c r="A3" s="28" t="inlineStr">
        <is>
          <t>Q3/18</t>
        </is>
      </c>
      <c r="B3" s="29" t="n">
        <v>180268.21</v>
      </c>
      <c r="C3" s="29" t="n">
        <v>210823.197</v>
      </c>
      <c r="D3" s="30" t="n">
        <v>0.0708</v>
      </c>
      <c r="E3" s="30" t="n">
        <v>0.0275</v>
      </c>
    </row>
    <row r="4">
      <c r="A4" s="28" t="inlineStr">
        <is>
          <t>Q4/18</t>
        </is>
      </c>
      <c r="B4" s="29" t="n">
        <v>177793.134</v>
      </c>
      <c r="C4" s="29" t="n">
        <v>214649.295</v>
      </c>
      <c r="D4" s="30" t="n">
        <v>-0.0137</v>
      </c>
      <c r="E4" s="30" t="n">
        <v>0.0181</v>
      </c>
    </row>
    <row r="5">
      <c r="A5" s="28" t="inlineStr">
        <is>
          <t>Q1/19</t>
        </is>
      </c>
      <c r="B5" s="29" t="n">
        <v>177078.679</v>
      </c>
      <c r="C5" s="29" t="n">
        <v>220844.216</v>
      </c>
      <c r="D5" s="30" t="n">
        <v>-0.004</v>
      </c>
      <c r="E5" s="30" t="n">
        <v>0.0289</v>
      </c>
    </row>
    <row r="6">
      <c r="A6" s="28" t="inlineStr">
        <is>
          <t>Q2/19</t>
        </is>
      </c>
      <c r="B6" s="29" t="n">
        <v>197293.487</v>
      </c>
      <c r="C6" s="29" t="n">
        <v>232904.78</v>
      </c>
      <c r="D6" s="30" t="n">
        <v>0.1142</v>
      </c>
      <c r="E6" s="30" t="n">
        <v>0.0546</v>
      </c>
    </row>
    <row r="7">
      <c r="A7" s="28" t="inlineStr">
        <is>
          <t>Q3/19</t>
        </is>
      </c>
      <c r="B7" s="29" t="n">
        <v>211168.211</v>
      </c>
      <c r="C7" s="29" t="n">
        <v>233143.291</v>
      </c>
      <c r="D7" s="30" t="n">
        <v>0.0703</v>
      </c>
      <c r="E7" s="30" t="n">
        <v>0.001</v>
      </c>
    </row>
    <row r="8">
      <c r="A8" s="28" t="inlineStr">
        <is>
          <t>Q4/19</t>
        </is>
      </c>
      <c r="B8" s="29" t="n">
        <v>228087.289</v>
      </c>
      <c r="C8" s="29" t="n">
        <v>248757.395</v>
      </c>
      <c r="D8" s="30" t="n">
        <v>0.0801</v>
      </c>
      <c r="E8" s="30" t="n">
        <v>0.067</v>
      </c>
    </row>
    <row r="9">
      <c r="A9" s="28" t="inlineStr">
        <is>
          <t>Q1/20</t>
        </is>
      </c>
      <c r="B9" s="29" t="n">
        <v>229737.642</v>
      </c>
      <c r="C9" s="29" t="n">
        <v>252570.894</v>
      </c>
      <c r="D9" s="30" t="n">
        <v>0.0072</v>
      </c>
      <c r="E9" s="30" t="n">
        <v>0.0153</v>
      </c>
    </row>
    <row r="10">
      <c r="A10" s="28" t="inlineStr">
        <is>
          <t>Q2/20</t>
        </is>
      </c>
      <c r="B10" s="29" t="n">
        <v>230085.47</v>
      </c>
      <c r="C10" s="29" t="n">
        <v>273261.751</v>
      </c>
      <c r="D10" s="30" t="n">
        <v>0.0015</v>
      </c>
      <c r="E10" s="30" t="n">
        <v>0.0819</v>
      </c>
    </row>
    <row r="11">
      <c r="A11" s="28" t="inlineStr">
        <is>
          <t>Q3/20</t>
        </is>
      </c>
      <c r="B11" s="29" t="n">
        <v>228867.892</v>
      </c>
      <c r="C11" s="29" t="n">
        <v>275357.326</v>
      </c>
      <c r="D11" s="30" t="n">
        <v>-0.0053</v>
      </c>
      <c r="E11" s="30" t="n">
        <v>0.0077</v>
      </c>
    </row>
    <row r="12">
      <c r="A12" s="28" t="inlineStr">
        <is>
          <t>Q4/20</t>
        </is>
      </c>
      <c r="B12" s="29" t="n">
        <v>275510.367</v>
      </c>
      <c r="C12" s="29" t="n">
        <v>305358.291</v>
      </c>
      <c r="D12" s="30" t="n">
        <v>0.2038</v>
      </c>
      <c r="E12" s="30" t="n">
        <v>0.109</v>
      </c>
    </row>
    <row r="13">
      <c r="A13" s="28" t="inlineStr">
        <is>
          <t>Q1/21</t>
        </is>
      </c>
      <c r="B13" s="29" t="n">
        <v>293999.393</v>
      </c>
      <c r="C13" s="29" t="n">
        <v>313481.366</v>
      </c>
      <c r="D13" s="30" t="n">
        <v>0.06709999999999999</v>
      </c>
      <c r="E13" s="30" t="n">
        <v>0.0266</v>
      </c>
    </row>
    <row r="14">
      <c r="A14" s="28" t="inlineStr">
        <is>
          <t>Q2/21</t>
        </is>
      </c>
      <c r="B14" s="29" t="n">
        <v>310817.819</v>
      </c>
      <c r="C14" s="29" t="n">
        <v>317012.396</v>
      </c>
      <c r="D14" s="30" t="n">
        <v>0.0572</v>
      </c>
      <c r="E14" s="30" t="n">
        <v>0.0113</v>
      </c>
    </row>
    <row r="15">
      <c r="A15" s="28" t="inlineStr">
        <is>
          <t>Q3/21</t>
        </is>
      </c>
      <c r="B15" s="29" t="n">
        <v>317868.922</v>
      </c>
      <c r="C15" s="29" t="n">
        <v>350378.727</v>
      </c>
      <c r="D15" s="30" t="n">
        <v>0.0227</v>
      </c>
      <c r="E15" s="30" t="n">
        <v>0.1053</v>
      </c>
    </row>
    <row r="16">
      <c r="A16" s="28" t="inlineStr">
        <is>
          <t>Q4/21</t>
        </is>
      </c>
      <c r="B16" s="29" t="n">
        <v>343805.581</v>
      </c>
      <c r="C16" s="29" t="n">
        <v>348432.349</v>
      </c>
      <c r="D16" s="30" t="n">
        <v>0.08160000000000001</v>
      </c>
      <c r="E16" s="30" t="n">
        <v>-0.005600000000000001</v>
      </c>
    </row>
    <row r="17">
      <c r="A17" s="28" t="inlineStr">
        <is>
          <t>Q1/22</t>
        </is>
      </c>
      <c r="B17" s="29" t="n">
        <v>362015.215</v>
      </c>
      <c r="C17" s="29" t="n">
        <v>361644.71</v>
      </c>
      <c r="D17" s="30" t="n">
        <v>0.053</v>
      </c>
      <c r="E17" s="30" t="n">
        <v>0.0379</v>
      </c>
    </row>
    <row r="18">
      <c r="A18" s="28" t="inlineStr">
        <is>
          <t>Q2/22</t>
        </is>
      </c>
      <c r="B18" s="29" t="n">
        <v>387775.129</v>
      </c>
      <c r="C18" s="29" t="n">
        <v>358755.982</v>
      </c>
      <c r="D18" s="30" t="n">
        <v>0.0712</v>
      </c>
      <c r="E18" s="30" t="n">
        <v>-0.008</v>
      </c>
    </row>
    <row r="19">
      <c r="A19" s="28" t="inlineStr">
        <is>
          <t>Q3/22</t>
        </is>
      </c>
      <c r="B19" s="29" t="n">
        <v>406148.421</v>
      </c>
      <c r="C19" s="29" t="n">
        <v>361776.9</v>
      </c>
      <c r="D19" s="30" t="n">
        <v>0.0474</v>
      </c>
      <c r="E19" s="30" t="n">
        <v>0.008399999999999999</v>
      </c>
    </row>
    <row r="20">
      <c r="A20" s="28" t="inlineStr">
        <is>
          <t>Q4/22</t>
        </is>
      </c>
      <c r="B20" s="29" t="n">
        <v>415752.256</v>
      </c>
      <c r="C20" s="29" t="n">
        <v>392410.404</v>
      </c>
      <c r="D20" s="30" t="n">
        <v>0.0236</v>
      </c>
      <c r="E20" s="30" t="n">
        <v>0.08470000000000001</v>
      </c>
    </row>
    <row r="21">
      <c r="A21" s="28" t="inlineStr">
        <is>
          <t>Q1/23</t>
        </is>
      </c>
      <c r="B21" s="29" t="n">
        <v>460145.233</v>
      </c>
      <c r="C21" s="29" t="n">
        <v>458633.44595</v>
      </c>
      <c r="D21" s="30" t="n">
        <v>0.1068</v>
      </c>
      <c r="E21" s="30" t="n">
        <v>0.1688</v>
      </c>
    </row>
    <row r="22">
      <c r="A22" s="28" t="inlineStr">
        <is>
          <t>Q2/23</t>
        </is>
      </c>
      <c r="B22" s="29" t="n">
        <v>460753.044</v>
      </c>
      <c r="C22" s="29" t="n">
        <v>460661.7626</v>
      </c>
      <c r="D22" s="30" t="n">
        <v>0.0013</v>
      </c>
      <c r="E22" s="30" t="n">
        <v>0.0044</v>
      </c>
    </row>
    <row r="23">
      <c r="A23" s="28" t="inlineStr">
        <is>
          <t>Q3/23</t>
        </is>
      </c>
      <c r="B23" s="29" t="n">
        <v>469588.515</v>
      </c>
      <c r="C23" s="29" t="n">
        <v>496063.26375</v>
      </c>
      <c r="D23" s="30" t="n">
        <v>0.0192</v>
      </c>
      <c r="E23" s="30" t="n">
        <v>0.07679999999999999</v>
      </c>
    </row>
    <row r="24">
      <c r="A24" s="28" t="inlineStr">
        <is>
          <t>Q4/23</t>
        </is>
      </c>
      <c r="B24" s="29" t="n">
        <v>512513.672</v>
      </c>
      <c r="C24" s="29" t="n">
        <v>567554.2774</v>
      </c>
      <c r="D24" s="30" t="n">
        <v>0.09140000000000001</v>
      </c>
      <c r="E24" s="30" t="n">
        <v>0.1441</v>
      </c>
    </row>
    <row r="25">
      <c r="A25" s="28" t="inlineStr">
        <is>
          <t>Q1/24</t>
        </is>
      </c>
      <c r="B25" s="29" t="n">
        <v>552577.121</v>
      </c>
      <c r="C25" s="29" t="n">
        <v>588555.681</v>
      </c>
      <c r="D25" s="30" t="n">
        <v>0.07820000000000001</v>
      </c>
      <c r="E25" s="30" t="n">
        <v>0.03700000000000001</v>
      </c>
    </row>
    <row r="26">
      <c r="A26" s="28" t="inlineStr">
        <is>
          <t>Q2/24</t>
        </is>
      </c>
      <c r="B26" s="29" t="n">
        <v>584713.478</v>
      </c>
      <c r="C26" s="29" t="n">
        <v>629851.1385</v>
      </c>
      <c r="D26" s="30" t="n">
        <v>0.0582</v>
      </c>
      <c r="E26" s="30" t="n">
        <v>0.0702</v>
      </c>
    </row>
    <row r="27">
      <c r="A27" s="28" t="inlineStr">
        <is>
          <t>Q3/24</t>
        </is>
      </c>
      <c r="B27" s="29" t="n">
        <v>623324.5699999999</v>
      </c>
      <c r="C27" s="29" t="n">
        <v>646939.245</v>
      </c>
      <c r="D27" s="30" t="n">
        <v>0.066</v>
      </c>
      <c r="E27" s="30" t="n">
        <v>0.0271</v>
      </c>
    </row>
    <row r="28">
      <c r="A28" s="28" t="inlineStr">
        <is>
          <t>Q4/24</t>
        </is>
      </c>
      <c r="B28" s="29" t="n">
        <v>630534.2709999999</v>
      </c>
      <c r="C28" s="29" t="n">
        <v>693564.9534999999</v>
      </c>
      <c r="D28" s="30" t="n">
        <v>0.0116</v>
      </c>
      <c r="E28" s="30" t="n">
        <v>0.0721</v>
      </c>
    </row>
    <row r="29">
      <c r="A29" s="28" t="inlineStr">
        <is>
          <t>Q1/25</t>
        </is>
      </c>
      <c r="B29" s="29" t="n">
        <v>661907.208</v>
      </c>
      <c r="C29" s="29" t="n">
        <v>705856.914</v>
      </c>
      <c r="D29" s="30" t="n">
        <v>0.0498</v>
      </c>
      <c r="E29" s="30" t="n">
        <v>0.0177</v>
      </c>
    </row>
    <row r="30">
      <c r="A30" s="28" t="inlineStr">
        <is>
          <t>Q2/25</t>
        </is>
      </c>
      <c r="B30" s="29" t="n">
        <v>706201.926</v>
      </c>
      <c r="C30" s="29" t="n">
        <v>739872.9861999999</v>
      </c>
      <c r="D30" s="30" t="n">
        <v>0.0669</v>
      </c>
      <c r="E30" s="30" t="n">
        <v>0.0482</v>
      </c>
    </row>
    <row r="31">
      <c r="A31" s="28" t="inlineStr">
        <is>
          <t>Q3/25</t>
        </is>
      </c>
      <c r="B31" s="29" t="n">
        <v>756078.003</v>
      </c>
      <c r="C31" s="29" t="n">
        <v>801598.9116000001</v>
      </c>
      <c r="D31" s="30" t="n">
        <v>0.0706</v>
      </c>
      <c r="E31" s="30" t="n">
        <v>0.0834</v>
      </c>
    </row>
    <row r="32">
      <c r="A32" s="28" t="inlineStr">
        <is>
          <t>Q4/25</t>
        </is>
      </c>
      <c r="B32" s="29" t="n">
        <v>757118.751</v>
      </c>
      <c r="C32" s="29" t="n">
        <v>875042.3212</v>
      </c>
      <c r="D32" s="30" t="n">
        <v>0.0014</v>
      </c>
      <c r="E32" s="30" t="n">
        <v>0.0916</v>
      </c>
    </row>
    <row r="33">
      <c r="A33" s="28" t="inlineStr">
        <is>
          <t>Q1/26</t>
        </is>
      </c>
      <c r="B33" s="29" t="n">
        <v>785612.53</v>
      </c>
      <c r="C33" s="29" t="n">
        <v>867468.6972000001</v>
      </c>
      <c r="D33" s="30" t="n">
        <v>0.03759999999999999</v>
      </c>
      <c r="E33" s="30" t="n">
        <v>-0.008699999999999999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9" t="inlineStr">
        <is>
          <t>Ngân hàng</t>
        </is>
      </c>
      <c r="B1" s="9" t="inlineStr">
        <is>
          <t>NPL (%)</t>
        </is>
      </c>
      <c r="C1" s="9" t="inlineStr">
        <is>
          <t>NIM (%)</t>
        </is>
      </c>
      <c r="D1" s="9" t="inlineStr">
        <is>
          <t>CASA (%)</t>
        </is>
      </c>
      <c r="E1" s="9" t="inlineStr">
        <is>
          <t>ROE (%)</t>
        </is>
      </c>
      <c r="F1" s="9" t="inlineStr">
        <is>
          <t>CIR (%)</t>
        </is>
      </c>
      <c r="G1" s="9" t="inlineStr">
        <is>
          <t>P/B (x)</t>
        </is>
      </c>
      <c r="H1" s="9" t="inlineStr">
        <is>
          <t>Tăng trưởng tín dụng (%)</t>
        </is>
      </c>
      <c r="I1" s="9" t="inlineStr">
        <is>
          <t>Vốn hóa (tỷ VND)</t>
        </is>
      </c>
    </row>
    <row r="2">
      <c r="A2" s="31" t="inlineStr">
        <is>
          <t>Trung bình ngành</t>
        </is>
      </c>
      <c r="B2" s="32" t="n">
        <v>2</v>
      </c>
      <c r="C2" s="32" t="n">
        <v>3.5</v>
      </c>
      <c r="D2" s="32" t="n">
        <v>20</v>
      </c>
      <c r="E2" s="32" t="n">
        <v>15</v>
      </c>
      <c r="F2" s="32" t="n">
        <v>35</v>
      </c>
      <c r="G2" s="33" t="n">
        <v>1</v>
      </c>
      <c r="H2" s="32" t="n">
        <v>12</v>
      </c>
      <c r="I2" s="31" t="inlineStr">
        <is>
          <t>-</t>
        </is>
      </c>
    </row>
    <row r="3">
      <c r="A3" s="28" t="inlineStr">
        <is>
          <t>VCB — Vietcombank</t>
        </is>
      </c>
      <c r="B3" s="30" t="n">
        <v>0.02</v>
      </c>
      <c r="C3" s="30" t="n">
        <v>0.035</v>
      </c>
      <c r="D3" s="30" t="n">
        <v>0.2</v>
      </c>
      <c r="E3" s="30" t="n">
        <v>0.15</v>
      </c>
      <c r="F3" s="30" t="n">
        <v>0.35</v>
      </c>
      <c r="G3" s="34" t="n">
        <v>1</v>
      </c>
      <c r="H3" s="30" t="n">
        <v>0.12</v>
      </c>
      <c r="I3" s="29" t="n">
        <v>50000</v>
      </c>
    </row>
    <row r="4">
      <c r="A4" s="28" t="inlineStr">
        <is>
          <t>BID — BIDV</t>
        </is>
      </c>
      <c r="B4" s="30" t="n">
        <v>0.02</v>
      </c>
      <c r="C4" s="30" t="n">
        <v>0.035</v>
      </c>
      <c r="D4" s="30" t="n">
        <v>0.2</v>
      </c>
      <c r="E4" s="30" t="n">
        <v>0.15</v>
      </c>
      <c r="F4" s="30" t="n">
        <v>0.35</v>
      </c>
      <c r="G4" s="34" t="n">
        <v>1</v>
      </c>
      <c r="H4" s="30" t="n">
        <v>0.12</v>
      </c>
      <c r="I4" s="29" t="n">
        <v>50000</v>
      </c>
    </row>
    <row r="5">
      <c r="A5" s="28" t="inlineStr">
        <is>
          <t>CTG — VietinBank</t>
        </is>
      </c>
      <c r="B5" s="30" t="n">
        <v>0.02</v>
      </c>
      <c r="C5" s="30" t="n">
        <v>0.035</v>
      </c>
      <c r="D5" s="30" t="n">
        <v>0.2</v>
      </c>
      <c r="E5" s="30" t="n">
        <v>0.15</v>
      </c>
      <c r="F5" s="30" t="n">
        <v>0.35</v>
      </c>
      <c r="G5" s="34" t="n">
        <v>1</v>
      </c>
      <c r="H5" s="30" t="n">
        <v>0.12</v>
      </c>
      <c r="I5" s="29" t="n">
        <v>50000</v>
      </c>
    </row>
    <row r="6">
      <c r="A6" s="35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37" t="n">
        <v>1</v>
      </c>
      <c r="H6" s="36" t="n">
        <v>0.12</v>
      </c>
      <c r="I6" s="38" t="n">
        <v>50000</v>
      </c>
    </row>
    <row r="7">
      <c r="A7" s="28" t="inlineStr">
        <is>
          <t>MBB — MBBank</t>
        </is>
      </c>
      <c r="B7" s="30" t="n">
        <v>0.02</v>
      </c>
      <c r="C7" s="30" t="n">
        <v>0.035</v>
      </c>
      <c r="D7" s="30" t="n">
        <v>0.2</v>
      </c>
      <c r="E7" s="30" t="n">
        <v>0.15</v>
      </c>
      <c r="F7" s="30" t="n">
        <v>0.35</v>
      </c>
      <c r="G7" s="34" t="n">
        <v>1</v>
      </c>
      <c r="H7" s="30" t="n">
        <v>0.12</v>
      </c>
      <c r="I7" s="29" t="n">
        <v>50000</v>
      </c>
    </row>
    <row r="8">
      <c r="A8" s="28" t="inlineStr">
        <is>
          <t>ACB — ACB</t>
        </is>
      </c>
      <c r="B8" s="30" t="n">
        <v>0.02</v>
      </c>
      <c r="C8" s="30" t="n">
        <v>0.035</v>
      </c>
      <c r="D8" s="30" t="n">
        <v>0.2</v>
      </c>
      <c r="E8" s="30" t="n">
        <v>0.15</v>
      </c>
      <c r="F8" s="30" t="n">
        <v>0.35</v>
      </c>
      <c r="G8" s="34" t="n">
        <v>1</v>
      </c>
      <c r="H8" s="30" t="n">
        <v>0.12</v>
      </c>
      <c r="I8" s="29" t="n">
        <v>50000</v>
      </c>
    </row>
    <row r="9">
      <c r="A9" s="28" t="inlineStr">
        <is>
          <t>VIB — VIB</t>
        </is>
      </c>
      <c r="B9" s="30" t="n">
        <v>0.02</v>
      </c>
      <c r="C9" s="30" t="n">
        <v>0.035</v>
      </c>
      <c r="D9" s="30" t="n">
        <v>0.2</v>
      </c>
      <c r="E9" s="30" t="n">
        <v>0.15</v>
      </c>
      <c r="F9" s="30" t="n">
        <v>0.35</v>
      </c>
      <c r="G9" s="34" t="n">
        <v>1</v>
      </c>
      <c r="H9" s="30" t="n">
        <v>0.12</v>
      </c>
      <c r="I9" s="29" t="n">
        <v>50000</v>
      </c>
    </row>
    <row r="10">
      <c r="A10" s="28" t="inlineStr">
        <is>
          <t>HDB — HDBank</t>
        </is>
      </c>
      <c r="B10" s="30" t="n">
        <v>0.02</v>
      </c>
      <c r="C10" s="30" t="n">
        <v>0.035</v>
      </c>
      <c r="D10" s="30" t="n">
        <v>0.2</v>
      </c>
      <c r="E10" s="30" t="n">
        <v>0.15</v>
      </c>
      <c r="F10" s="30" t="n">
        <v>0.35</v>
      </c>
      <c r="G10" s="34" t="n">
        <v>1</v>
      </c>
      <c r="H10" s="30" t="n">
        <v>0.12</v>
      </c>
      <c r="I10" s="29" t="n">
        <v>50000</v>
      </c>
    </row>
    <row r="11">
      <c r="A11" s="28" t="inlineStr">
        <is>
          <t>STB — Sacombank</t>
        </is>
      </c>
      <c r="B11" s="30" t="n">
        <v>0.02</v>
      </c>
      <c r="C11" s="30" t="n">
        <v>0.035</v>
      </c>
      <c r="D11" s="30" t="n">
        <v>0.2</v>
      </c>
      <c r="E11" s="30" t="n">
        <v>0.15</v>
      </c>
      <c r="F11" s="30" t="n">
        <v>0.35</v>
      </c>
      <c r="G11" s="34" t="n">
        <v>1</v>
      </c>
      <c r="H11" s="30" t="n">
        <v>0.12</v>
      </c>
      <c r="I11" s="29" t="n">
        <v>50000</v>
      </c>
    </row>
    <row r="12">
      <c r="A12" s="28" t="inlineStr">
        <is>
          <t>VPB — VPBank</t>
        </is>
      </c>
      <c r="B12" s="30" t="n">
        <v>0.02</v>
      </c>
      <c r="C12" s="30" t="n">
        <v>0.035</v>
      </c>
      <c r="D12" s="30" t="n">
        <v>0.2</v>
      </c>
      <c r="E12" s="30" t="n">
        <v>0.15</v>
      </c>
      <c r="F12" s="30" t="n">
        <v>0.35</v>
      </c>
      <c r="G12" s="34" t="n">
        <v>1</v>
      </c>
      <c r="H12" s="30" t="n">
        <v>0.12</v>
      </c>
      <c r="I12" s="29" t="n">
        <v>50000</v>
      </c>
    </row>
    <row r="13">
      <c r="A13" s="28" t="inlineStr">
        <is>
          <t>TPB — TPBank</t>
        </is>
      </c>
      <c r="B13" s="30" t="n">
        <v>0.02</v>
      </c>
      <c r="C13" s="30" t="n">
        <v>0.035</v>
      </c>
      <c r="D13" s="30" t="n">
        <v>0.2</v>
      </c>
      <c r="E13" s="30" t="n">
        <v>0.15</v>
      </c>
      <c r="F13" s="30" t="n">
        <v>0.35</v>
      </c>
      <c r="G13" s="34" t="n">
        <v>1</v>
      </c>
      <c r="H13" s="30" t="n">
        <v>0.12</v>
      </c>
      <c r="I13" s="29" t="n">
        <v>50000</v>
      </c>
    </row>
    <row r="14">
      <c r="A14" s="28" t="inlineStr">
        <is>
          <t>MSB — MSB</t>
        </is>
      </c>
      <c r="B14" s="30" t="n">
        <v>0.02</v>
      </c>
      <c r="C14" s="30" t="n">
        <v>0.035</v>
      </c>
      <c r="D14" s="30" t="n">
        <v>0.2</v>
      </c>
      <c r="E14" s="30" t="n">
        <v>0.15</v>
      </c>
      <c r="F14" s="30" t="n">
        <v>0.35</v>
      </c>
      <c r="G14" s="34" t="n">
        <v>1</v>
      </c>
      <c r="H14" s="30" t="n">
        <v>0.12</v>
      </c>
      <c r="I14" s="29" t="n">
        <v>50000</v>
      </c>
    </row>
    <row r="15">
      <c r="A15" s="28" t="inlineStr">
        <is>
          <t>EIB — Eximbank</t>
        </is>
      </c>
      <c r="B15" s="30" t="n">
        <v>0.02</v>
      </c>
      <c r="C15" s="30" t="n">
        <v>0.035</v>
      </c>
      <c r="D15" s="30" t="n">
        <v>0.2</v>
      </c>
      <c r="E15" s="30" t="n">
        <v>0.15</v>
      </c>
      <c r="F15" s="30" t="n">
        <v>0.35</v>
      </c>
      <c r="G15" s="34" t="n">
        <v>1</v>
      </c>
      <c r="H15" s="30" t="n">
        <v>0.12</v>
      </c>
      <c r="I15" s="29" t="n">
        <v>50000</v>
      </c>
    </row>
    <row r="16">
      <c r="A16" s="28" t="inlineStr">
        <is>
          <t>LPB — LienVietPostBank</t>
        </is>
      </c>
      <c r="B16" s="30" t="n">
        <v>0.02</v>
      </c>
      <c r="C16" s="30" t="n">
        <v>0.035</v>
      </c>
      <c r="D16" s="30" t="n">
        <v>0.2</v>
      </c>
      <c r="E16" s="30" t="n">
        <v>0.15</v>
      </c>
      <c r="F16" s="30" t="n">
        <v>0.35</v>
      </c>
      <c r="G16" s="34" t="n">
        <v>1</v>
      </c>
      <c r="H16" s="30" t="n">
        <v>0.12</v>
      </c>
      <c r="I16" s="29" t="n">
        <v>50000</v>
      </c>
    </row>
    <row r="17">
      <c r="A17" s="28" t="inlineStr">
        <is>
          <t>SHB — SHB</t>
        </is>
      </c>
      <c r="B17" s="30" t="n">
        <v>0.02</v>
      </c>
      <c r="C17" s="30" t="n">
        <v>0.035</v>
      </c>
      <c r="D17" s="30" t="n">
        <v>0.2</v>
      </c>
      <c r="E17" s="30" t="n">
        <v>0.15</v>
      </c>
      <c r="F17" s="30" t="n">
        <v>0.35</v>
      </c>
      <c r="G17" s="34" t="n">
        <v>1</v>
      </c>
      <c r="H17" s="30" t="n">
        <v>0.12</v>
      </c>
      <c r="I17" s="29" t="n">
        <v>50000</v>
      </c>
    </row>
    <row r="18">
      <c r="A18" s="28" t="inlineStr">
        <is>
          <t>OCB — OCB</t>
        </is>
      </c>
      <c r="B18" s="30" t="n">
        <v>0.02</v>
      </c>
      <c r="C18" s="30" t="n">
        <v>0.035</v>
      </c>
      <c r="D18" s="30" t="n">
        <v>0.2</v>
      </c>
      <c r="E18" s="30" t="n">
        <v>0.15</v>
      </c>
      <c r="F18" s="30" t="n">
        <v>0.35</v>
      </c>
      <c r="G18" s="34" t="n">
        <v>1</v>
      </c>
      <c r="H18" s="30" t="n">
        <v>0.12</v>
      </c>
      <c r="I18" s="29" t="n">
        <v>50000</v>
      </c>
    </row>
    <row r="19">
      <c r="A19" s="28" t="inlineStr">
        <is>
          <t>BAB — BacABank</t>
        </is>
      </c>
      <c r="B19" s="30" t="n">
        <v>0.02</v>
      </c>
      <c r="C19" s="30" t="n">
        <v>0.035</v>
      </c>
      <c r="D19" s="30" t="n">
        <v>0.2</v>
      </c>
      <c r="E19" s="30" t="n">
        <v>0.15</v>
      </c>
      <c r="F19" s="30" t="n">
        <v>0.35</v>
      </c>
      <c r="G19" s="34" t="n">
        <v>1</v>
      </c>
      <c r="H19" s="30" t="n">
        <v>0.12</v>
      </c>
      <c r="I19" s="29" t="n">
        <v>50000</v>
      </c>
    </row>
    <row r="20">
      <c r="A20" s="28" t="inlineStr">
        <is>
          <t>NAB — NamABank</t>
        </is>
      </c>
      <c r="B20" s="30" t="n">
        <v>0.02</v>
      </c>
      <c r="C20" s="30" t="n">
        <v>0.035</v>
      </c>
      <c r="D20" s="30" t="n">
        <v>0.2</v>
      </c>
      <c r="E20" s="30" t="n">
        <v>0.15</v>
      </c>
      <c r="F20" s="30" t="n">
        <v>0.35</v>
      </c>
      <c r="G20" s="34" t="n">
        <v>1</v>
      </c>
      <c r="H20" s="30" t="n">
        <v>0.12</v>
      </c>
      <c r="I20" s="29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2026-06-29T11:13:22Z</dcterms:created>
  <dcterms:modified xmlns:dcterms="http://purl.org/dc/terms/" xmlns:xsi="http://www.w3.org/2001/XMLSchema-instance" xsi:type="dcterms:W3CDTF">2026-06-29T11:13:22Z</dcterms:modified>
</cp:coreProperties>
</file>