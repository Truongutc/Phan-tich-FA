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E" sheetId="1" state="visible" r:id="rId1"/>
    <sheet name="01_Cover" sheetId="2" state="visible" r:id="rId2"/>
    <sheet name="02_Assumptions" sheetId="3" state="visible" r:id="rId3"/>
    <sheet name="03_Income_Model" sheetId="4" state="visible" r:id="rId4"/>
    <sheet name="04_PnL_Quarterly" sheetId="5" state="visible" r:id="rId5"/>
    <sheet name="04_PnL" sheetId="6" state="visible" r:id="rId6"/>
    <sheet name="05_Balance_Sheet_Quarterly" sheetId="7" state="visible" r:id="rId7"/>
    <sheet name="05_Balance_Sheet" sheetId="8" state="visible" r:id="rId8"/>
    <sheet name="06_Ratios" sheetId="9" state="visible" r:id="rId9"/>
    <sheet name="07_Valuation" sheetId="10" state="visible" r:id="rId10"/>
    <sheet name="08_Sensitivity" sheetId="11" state="visible" r:id="rId11"/>
    <sheet name="09_PESTLE" sheetId="12" state="visible" r:id="rId12"/>
    <sheet name="10_Leading_Indicators" sheetId="13" state="visible" r:id="rId13"/>
    <sheet name="11_Investment_Thesis" sheetId="14" state="visible" r:id="rId14"/>
    <sheet name="12_Summary_Snapshot" sheetId="15" state="visible" r:id="rId15"/>
    <sheet name="13_PE_PB_History" sheetId="16" state="visible" r:id="rId16"/>
    <sheet name="Charts" sheetId="17" state="visible" r:id="rId17"/>
    <sheet name="06_Ratios_Quarterly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0"/>
  </numFmts>
  <fonts count="37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2"/>
    </font>
    <font>
      <name val="Calibri"/>
      <color rgb="00C00000"/>
      <sz val="12"/>
    </font>
    <font>
      <name val="Calibri"/>
      <b val="1"/>
      <color rgb="00006400"/>
      <sz val="12"/>
    </font>
    <font>
      <name val="Calibri"/>
      <i val="1"/>
      <color rgb="00006400"/>
      <sz val="11"/>
    </font>
    <font>
      <name val="Calibri"/>
      <i val="1"/>
      <color rgb="00808080"/>
      <sz val="11"/>
    </font>
    <font>
      <name val="Calibri"/>
      <i val="1"/>
      <color rgb="00C00000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2E75B6"/>
      <sz val="12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i val="1"/>
      <color rgb="00000000"/>
      <sz val="11"/>
    </font>
    <font>
      <name val="Calibri"/>
      <color rgb="00595959"/>
      <sz val="11"/>
    </font>
    <font>
      <name val="Calibri"/>
      <color rgb="00006400"/>
      <sz val="10"/>
    </font>
    <font>
      <name val="Calibri"/>
      <b val="1"/>
      <color rgb="00C00000"/>
      <sz val="13"/>
    </font>
    <font>
      <name val="Calibri"/>
      <b val="1"/>
      <color rgb="00C00000"/>
      <sz val="11"/>
    </font>
    <font>
      <name val="Calibri"/>
      <i val="1"/>
      <sz val="11"/>
    </font>
    <font>
      <name val="Calibri"/>
      <b val="1"/>
      <sz val="10"/>
    </font>
    <font>
      <name val="Calibri"/>
      <b val="1"/>
      <color rgb="00C00000"/>
    </font>
    <font>
      <name val="Calibri"/>
      <b val="1"/>
      <color rgb="002E75B6"/>
      <sz val="11"/>
    </font>
    <font>
      <name val="Calibri"/>
      <i val="1"/>
      <color rgb="00404040"/>
      <sz val="10"/>
    </font>
    <font>
      <name val="Calibri"/>
      <b val="1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808080"/>
      <sz val="9"/>
    </font>
    <font>
      <name val="Calibri"/>
      <color rgb="00C00000"/>
      <sz val="9"/>
    </font>
    <font>
      <name val="Calibri"/>
      <b val="1"/>
      <sz val="13"/>
    </font>
    <font>
      <name val="Calibri"/>
      <b val="1"/>
      <color rgb="002E75B6"/>
    </font>
    <font>
      <color rgb="00C00000"/>
    </font>
    <font>
      <color rgb="00006400"/>
    </font>
    <font>
      <color rgb="00FF8C00"/>
    </font>
    <font>
      <b val="1"/>
      <color rgb="00006400"/>
    </font>
    <font>
      <b val="1"/>
      <color rgb="00FF8C00"/>
    </font>
    <font>
      <name val="Calibri"/>
      <b val="1"/>
      <color rgb="002F5496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FFE0E0"/>
        <bgColor rgb="00FFE0E0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0" fillId="3" borderId="0" applyAlignment="1" pivotButton="0" quotePrefix="0" xfId="0">
      <alignment horizontal="center"/>
    </xf>
    <xf numFmtId="0" fontId="11" fillId="0" borderId="0" pivotButton="0" quotePrefix="0" xfId="0"/>
    <xf numFmtId="0" fontId="12" fillId="2" borderId="1" applyAlignment="1" pivotButton="0" quotePrefix="0" xfId="0">
      <alignment horizontal="center" wrapText="1"/>
    </xf>
    <xf numFmtId="0" fontId="13" fillId="0" borderId="1" pivotButton="0" quotePrefix="0" xfId="0"/>
    <xf numFmtId="10" fontId="13" fillId="4" borderId="1" applyAlignment="1" pivotButton="0" quotePrefix="0" xfId="0">
      <alignment horizontal="center"/>
    </xf>
    <xf numFmtId="0" fontId="14" fillId="0" borderId="1" pivotButton="0" quotePrefix="0" xfId="0"/>
    <xf numFmtId="0" fontId="15" fillId="0" borderId="1" pivotButton="0" quotePrefix="0" xfId="0"/>
    <xf numFmtId="0" fontId="16" fillId="0" borderId="1" applyAlignment="1" pivotButton="0" quotePrefix="0" xfId="0">
      <alignment horizontal="center"/>
    </xf>
    <xf numFmtId="10" fontId="17" fillId="5" borderId="1" applyAlignment="1" pivotButton="0" quotePrefix="0" xfId="0">
      <alignment horizontal="center"/>
    </xf>
    <xf numFmtId="0" fontId="18" fillId="0" borderId="1" pivotButton="0" quotePrefix="0" xfId="0"/>
    <xf numFmtId="0" fontId="19" fillId="0" borderId="1" pivotButton="0" quotePrefix="0" xfId="0"/>
    <xf numFmtId="0" fontId="20" fillId="0" borderId="0" pivotButton="0" quotePrefix="0" xfId="0"/>
    <xf numFmtId="165" fontId="20" fillId="6" borderId="1" applyAlignment="1" pivotButton="0" quotePrefix="0" xfId="0">
      <alignment horizontal="center"/>
    </xf>
    <xf numFmtId="166" fontId="2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21" fillId="5" borderId="1" applyAlignment="1" pivotButton="0" quotePrefix="0" xfId="0">
      <alignment horizontal="center"/>
    </xf>
    <xf numFmtId="0" fontId="22" fillId="0" borderId="1" pivotButton="0" quotePrefix="0" xfId="0"/>
    <xf numFmtId="0" fontId="23" fillId="0" borderId="1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9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164" fontId="9" fillId="6" borderId="1" applyAlignment="1" pivotButton="0" quotePrefix="0" xfId="0">
      <alignment horizontal="center"/>
    </xf>
    <xf numFmtId="0" fontId="24" fillId="0" borderId="1" pivotButton="0" quotePrefix="0" xfId="0"/>
    <xf numFmtId="0" fontId="24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3" fontId="24" fillId="0" borderId="0" pivotButton="0" quotePrefix="0" xfId="0"/>
    <xf numFmtId="2" fontId="0" fillId="0" borderId="0" pivotButton="0" quotePrefix="0" xfId="0"/>
    <xf numFmtId="2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2" fontId="21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10" fontId="4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9" fontId="24" fillId="0" borderId="0" pivotButton="0" quotePrefix="0" xfId="0"/>
    <xf numFmtId="165" fontId="24" fillId="0" borderId="0" pivotButton="0" quotePrefix="0" xfId="0"/>
    <xf numFmtId="3" fontId="31" fillId="0" borderId="0" pivotButton="0" quotePrefix="0" xfId="0"/>
    <xf numFmtId="0" fontId="0" fillId="0" borderId="1" pivotButton="0" quotePrefix="0" xfId="0"/>
    <xf numFmtId="0" fontId="32" fillId="0" borderId="1" pivotButton="0" quotePrefix="0" xfId="0"/>
    <xf numFmtId="0" fontId="31" fillId="0" borderId="1" pivotButton="0" quotePrefix="0" xfId="0"/>
    <xf numFmtId="0" fontId="33" fillId="0" borderId="1" pivotButton="0" quotePrefix="0" xfId="0"/>
    <xf numFmtId="0" fontId="0" fillId="0" borderId="1" applyAlignment="1" pivotButton="0" quotePrefix="0" xfId="0">
      <alignment wrapText="1"/>
    </xf>
    <xf numFmtId="0" fontId="34" fillId="0" borderId="1" pivotButton="0" quotePrefix="0" xfId="0"/>
    <xf numFmtId="0" fontId="35" fillId="0" borderId="1" pivotButton="0" quotePrefix="0" xfId="0"/>
    <xf numFmtId="0" fontId="0" fillId="6" borderId="1" applyAlignment="1" pivotButton="0" quotePrefix="0" xfId="0">
      <alignment horizontal="center"/>
    </xf>
    <xf numFmtId="10" fontId="0" fillId="0" borderId="1" pivotButton="0" quotePrefix="0" xfId="0"/>
    <xf numFmtId="0" fontId="24" fillId="2" borderId="1" applyAlignment="1" pivotButton="0" quotePrefix="0" xfId="0">
      <alignment horizontal="center"/>
    </xf>
    <xf numFmtId="166" fontId="0" fillId="0" borderId="1" pivotButton="0" quotePrefix="0" xfId="0"/>
    <xf numFmtId="2" fontId="0" fillId="0" borderId="1" pivotButton="0" quotePrefix="0" xfId="0"/>
    <xf numFmtId="49" fontId="0" fillId="0" borderId="1" pivotButton="0" quotePrefix="0" xfId="0"/>
    <xf numFmtId="0" fontId="36" fillId="0" borderId="1" pivotButton="0" quotePrefix="0" xfId="0"/>
    <xf numFmtId="166" fontId="24" fillId="0" borderId="1" pivotButton="0" quotePrefix="0" xfId="0"/>
    <xf numFmtId="2" fontId="2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NII &amp; LNST (tỷ đồng)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'Sheet'!$A$2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  <col width="18" customWidth="1" min="4" max="4"/>
    <col width="16" customWidth="1" min="5" max="5"/>
  </cols>
  <sheetData>
    <row r="1">
      <c r="A1" s="1" t="inlineStr">
        <is>
          <t>CHI PHÍ VỐN CSH (COE) — MÔ HÌNH CAPM | TCB</t>
        </is>
      </c>
    </row>
    <row r="3">
      <c r="A3" s="2" t="inlineStr">
        <is>
          <t>1. CÔNG THỨC CAPM: COE = Rf + β × ERP</t>
        </is>
      </c>
    </row>
    <row r="4">
      <c r="A4" s="3" t="inlineStr">
        <is>
          <t>Tham số</t>
        </is>
      </c>
      <c r="B4" s="3" t="inlineStr">
        <is>
          <t>Giá trị</t>
        </is>
      </c>
      <c r="C4" s="3" t="inlineStr">
        <is>
          <t>Diễn giải</t>
        </is>
      </c>
      <c r="D4" s="3" t="inlineStr">
        <is>
          <t>Nguồn / Ghi chú</t>
        </is>
      </c>
      <c r="E4" s="3" t="inlineStr">
        <is>
          <t>Có thể chỉnh?</t>
        </is>
      </c>
    </row>
    <row r="5">
      <c r="A5" s="4" t="inlineStr">
        <is>
          <t>Rf — Lãi suất phi rủi ro</t>
        </is>
      </c>
      <c r="B5" s="5" t="n">
        <v>0.045</v>
      </c>
      <c r="C5" s="6" t="inlineStr">
        <is>
          <t>Lãi suất TP Chính phủ VN kỳ hạn 10 năm</t>
        </is>
      </c>
      <c r="D5" s="7" t="inlineStr">
        <is>
          <t>Nguồn: Fallback (manual)</t>
        </is>
      </c>
      <c r="E5" s="8" t="inlineStr">
        <is>
          <t>✔ Có thể điều chỉnh</t>
        </is>
      </c>
    </row>
    <row r="6">
      <c r="A6" s="4" t="inlineStr">
        <is>
          <t>β  — Hệ số Beta</t>
        </is>
      </c>
      <c r="B6" s="5" t="n">
        <v>0.98</v>
      </c>
      <c r="C6" s="6" t="inlineStr">
        <is>
          <t>Độ nhạy giá TCB so với VN-Index (252 phiên)</t>
        </is>
      </c>
      <c r="D6" s="7" t="inlineStr">
        <is>
          <t>Nguồn: Vietstock (0.98)</t>
        </is>
      </c>
      <c r="E6" s="8" t="inlineStr">
        <is>
          <t>✔ Có thể điều chỉnh</t>
        </is>
      </c>
    </row>
    <row r="7">
      <c r="A7" s="4" t="inlineStr">
        <is>
          <t>ERP — Phần bù rủi ro vốn</t>
        </is>
      </c>
      <c r="B7" s="5" t="n">
        <v>0.07000000000000001</v>
      </c>
      <c r="C7" s="6" t="inlineStr">
        <is>
          <t>Equity Risk Premium cho thị trường Việt Nam</t>
        </is>
      </c>
      <c r="D7" s="7" t="inlineStr">
        <is>
          <t>Damodaran 2025: ~7.0%</t>
        </is>
      </c>
      <c r="E7" s="8" t="inlineStr">
        <is>
          <t>✔ Có thể điều chỉnh</t>
        </is>
      </c>
    </row>
    <row r="8">
      <c r="A8" s="4" t="inlineStr">
        <is>
          <t>COE = Rf + β × ERP</t>
        </is>
      </c>
      <c r="B8" s="9">
        <f>B5+B6*B7</f>
        <v/>
      </c>
      <c r="C8" s="10" t="inlineStr">
        <is>
          <t>← Đây là COE được dùng trong định giá RI</t>
        </is>
      </c>
    </row>
    <row r="10">
      <c r="A10" s="2" t="inlineStr">
        <is>
          <t>2. Ý NGHĨA COE VÀ TÁC ĐỘNG LÊN ĐỊNH GIÁ RI</t>
        </is>
      </c>
    </row>
    <row r="11">
      <c r="A11" s="4" t="inlineStr">
        <is>
          <t>Nếu ROE &gt; COE</t>
        </is>
      </c>
      <c r="B11" s="11" t="inlineStr">
        <is>
          <t>→ Residual Income (RI) dương → cổ phiếu tạo ra giá trị thặng dư → Giá trị RI cao hơn BVPS</t>
        </is>
      </c>
    </row>
    <row r="12">
      <c r="A12" s="4" t="inlineStr">
        <is>
          <t>Nếu ROE = COE</t>
        </is>
      </c>
      <c r="B12" s="11" t="inlineStr">
        <is>
          <t>→ RI = 0 → Giá trị cổ phiếu đúng bằng BVPS (giá trị sổ sách)</t>
        </is>
      </c>
    </row>
    <row r="13">
      <c r="A13" s="4" t="inlineStr">
        <is>
          <t>Nếu ROE &lt; COE</t>
        </is>
      </c>
      <c r="B13" s="11" t="inlineStr">
        <is>
          <t>→ RI âm → Cổ phiếu đang hủy giá trị → Giá trị RI thấp hơn BVPS</t>
        </is>
      </c>
    </row>
    <row r="14">
      <c r="A14" s="4" t="inlineStr">
        <is>
          <t>TCB ROE 2026F</t>
        </is>
      </c>
      <c r="B14" s="11" t="inlineStr">
        <is>
          <t>→ Khoảng 11.7% vs COE 11.36% → xem kết quả RI tại 07_Valuation</t>
        </is>
      </c>
    </row>
    <row r="16">
      <c r="A16" s="2" t="inlineStr">
        <is>
          <t>3. BẢNG ĐỘ NHẠY: COE theo Beta và Rf</t>
        </is>
      </c>
    </row>
    <row r="17">
      <c r="A17" s="12" t="inlineStr">
        <is>
          <t>Beta \ Rf →</t>
        </is>
      </c>
      <c r="B17" s="13" t="n">
        <v>0.035</v>
      </c>
      <c r="C17" s="13" t="n">
        <v>0.04</v>
      </c>
      <c r="D17" s="13" t="n">
        <v>0.045</v>
      </c>
      <c r="E17" s="13" t="n">
        <v>0.05</v>
      </c>
      <c r="F17" s="13" t="n">
        <v>0.055</v>
      </c>
    </row>
    <row r="18">
      <c r="A18" s="14" t="n">
        <v>0.7</v>
      </c>
      <c r="B18" s="15" t="n">
        <v>0.08400000000000001</v>
      </c>
      <c r="C18" s="15" t="n">
        <v>0.089</v>
      </c>
      <c r="D18" s="15" t="n">
        <v>0.094</v>
      </c>
      <c r="E18" s="15" t="n">
        <v>0.099</v>
      </c>
      <c r="F18" s="15" t="n">
        <v>0.104</v>
      </c>
    </row>
    <row r="19">
      <c r="A19" s="14" t="n">
        <v>0.8</v>
      </c>
      <c r="B19" s="15" t="n">
        <v>0.09100000000000001</v>
      </c>
      <c r="C19" s="15" t="n">
        <v>0.096</v>
      </c>
      <c r="D19" s="15" t="n">
        <v>0.101</v>
      </c>
      <c r="E19" s="15" t="n">
        <v>0.106</v>
      </c>
      <c r="F19" s="15" t="n">
        <v>0.111</v>
      </c>
    </row>
    <row r="20">
      <c r="A20" s="14" t="n">
        <v>0.9</v>
      </c>
      <c r="B20" s="15" t="n">
        <v>0.09800000000000002</v>
      </c>
      <c r="C20" s="15" t="n">
        <v>0.103</v>
      </c>
      <c r="D20" s="15" t="n">
        <v>0.108</v>
      </c>
      <c r="E20" s="15" t="n">
        <v>0.113</v>
      </c>
      <c r="F20" s="15" t="n">
        <v>0.118</v>
      </c>
    </row>
    <row r="21">
      <c r="A21" s="14" t="n">
        <v>1</v>
      </c>
      <c r="B21" s="15" t="n">
        <v>0.105</v>
      </c>
      <c r="C21" s="15" t="n">
        <v>0.11</v>
      </c>
      <c r="D21" s="16" t="n">
        <v>0.115</v>
      </c>
      <c r="E21" s="15" t="n">
        <v>0.12</v>
      </c>
      <c r="F21" s="15" t="n">
        <v>0.125</v>
      </c>
    </row>
    <row r="22">
      <c r="A22" s="14" t="n">
        <v>1.1</v>
      </c>
      <c r="B22" s="15" t="n">
        <v>0.112</v>
      </c>
      <c r="C22" s="15" t="n">
        <v>0.117</v>
      </c>
      <c r="D22" s="15" t="n">
        <v>0.122</v>
      </c>
      <c r="E22" s="15" t="n">
        <v>0.127</v>
      </c>
      <c r="F22" s="15" t="n">
        <v>0.132</v>
      </c>
    </row>
    <row r="23">
      <c r="A23" s="14" t="n">
        <v>1.2</v>
      </c>
      <c r="B23" s="15" t="n">
        <v>0.119</v>
      </c>
      <c r="C23" s="15" t="n">
        <v>0.124</v>
      </c>
      <c r="D23" s="15" t="n">
        <v>0.129</v>
      </c>
      <c r="E23" s="15" t="n">
        <v>0.134</v>
      </c>
      <c r="F23" s="15" t="n">
        <v>0.139</v>
      </c>
    </row>
    <row r="24">
      <c r="A24" s="14" t="n">
        <v>1.3</v>
      </c>
      <c r="B24" s="15" t="n">
        <v>0.126</v>
      </c>
      <c r="C24" s="15" t="n">
        <v>0.131</v>
      </c>
      <c r="D24" s="15" t="n">
        <v>0.136</v>
      </c>
      <c r="E24" s="15" t="n">
        <v>0.141</v>
      </c>
      <c r="F24" s="15" t="n">
        <v>0.146</v>
      </c>
    </row>
    <row r="26">
      <c r="A26" s="2" t="inlineStr">
        <is>
          <t>4. HƯỚNG DẪN CHỈNH SỬA CÁC THAM SỐ</t>
        </is>
      </c>
    </row>
    <row r="27" ht="30" customHeight="1">
      <c r="A27" s="17" t="inlineStr">
        <is>
          <t>Rf</t>
        </is>
      </c>
      <c r="B27" s="18" t="inlineStr">
        <is>
          <t>Tra lãi suất TP CP VN 10 năm tại: hnx.vn hoặc vbma.org.vn. Thường dao động 3.5%-6%. Cập nhật khi có thay đổi lãi suất điều hành SBV.</t>
        </is>
      </c>
    </row>
    <row r="28" ht="30" customHeight="1">
      <c r="A28" s="17" t="inlineStr">
        <is>
          <t>β</t>
        </is>
      </c>
      <c r="B28" s="18" t="inlineStr">
        <is>
          <t>Nếu Vietcap API không trả về Beta, có thể ước tính = Std(TCB) / Std(VNIndex) × Corr(TCB, VNIndex) trên 252 phiên. Ngân hàng lớn VN thường β ≈ 0.9-1.2.</t>
        </is>
      </c>
    </row>
    <row r="29" ht="30" customHeight="1">
      <c r="A29" s="17" t="inlineStr">
        <is>
          <t>ERP</t>
        </is>
      </c>
      <c r="B29" s="18" t="inlineStr">
        <is>
          <t>Damodaran cập nhật hàng tháng tại: pages.stern.nyu.edu/~adamodar/. Với VN đang phát triển, ERP = 6-8%. ERP cao → định giá thận trọng hơn.</t>
        </is>
      </c>
    </row>
    <row r="30" ht="30" customHeight="1">
      <c r="A30" s="17" t="inlineStr">
        <is>
          <t>COE</t>
        </is>
      </c>
      <c r="B30" s="18" t="inlineStr">
        <is>
          <t>Kết quả ô B8 được link tự động sang '02_Assumptions'!G12. Khi COE thay đổi, toàn bộ RI và Target Price sẽ tự cập nhật.</t>
        </is>
      </c>
    </row>
  </sheetData>
  <mergeCells count="14">
    <mergeCell ref="A8"/>
    <mergeCell ref="B27:E27"/>
    <mergeCell ref="A26:E26"/>
    <mergeCell ref="A16:E16"/>
    <mergeCell ref="B12:E12"/>
    <mergeCell ref="A10:E10"/>
    <mergeCell ref="B13:E13"/>
    <mergeCell ref="B30:E30"/>
    <mergeCell ref="B29:E29"/>
    <mergeCell ref="A1:E1"/>
    <mergeCell ref="B11:E11"/>
    <mergeCell ref="B28:E28"/>
    <mergeCell ref="B14:E14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9" t="inlineStr">
        <is>
          <t>PHÂN TÍCH CỔ PHIẾU TCB</t>
        </is>
      </c>
    </row>
    <row r="2">
      <c r="A2" s="20" t="inlineStr">
        <is>
          <t>Ngân hàng TMCP Kỹ Thương Việt Nam | HOSE | Ngành: Ngân hàng (Bank quy mô lớn)</t>
        </is>
      </c>
    </row>
    <row r="4">
      <c r="A4" s="21" t="inlineStr">
        <is>
          <t>Giá hiện tại: 33,400.0 VND | P/B: 1.32x | P/E: 9.12x</t>
        </is>
      </c>
    </row>
    <row r="5">
      <c r="A5" s="22" t="inlineStr">
        <is>
          <t>Target Price: 40,393 VND | Upside: 20.9% | Khuyến nghị: MUA</t>
        </is>
      </c>
    </row>
    <row r="6">
      <c r="A6" s="23" t="inlineStr">
        <is>
          <t>Vùng P/B Hấp Dẫn (MUA): 1.11x → 31,728 VND</t>
        </is>
      </c>
    </row>
    <row r="7">
      <c r="A7" s="24" t="inlineStr">
        <is>
          <t>Vùng P/B Cân Bằng (FAIR): 1.33x → 37,816 VND</t>
        </is>
      </c>
    </row>
    <row r="8">
      <c r="A8" s="25" t="inlineStr">
        <is>
          <t>Vùng P/B Chốt Lời (BÁN): 1.66x → 47,298 VND</t>
        </is>
      </c>
    </row>
  </sheetData>
  <mergeCells count="7">
    <mergeCell ref="A7:I7"/>
    <mergeCell ref="A2:I2"/>
    <mergeCell ref="A5:I5"/>
    <mergeCell ref="A1:I1"/>
    <mergeCell ref="A8:I8"/>
    <mergeCell ref="A6:I6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27" t="inlineStr">
        <is>
          <t>Giá cổ phiếu (VND)</t>
        </is>
      </c>
      <c r="B2" s="28" t="n">
        <v>33400</v>
      </c>
      <c r="C2" s="29" t="n"/>
      <c r="D2" s="29" t="n"/>
      <c r="E2" s="29" t="n"/>
      <c r="F2" s="29" t="n"/>
      <c r="G2" s="29" t="n"/>
      <c r="H2" s="29" t="n"/>
      <c r="I2" s="29" t="n"/>
    </row>
    <row r="3">
      <c r="A3" s="27" t="inlineStr">
        <is>
          <t>Số lượng CP lưu hành</t>
        </is>
      </c>
      <c r="B3" s="28" t="n">
        <v>7086240414</v>
      </c>
      <c r="C3" s="29" t="n"/>
      <c r="D3" s="29" t="n"/>
      <c r="E3" s="29" t="n"/>
      <c r="F3" s="29" t="n"/>
      <c r="G3" s="29" t="n"/>
      <c r="H3" s="29" t="n"/>
      <c r="I3" s="29" t="n"/>
    </row>
    <row r="4">
      <c r="A4" s="27" t="inlineStr">
        <is>
          <t>Tăng trưởng tín dụng (%)</t>
        </is>
      </c>
      <c r="B4" s="29" t="n"/>
      <c r="C4" s="29" t="n"/>
      <c r="D4" s="29" t="n"/>
      <c r="E4" s="29" t="n"/>
      <c r="F4" s="29" t="n"/>
      <c r="G4" s="30" t="n">
        <v>0.14</v>
      </c>
      <c r="H4" s="30" t="n">
        <v>0.13</v>
      </c>
      <c r="I4" s="30" t="n">
        <v>0.12</v>
      </c>
    </row>
    <row r="5">
      <c r="A5" s="27" t="inlineStr">
        <is>
          <t>Tăng trưởng huy động (%)</t>
        </is>
      </c>
      <c r="B5" s="29" t="n"/>
      <c r="C5" s="29" t="n"/>
      <c r="D5" s="29" t="n"/>
      <c r="E5" s="29" t="n"/>
      <c r="F5" s="29" t="n"/>
      <c r="G5" s="30" t="n">
        <v>0.12</v>
      </c>
      <c r="H5" s="30" t="n">
        <v>0.11</v>
      </c>
      <c r="I5" s="30" t="n">
        <v>0.1</v>
      </c>
    </row>
    <row r="6">
      <c r="A6" s="27" t="inlineStr">
        <is>
          <t>NIM (%)</t>
        </is>
      </c>
      <c r="B6" s="30" t="n">
        <v>0.0513</v>
      </c>
      <c r="C6" s="30" t="n">
        <v>0.0532</v>
      </c>
      <c r="D6" s="30" t="n">
        <v>0.0404</v>
      </c>
      <c r="E6" s="30" t="n">
        <v>0.0426</v>
      </c>
      <c r="F6" s="30" t="n">
        <v>0.0378</v>
      </c>
      <c r="G6" s="30" t="n">
        <v>0.034</v>
      </c>
      <c r="H6" s="30" t="n">
        <v>0.0345</v>
      </c>
      <c r="I6" s="30" t="n">
        <v>0.035</v>
      </c>
    </row>
    <row r="7">
      <c r="A7" s="27" t="inlineStr">
        <is>
          <t>CIR (%)</t>
        </is>
      </c>
      <c r="B7" s="30" t="n">
        <v>0.3014</v>
      </c>
      <c r="C7" s="30" t="n">
        <v>0.3213</v>
      </c>
      <c r="D7" s="30" t="n">
        <v>0.3308</v>
      </c>
      <c r="E7" s="30" t="n">
        <v>0.3271</v>
      </c>
      <c r="F7" s="30" t="n">
        <v>0.3078</v>
      </c>
      <c r="G7" s="30" t="n">
        <v>0.33</v>
      </c>
      <c r="H7" s="30" t="n">
        <v>0.32</v>
      </c>
      <c r="I7" s="30" t="n">
        <v>0.32</v>
      </c>
    </row>
    <row r="8">
      <c r="A8" s="27" t="inlineStr">
        <is>
          <t>CoC - Credit Cost (%)</t>
        </is>
      </c>
      <c r="B8" s="30" t="n">
        <v>0.007800000000000001</v>
      </c>
      <c r="C8" s="30" t="n">
        <v>0.0051</v>
      </c>
      <c r="D8" s="30" t="n">
        <v>0.008399999999999999</v>
      </c>
      <c r="E8" s="30" t="n">
        <v>0.0072</v>
      </c>
      <c r="F8" s="30" t="n">
        <v>0.0064</v>
      </c>
      <c r="G8" s="30" t="n">
        <v>0.013</v>
      </c>
      <c r="H8" s="30" t="n">
        <v>0.012</v>
      </c>
      <c r="I8" s="30" t="n">
        <v>0.011</v>
      </c>
    </row>
    <row r="9">
      <c r="A9" s="27" t="inlineStr">
        <is>
          <t>NPL ratio (%)</t>
        </is>
      </c>
      <c r="B9" s="30" t="n">
        <v>0.0067</v>
      </c>
      <c r="C9" s="30" t="n">
        <v>0.0073</v>
      </c>
      <c r="D9" s="30" t="n">
        <v>0.0117</v>
      </c>
      <c r="E9" s="30" t="n">
        <v>0.0114</v>
      </c>
      <c r="F9" s="30" t="n">
        <v>0.0108</v>
      </c>
      <c r="G9" s="30" t="n">
        <v>0.012</v>
      </c>
      <c r="H9" s="30" t="n">
        <v>0.011</v>
      </c>
      <c r="I9" s="30" t="n">
        <v>0.01</v>
      </c>
    </row>
    <row r="10">
      <c r="A10" s="27" t="inlineStr">
        <is>
          <t>CASA ratio (%)</t>
        </is>
      </c>
      <c r="B10" s="30" t="n">
        <v>0.4698</v>
      </c>
      <c r="C10" s="30" t="n">
        <v>0.3434</v>
      </c>
      <c r="D10" s="30" t="n">
        <v>0.38</v>
      </c>
      <c r="E10" s="30" t="n">
        <v>0.3594</v>
      </c>
      <c r="F10" s="30" t="n">
        <v>0.3448</v>
      </c>
      <c r="G10" s="30" t="n">
        <v>0.055</v>
      </c>
      <c r="H10" s="30" t="n">
        <v>0.065</v>
      </c>
      <c r="I10" s="30" t="n">
        <v>0.075</v>
      </c>
    </row>
    <row r="11">
      <c r="A11" s="27" t="inlineStr">
        <is>
          <t>Tăng trưởng non-TOI (%)</t>
        </is>
      </c>
      <c r="B11" s="29" t="n"/>
      <c r="C11" s="29" t="n"/>
      <c r="D11" s="29" t="n"/>
      <c r="E11" s="29" t="n"/>
      <c r="F11" s="29" t="n"/>
      <c r="G11" s="30" t="n">
        <v>0.15</v>
      </c>
      <c r="H11" s="30" t="n">
        <v>0.15</v>
      </c>
      <c r="I11" s="30" t="n">
        <v>0.14</v>
      </c>
    </row>
    <row r="12">
      <c r="A12" s="27" t="inlineStr">
        <is>
          <t>Chi phí vốn CSH (COE)</t>
        </is>
      </c>
      <c r="B12" s="29" t="n"/>
      <c r="C12" s="29" t="n"/>
      <c r="D12" s="29" t="n"/>
      <c r="E12" s="29" t="n"/>
      <c r="F12" s="29" t="n"/>
      <c r="G12" s="27">
        <f>'00_COE'!$B$8</f>
        <v/>
      </c>
      <c r="H12" s="27" t="inlineStr">
        <is>
          <t>'00_COE'!$B$8</t>
        </is>
      </c>
      <c r="I12" s="27" t="inlineStr">
        <is>
          <t>'00_COE'!$B$8</t>
        </is>
      </c>
    </row>
    <row r="13">
      <c r="A13" s="27" t="inlineStr">
        <is>
          <t>Tăng trưởng dài hạn (g)</t>
        </is>
      </c>
      <c r="B13" s="29" t="n"/>
      <c r="C13" s="29" t="n"/>
      <c r="D13" s="29" t="n"/>
      <c r="E13" s="29" t="n"/>
      <c r="F13" s="29" t="n"/>
      <c r="G13" s="29" t="n"/>
      <c r="H13" s="29" t="n"/>
      <c r="I13" s="30" t="n">
        <v>0.03</v>
      </c>
    </row>
    <row r="14">
      <c r="A14" s="27" t="inlineStr">
        <is>
          <t>Thuế suất (%)</t>
        </is>
      </c>
      <c r="B14" s="29" t="n"/>
      <c r="C14" s="29" t="n"/>
      <c r="D14" s="29" t="n"/>
      <c r="E14" s="29" t="n"/>
      <c r="F14" s="29" t="n"/>
      <c r="G14" s="30" t="n">
        <v>0.2</v>
      </c>
      <c r="H14" s="30" t="n">
        <v>0.2</v>
      </c>
      <c r="I14" s="30" t="n">
        <v>0.2</v>
      </c>
    </row>
    <row r="15">
      <c r="A15" s="27" t="inlineStr">
        <is>
          <t>P/B mục tiêu (x)</t>
        </is>
      </c>
      <c r="B15" s="29" t="n"/>
      <c r="C15" s="29" t="n"/>
      <c r="D15" s="29" t="n"/>
      <c r="E15" s="29" t="n"/>
      <c r="F15" s="29" t="n"/>
      <c r="G15" s="31" t="n">
        <v>1.66</v>
      </c>
      <c r="H15" s="31" t="n">
        <v>1.66</v>
      </c>
      <c r="I15" s="31" t="n">
        <v>1.66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IEA bình quân (tỷ)</t>
        </is>
      </c>
      <c r="B2" s="33" t="n">
        <v>520194.099</v>
      </c>
      <c r="C2" s="33" t="n">
        <v>569081.67</v>
      </c>
      <c r="D2" s="33" t="n">
        <v>685155.2325</v>
      </c>
      <c r="E2" s="33" t="n">
        <v>833463.7640000001</v>
      </c>
      <c r="F2" s="33" t="n">
        <v>1009356.682</v>
      </c>
      <c r="G2" s="33">
        <f>(('05_Balance_Sheet'!F3+'05_Balance_Sheet'!F4+'05_Balance_Sheet'!F5+'05_Balance_Sheet'!F6+'05_Balance_Sheet'!F7)+('05_Balance_Sheet'!G3+'05_Balance_Sheet'!G4+'05_Balance_Sheet'!G5+'05_Balance_Sheet'!G6+'05_Balance_Sheet'!G7))/2</f>
        <v/>
      </c>
      <c r="H2" s="33">
        <f>(('05_Balance_Sheet'!G3+'05_Balance_Sheet'!G4+'05_Balance_Sheet'!G5+'05_Balance_Sheet'!G6+'05_Balance_Sheet'!G7)+('05_Balance_Sheet'!H3+'05_Balance_Sheet'!H4+'05_Balance_Sheet'!H5+'05_Balance_Sheet'!H6+'05_Balance_Sheet'!H7))/2</f>
        <v/>
      </c>
      <c r="I2" s="33">
        <f>(('05_Balance_Sheet'!H3+'05_Balance_Sheet'!H4+'05_Balance_Sheet'!H5+'05_Balance_Sheet'!H6+'05_Balance_Sheet'!H7)+('05_Balance_Sheet'!I3+'05_Balance_Sheet'!I4+'05_Balance_Sheet'!I5+'05_Balance_Sheet'!I6+'05_Balance_Sheet'!I7))/2</f>
        <v/>
      </c>
    </row>
    <row r="3">
      <c r="A3" s="27" t="inlineStr">
        <is>
          <t>IEA tăng trưởng (%)</t>
        </is>
      </c>
      <c r="B3" s="29" t="n"/>
      <c r="C3" s="31" t="n">
        <v>18.8</v>
      </c>
      <c r="D3" s="31" t="n">
        <v>21.74</v>
      </c>
      <c r="E3" s="31" t="n">
        <v>21.57</v>
      </c>
      <c r="F3" s="31" t="n">
        <v>20.72</v>
      </c>
      <c r="G3" s="31">
        <f>(('05_Balance_Sheet'!G3+'05_Balance_Sheet'!G4+'05_Balance_Sheet'!G5+'05_Balance_Sheet'!G6+'05_Balance_Sheet'!G7)/('05_Balance_Sheet'!F3+'05_Balance_Sheet'!F4+'05_Balance_Sheet'!F5+'05_Balance_Sheet'!F6+'05_Balance_Sheet'!F7)-1)*100</f>
        <v/>
      </c>
      <c r="H3" s="31">
        <f>(('05_Balance_Sheet'!H3+'05_Balance_Sheet'!H4+'05_Balance_Sheet'!H5+'05_Balance_Sheet'!H6+'05_Balance_Sheet'!H7)/('05_Balance_Sheet'!G3+'05_Balance_Sheet'!G4+'05_Balance_Sheet'!G5+'05_Balance_Sheet'!G6+'05_Balance_Sheet'!G7)-1)*100</f>
        <v/>
      </c>
      <c r="I3" s="31">
        <f>(('05_Balance_Sheet'!I3+'05_Balance_Sheet'!I4+'05_Balance_Sheet'!I5+'05_Balance_Sheet'!I6+'05_Balance_Sheet'!I7)/('05_Balance_Sheet'!H3+'05_Balance_Sheet'!H4+'05_Balance_Sheet'!H5+'05_Balance_Sheet'!H6+'05_Balance_Sheet'!H7)-1)*100</f>
        <v/>
      </c>
    </row>
    <row r="4">
      <c r="A4" s="32" t="inlineStr">
        <is>
          <t>NIM (%)</t>
        </is>
      </c>
      <c r="B4" s="33" t="n">
        <v>0.0513</v>
      </c>
      <c r="C4" s="33" t="n">
        <v>0.0532</v>
      </c>
      <c r="D4" s="33" t="n">
        <v>0.0404</v>
      </c>
      <c r="E4" s="33" t="n">
        <v>0.0426</v>
      </c>
      <c r="F4" s="33" t="n">
        <v>0.0378</v>
      </c>
      <c r="G4" s="33">
        <f>'02_Assumptions'!G6</f>
        <v/>
      </c>
      <c r="H4" s="33">
        <f>'02_Assumptions'!H6</f>
        <v/>
      </c>
      <c r="I4" s="33">
        <f>'02_Assumptions'!I6</f>
        <v/>
      </c>
    </row>
    <row r="5">
      <c r="A5" s="27" t="inlineStr">
        <is>
          <t>NII (tỷ)</t>
        </is>
      </c>
      <c r="B5" s="31" t="n">
        <v>26698.613</v>
      </c>
      <c r="C5" s="31" t="n">
        <v>30289.775</v>
      </c>
      <c r="D5" s="31" t="n">
        <v>27691.12</v>
      </c>
      <c r="E5" s="31" t="n">
        <v>35507.963</v>
      </c>
      <c r="F5" s="31" t="n">
        <v>38155.091</v>
      </c>
      <c r="G5" s="31">
        <f>G2*G4</f>
        <v/>
      </c>
      <c r="H5" s="31">
        <f>H2*H4</f>
        <v/>
      </c>
      <c r="I5" s="31">
        <f>I2*I4</f>
        <v/>
      </c>
    </row>
    <row r="6">
      <c r="A6" s="27" t="inlineStr">
        <is>
          <t>Thu nhập dịch vụ (tỷ)</t>
        </is>
      </c>
      <c r="B6" s="31" t="n">
        <v>6382.24</v>
      </c>
      <c r="C6" s="31" t="n">
        <v>8152.605</v>
      </c>
      <c r="D6" s="31" t="n">
        <v>8714.897000000001</v>
      </c>
      <c r="E6" s="31" t="n">
        <v>8042.248</v>
      </c>
      <c r="F6" s="31" t="n">
        <v>8771.995000000001</v>
      </c>
      <c r="G6" s="29" t="n">
        <v>0</v>
      </c>
      <c r="H6" s="29" t="n">
        <v>0</v>
      </c>
      <c r="I6" s="29" t="n">
        <v>0</v>
      </c>
    </row>
    <row r="7">
      <c r="A7" s="27" t="inlineStr">
        <is>
          <t>Thu nhập ngoại hối (tỷ)</t>
        </is>
      </c>
      <c r="B7" s="31" t="n">
        <v>231.416</v>
      </c>
      <c r="C7" s="31" t="n">
        <v>-275.063</v>
      </c>
      <c r="D7" s="31" t="n">
        <v>195.75</v>
      </c>
      <c r="E7" s="31" t="n">
        <v>592.556</v>
      </c>
      <c r="F7" s="31" t="n">
        <v>1642.201</v>
      </c>
      <c r="G7" s="29" t="n">
        <v>0</v>
      </c>
      <c r="H7" s="29" t="n">
        <v>0</v>
      </c>
      <c r="I7" s="29" t="n">
        <v>0</v>
      </c>
    </row>
    <row r="8">
      <c r="A8" s="27" t="inlineStr">
        <is>
          <t>Thu nhập CK đầu tư (tỷ)</t>
        </is>
      </c>
      <c r="B8" s="31" t="n">
        <v>1956.713</v>
      </c>
      <c r="C8" s="31" t="n">
        <v>183.708</v>
      </c>
      <c r="D8" s="31" t="n">
        <v>990.453</v>
      </c>
      <c r="E8" s="31" t="n">
        <v>2440.358</v>
      </c>
      <c r="F8" s="31" t="n">
        <v>2898.295</v>
      </c>
      <c r="G8" s="29" t="n">
        <v>0</v>
      </c>
      <c r="H8" s="29" t="n">
        <v>0</v>
      </c>
      <c r="I8" s="29" t="n">
        <v>0</v>
      </c>
    </row>
    <row r="9">
      <c r="A9" s="27" t="inlineStr">
        <is>
          <t>Thu nhập khác (tỷ)</t>
        </is>
      </c>
      <c r="B9" s="31" t="n">
        <v>1803.246</v>
      </c>
      <c r="C9" s="31" t="n">
        <v>2167.375</v>
      </c>
      <c r="D9" s="31" t="n">
        <v>2434.116</v>
      </c>
      <c r="E9" s="31" t="n">
        <v>342.711</v>
      </c>
      <c r="F9" s="31" t="n">
        <v>1884.342</v>
      </c>
      <c r="G9" s="29" t="n">
        <v>0</v>
      </c>
      <c r="H9" s="29" t="n">
        <v>0</v>
      </c>
      <c r="I9" s="29" t="n">
        <v>0</v>
      </c>
    </row>
    <row r="10">
      <c r="A10" s="27" t="inlineStr">
        <is>
          <t>Tổng thu nhập ngoài lãi (tỷ)</t>
        </is>
      </c>
      <c r="B10" s="31" t="n">
        <v>10377.678</v>
      </c>
      <c r="C10" s="31" t="n">
        <v>10237.416</v>
      </c>
      <c r="D10" s="31" t="n">
        <v>12369.972</v>
      </c>
      <c r="E10" s="31" t="n">
        <v>11482.43399999999</v>
      </c>
      <c r="F10" s="31" t="n">
        <v>15236.034</v>
      </c>
      <c r="G10" s="31">
        <f>'03_Income_Model'!F10*(1+'02_Assumptions'!G11)</f>
        <v/>
      </c>
      <c r="H10" s="31">
        <f>'03_Income_Model'!G10*(1+'02_Assumptions'!H11)</f>
        <v/>
      </c>
      <c r="I10" s="31">
        <f>'03_Income_Model'!H10*(1+'02_Assumptions'!I11)</f>
        <v/>
      </c>
    </row>
    <row r="11">
      <c r="A11" s="27" t="inlineStr">
        <is>
          <t>Tổng thu nhập HĐ - TOI (tỷ)</t>
        </is>
      </c>
      <c r="B11" s="31" t="n">
        <v>37076.291</v>
      </c>
      <c r="C11" s="31" t="n">
        <v>40527.191</v>
      </c>
      <c r="D11" s="31" t="n">
        <v>40061.092</v>
      </c>
      <c r="E11" s="31" t="n">
        <v>46990.397</v>
      </c>
      <c r="F11" s="31" t="n">
        <v>53391.125</v>
      </c>
      <c r="G11" s="31">
        <f>G5+G10</f>
        <v/>
      </c>
      <c r="H11" s="31">
        <f>H5+H10</f>
        <v/>
      </c>
      <c r="I11" s="31">
        <f>I5+I10</f>
        <v/>
      </c>
    </row>
    <row r="12">
      <c r="A12" s="27" t="inlineStr">
        <is>
          <t>NII/TOI - Gross Margin (%)</t>
        </is>
      </c>
      <c r="B12" s="31" t="n">
        <v>72.01000000000001</v>
      </c>
      <c r="C12" s="31" t="n">
        <v>74.73999999999999</v>
      </c>
      <c r="D12" s="31" t="n">
        <v>69.12</v>
      </c>
      <c r="E12" s="31" t="n">
        <v>75.56</v>
      </c>
      <c r="F12" s="31" t="n">
        <v>71.45999999999999</v>
      </c>
      <c r="G12" s="31">
        <f>G5/G11*100</f>
        <v/>
      </c>
      <c r="H12" s="31">
        <f>H5/H11*100</f>
        <v/>
      </c>
      <c r="I12" s="31">
        <f>I5/I11*100</f>
        <v/>
      </c>
    </row>
    <row r="13">
      <c r="A13" s="27" t="inlineStr">
        <is>
          <t>Chi phí HĐ - OPEX (tỷ)</t>
        </is>
      </c>
      <c r="B13" s="31" t="n">
        <v>11173.395</v>
      </c>
      <c r="C13" s="31" t="n">
        <v>13023.129</v>
      </c>
      <c r="D13" s="31" t="n">
        <v>13251.796</v>
      </c>
      <c r="E13" s="31" t="n">
        <v>15369.735</v>
      </c>
      <c r="F13" s="31" t="n">
        <v>16432.434</v>
      </c>
      <c r="G13" s="31">
        <f>G11*'02_Assumptions'!G7</f>
        <v/>
      </c>
      <c r="H13" s="31">
        <f>H11*'02_Assumptions'!H7</f>
        <v/>
      </c>
      <c r="I13" s="31">
        <f>I11*'02_Assumptions'!I7</f>
        <v/>
      </c>
    </row>
    <row r="14">
      <c r="A14" s="27" t="inlineStr">
        <is>
          <t>PPOP - LN trước dự phòng (tỷ)</t>
        </is>
      </c>
      <c r="B14" s="31" t="n">
        <v>25902.896</v>
      </c>
      <c r="C14" s="31" t="n">
        <v>27504.062</v>
      </c>
      <c r="D14" s="31" t="n">
        <v>26809.296</v>
      </c>
      <c r="E14" s="31" t="n">
        <v>31620.662</v>
      </c>
      <c r="F14" s="31" t="n">
        <v>36958.691</v>
      </c>
      <c r="G14" s="31">
        <f>G11-G13</f>
        <v/>
      </c>
      <c r="H14" s="31">
        <f>H11-H13</f>
        <v/>
      </c>
      <c r="I14" s="31">
        <f>I11-I13</f>
        <v/>
      </c>
    </row>
    <row r="15">
      <c r="A15" s="27" t="inlineStr">
        <is>
          <t>PPOP/TOI - PPOP Margin (%)</t>
        </is>
      </c>
      <c r="B15" s="31" t="n">
        <v>69.86</v>
      </c>
      <c r="C15" s="31" t="n">
        <v>67.87</v>
      </c>
      <c r="D15" s="31" t="n">
        <v>66.92</v>
      </c>
      <c r="E15" s="31" t="n">
        <v>67.29000000000001</v>
      </c>
      <c r="F15" s="31" t="n">
        <v>69.22</v>
      </c>
      <c r="G15" s="31">
        <f>G14/G11*100</f>
        <v/>
      </c>
      <c r="H15" s="31">
        <f>H14/H11*100</f>
        <v/>
      </c>
      <c r="I15" s="31">
        <f>I14/I11*100</f>
        <v/>
      </c>
    </row>
    <row r="16">
      <c r="A16" s="27" t="inlineStr">
        <is>
          <t>Dự phòng tín dụng (tỷ)</t>
        </is>
      </c>
      <c r="B16" s="31" t="n">
        <v>2664.603</v>
      </c>
      <c r="C16" s="31" t="n">
        <v>1936.294</v>
      </c>
      <c r="D16" s="31" t="n">
        <v>3921.068</v>
      </c>
      <c r="E16" s="31" t="n">
        <v>4082.294</v>
      </c>
      <c r="F16" s="31" t="n">
        <v>4420.625</v>
      </c>
      <c r="G16" s="31">
        <f>(('05_Balance_Sheet'!F5+'05_Balance_Sheet'!G5)/2)*'02_Assumptions'!G8</f>
        <v/>
      </c>
      <c r="H16" s="31">
        <f>(('05_Balance_Sheet'!G5+'05_Balance_Sheet'!H5)/2)*'02_Assumptions'!H8</f>
        <v/>
      </c>
      <c r="I16" s="31">
        <f>(('05_Balance_Sheet'!H5+'05_Balance_Sheet'!I5)/2)*'02_Assumptions'!I8</f>
        <v/>
      </c>
    </row>
    <row r="17">
      <c r="A17" s="27" t="inlineStr">
        <is>
          <t>LN trước thuế - PBT (tỷ)</t>
        </is>
      </c>
      <c r="B17" s="31" t="n">
        <v>23238.293</v>
      </c>
      <c r="C17" s="31" t="n">
        <v>25567.768</v>
      </c>
      <c r="D17" s="31" t="n">
        <v>22888.228</v>
      </c>
      <c r="E17" s="31" t="n">
        <v>27538.368</v>
      </c>
      <c r="F17" s="31" t="n">
        <v>32538.066</v>
      </c>
      <c r="G17" s="31">
        <f>G14-G16</f>
        <v/>
      </c>
      <c r="H17" s="31">
        <f>H14-H16</f>
        <v/>
      </c>
      <c r="I17" s="31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Thu nhập lãi thuần - NII</t>
        </is>
      </c>
      <c r="B2" s="31" t="n">
        <v>6587.8</v>
      </c>
      <c r="C2" s="31" t="n">
        <v>6742.489</v>
      </c>
      <c r="D2" s="31" t="n">
        <v>7244.603</v>
      </c>
      <c r="E2" s="31" t="n">
        <v>8111.063</v>
      </c>
      <c r="F2" s="31" t="n">
        <v>7793.84</v>
      </c>
      <c r="G2" s="31" t="n">
        <v>7565.461</v>
      </c>
      <c r="H2" s="31" t="n">
        <v>6819.411</v>
      </c>
      <c r="I2" s="31" t="n">
        <v>6526.88</v>
      </c>
      <c r="J2" s="31" t="n">
        <v>6294.877</v>
      </c>
      <c r="K2" s="31" t="n">
        <v>7272.16</v>
      </c>
      <c r="L2" s="31" t="n">
        <v>7597.203</v>
      </c>
      <c r="M2" s="31" t="n">
        <v>8499.544</v>
      </c>
      <c r="N2" s="31" t="n">
        <v>9477.925999999999</v>
      </c>
      <c r="O2" s="31" t="n">
        <v>8928.675999999999</v>
      </c>
      <c r="P2" s="31" t="n">
        <v>8601.816999999999</v>
      </c>
      <c r="Q2" s="31" t="n">
        <v>8305.393</v>
      </c>
      <c r="R2" s="31" t="n">
        <v>9137.075999999999</v>
      </c>
      <c r="S2" s="31" t="n">
        <v>9924.643</v>
      </c>
      <c r="T2" s="31" t="n">
        <v>10787.979</v>
      </c>
      <c r="U2" s="31" t="n">
        <v>9522.053</v>
      </c>
    </row>
    <row r="3">
      <c r="A3" s="27" t="inlineStr">
        <is>
          <t>Thu nhập ngoài lãi</t>
        </is>
      </c>
      <c r="B3" s="31" t="n">
        <v>2618.163</v>
      </c>
      <c r="C3" s="31" t="n">
        <v>2036.66</v>
      </c>
      <c r="D3" s="31" t="n">
        <v>2914.408</v>
      </c>
      <c r="E3" s="31" t="n">
        <v>1895.317</v>
      </c>
      <c r="F3" s="31" t="n">
        <v>3140.54</v>
      </c>
      <c r="G3" s="31" t="n">
        <v>2772.907</v>
      </c>
      <c r="H3" s="31" t="n">
        <v>2607.911</v>
      </c>
      <c r="I3" s="31" t="n">
        <v>2773.094</v>
      </c>
      <c r="J3" s="31" t="n">
        <v>3030.294</v>
      </c>
      <c r="K3" s="31" t="n">
        <v>3146.333</v>
      </c>
      <c r="L3" s="31" t="n">
        <v>3420.251</v>
      </c>
      <c r="M3" s="31" t="n">
        <v>3762.223</v>
      </c>
      <c r="N3" s="31" t="n">
        <v>3941.77</v>
      </c>
      <c r="O3" s="31" t="n">
        <v>2825.659</v>
      </c>
      <c r="P3" s="31" t="n">
        <v>952.782</v>
      </c>
      <c r="Q3" s="31" t="n">
        <v>3305.805</v>
      </c>
      <c r="R3" s="31" t="n">
        <v>3605.955</v>
      </c>
      <c r="S3" s="31" t="n">
        <v>4317.48</v>
      </c>
      <c r="T3" s="31" t="n">
        <v>4006.794</v>
      </c>
      <c r="U3" s="31" t="n">
        <v>4152.221</v>
      </c>
    </row>
    <row r="4">
      <c r="A4" s="27" t="inlineStr">
        <is>
          <t>Tổng thu nhập HĐ - TOI</t>
        </is>
      </c>
      <c r="B4" s="31" t="n">
        <v>9205.963</v>
      </c>
      <c r="C4" s="31" t="n">
        <v>8779.148999999999</v>
      </c>
      <c r="D4" s="31" t="n">
        <v>10159.011</v>
      </c>
      <c r="E4" s="31" t="n">
        <v>10006.38</v>
      </c>
      <c r="F4" s="31" t="n">
        <v>10934.38</v>
      </c>
      <c r="G4" s="31" t="n">
        <v>10338.368</v>
      </c>
      <c r="H4" s="31" t="n">
        <v>9427.322</v>
      </c>
      <c r="I4" s="31" t="n">
        <v>9299.974</v>
      </c>
      <c r="J4" s="31" t="n">
        <v>9325.171</v>
      </c>
      <c r="K4" s="31" t="n">
        <v>10418.493</v>
      </c>
      <c r="L4" s="31" t="n">
        <v>11017.454</v>
      </c>
      <c r="M4" s="31" t="n">
        <v>12261.767</v>
      </c>
      <c r="N4" s="31" t="n">
        <v>13419.696</v>
      </c>
      <c r="O4" s="31" t="n">
        <v>11754.335</v>
      </c>
      <c r="P4" s="31" t="n">
        <v>9554.599</v>
      </c>
      <c r="Q4" s="31" t="n">
        <v>11611.198</v>
      </c>
      <c r="R4" s="31" t="n">
        <v>12743.031</v>
      </c>
      <c r="S4" s="31" t="n">
        <v>14242.123</v>
      </c>
      <c r="T4" s="31" t="n">
        <v>14794.773</v>
      </c>
      <c r="U4" s="31" t="n">
        <v>13674.274</v>
      </c>
    </row>
    <row r="5">
      <c r="A5" s="27" t="inlineStr">
        <is>
          <t>Chi phí hoạt động - OPEX</t>
        </is>
      </c>
      <c r="B5" s="31" t="n">
        <v>2590.526</v>
      </c>
      <c r="C5" s="31" t="n">
        <v>2627.889</v>
      </c>
      <c r="D5" s="31" t="n">
        <v>3391.848</v>
      </c>
      <c r="E5" s="31" t="n">
        <v>3002.664</v>
      </c>
      <c r="F5" s="31" t="n">
        <v>3195.863</v>
      </c>
      <c r="G5" s="31" t="n">
        <v>3014.021</v>
      </c>
      <c r="H5" s="31" t="n">
        <v>3989.84</v>
      </c>
      <c r="I5" s="31" t="n">
        <v>3142.086</v>
      </c>
      <c r="J5" s="31" t="n">
        <v>2868.89</v>
      </c>
      <c r="K5" s="31" t="n">
        <v>3630.731</v>
      </c>
      <c r="L5" s="31" t="n">
        <v>3610.089</v>
      </c>
      <c r="M5" s="31" t="n">
        <v>3249.136</v>
      </c>
      <c r="N5" s="31" t="n">
        <v>3948.974</v>
      </c>
      <c r="O5" s="31" t="n">
        <v>3430.902</v>
      </c>
      <c r="P5" s="31" t="n">
        <v>4740.723</v>
      </c>
      <c r="Q5" s="31" t="n">
        <v>3284.915</v>
      </c>
      <c r="R5" s="31" t="n">
        <v>3830.693</v>
      </c>
      <c r="S5" s="31" t="n">
        <v>4492.851</v>
      </c>
      <c r="T5" s="31" t="n">
        <v>4823.975</v>
      </c>
      <c r="U5" s="31" t="n">
        <v>3869.012</v>
      </c>
    </row>
    <row r="6">
      <c r="A6" s="27" t="inlineStr">
        <is>
          <t>LN trước dự phòng - PPOP</t>
        </is>
      </c>
      <c r="B6" s="31" t="n">
        <v>6615.437</v>
      </c>
      <c r="C6" s="31" t="n">
        <v>6151.26</v>
      </c>
      <c r="D6" s="31" t="n">
        <v>6767.163</v>
      </c>
      <c r="E6" s="31" t="n">
        <v>7003.716</v>
      </c>
      <c r="F6" s="31" t="n">
        <v>7738.517</v>
      </c>
      <c r="G6" s="31" t="n">
        <v>7324.347</v>
      </c>
      <c r="H6" s="31" t="n">
        <v>5437.482</v>
      </c>
      <c r="I6" s="31" t="n">
        <v>6157.888</v>
      </c>
      <c r="J6" s="31" t="n">
        <v>6456.281</v>
      </c>
      <c r="K6" s="31" t="n">
        <v>6787.762</v>
      </c>
      <c r="L6" s="31" t="n">
        <v>7407.365</v>
      </c>
      <c r="M6" s="31" t="n">
        <v>9012.630999999999</v>
      </c>
      <c r="N6" s="31" t="n">
        <v>9470.722</v>
      </c>
      <c r="O6" s="31" t="n">
        <v>8323.433000000001</v>
      </c>
      <c r="P6" s="31" t="n">
        <v>4813.876</v>
      </c>
      <c r="Q6" s="31" t="n">
        <v>8326.282999999999</v>
      </c>
      <c r="R6" s="31" t="n">
        <v>8912.338</v>
      </c>
      <c r="S6" s="31" t="n">
        <v>9749.272000000001</v>
      </c>
      <c r="T6" s="31" t="n">
        <v>9970.798000000001</v>
      </c>
      <c r="U6" s="31" t="n">
        <v>9805.262000000001</v>
      </c>
    </row>
    <row r="7">
      <c r="A7" s="27" t="inlineStr">
        <is>
          <t>Dự phòng tín dụng</t>
        </is>
      </c>
      <c r="B7" s="31" t="n">
        <v>597.671</v>
      </c>
      <c r="C7" s="31" t="n">
        <v>588.931</v>
      </c>
      <c r="D7" s="31" t="n">
        <v>627.184</v>
      </c>
      <c r="E7" s="31" t="n">
        <v>218.386</v>
      </c>
      <c r="F7" s="31" t="n">
        <v>417.381</v>
      </c>
      <c r="G7" s="31" t="n">
        <v>609.268</v>
      </c>
      <c r="H7" s="31" t="n">
        <v>691.259</v>
      </c>
      <c r="I7" s="31" t="n">
        <v>534.53</v>
      </c>
      <c r="J7" s="31" t="n">
        <v>807.271</v>
      </c>
      <c r="K7" s="31" t="n">
        <v>944.972</v>
      </c>
      <c r="L7" s="31" t="n">
        <v>1634.295</v>
      </c>
      <c r="M7" s="31" t="n">
        <v>1210.972</v>
      </c>
      <c r="N7" s="31" t="n">
        <v>1644.213</v>
      </c>
      <c r="O7" s="31" t="n">
        <v>1109.265</v>
      </c>
      <c r="P7" s="31" t="n">
        <v>117.844</v>
      </c>
      <c r="Q7" s="31" t="n">
        <v>1090.055</v>
      </c>
      <c r="R7" s="31" t="n">
        <v>1013.75</v>
      </c>
      <c r="S7" s="31" t="n">
        <v>1499.256</v>
      </c>
      <c r="T7" s="31" t="n">
        <v>817.564</v>
      </c>
      <c r="U7" s="31" t="n">
        <v>935.292</v>
      </c>
    </row>
    <row r="8">
      <c r="A8" s="27" t="inlineStr">
        <is>
          <t>LN trước thuế - PBT</t>
        </is>
      </c>
      <c r="B8" s="31" t="n">
        <v>6017.766</v>
      </c>
      <c r="C8" s="31" t="n">
        <v>5562.329</v>
      </c>
      <c r="D8" s="31" t="n">
        <v>6139.979</v>
      </c>
      <c r="E8" s="31" t="n">
        <v>6785.33</v>
      </c>
      <c r="F8" s="31" t="n">
        <v>7321.136</v>
      </c>
      <c r="G8" s="31" t="n">
        <v>6715.079</v>
      </c>
      <c r="H8" s="31" t="n">
        <v>4746.223</v>
      </c>
      <c r="I8" s="31" t="n">
        <v>5623.358</v>
      </c>
      <c r="J8" s="31" t="n">
        <v>5649.01</v>
      </c>
      <c r="K8" s="31" t="n">
        <v>5842.79</v>
      </c>
      <c r="L8" s="31" t="n">
        <v>5773.07</v>
      </c>
      <c r="M8" s="31" t="n">
        <v>7801.659</v>
      </c>
      <c r="N8" s="31" t="n">
        <v>7826.509</v>
      </c>
      <c r="O8" s="31" t="n">
        <v>7214.168</v>
      </c>
      <c r="P8" s="31" t="n">
        <v>4696.032</v>
      </c>
      <c r="Q8" s="31" t="n">
        <v>7236.228</v>
      </c>
      <c r="R8" s="31" t="n">
        <v>7898.588</v>
      </c>
      <c r="S8" s="31" t="n">
        <v>8250.016</v>
      </c>
      <c r="T8" s="31" t="n">
        <v>9153.234</v>
      </c>
      <c r="U8" s="31" t="n">
        <v>8869.969999999999</v>
      </c>
    </row>
    <row r="9">
      <c r="A9" s="27" t="inlineStr">
        <is>
          <t>LN sau thuế - NPAT</t>
        </is>
      </c>
      <c r="B9" s="31" t="n">
        <v>4806.657</v>
      </c>
      <c r="C9" s="31" t="n">
        <v>4432.055</v>
      </c>
      <c r="D9" s="31" t="n">
        <v>4683.818</v>
      </c>
      <c r="E9" s="31" t="n">
        <v>5614.544</v>
      </c>
      <c r="F9" s="31" t="n">
        <v>5882.255</v>
      </c>
      <c r="G9" s="31" t="n">
        <v>5367.54</v>
      </c>
      <c r="H9" s="31" t="n">
        <v>3572.087</v>
      </c>
      <c r="I9" s="31" t="n">
        <v>4537.097</v>
      </c>
      <c r="J9" s="31" t="n">
        <v>4503.449</v>
      </c>
      <c r="K9" s="31" t="n">
        <v>4668.705</v>
      </c>
      <c r="L9" s="31" t="n">
        <v>4481.615</v>
      </c>
      <c r="M9" s="31" t="n">
        <v>6277.003</v>
      </c>
      <c r="N9" s="31" t="n">
        <v>6269.968</v>
      </c>
      <c r="O9" s="31" t="n">
        <v>5793.022</v>
      </c>
      <c r="P9" s="31" t="n">
        <v>3420.111</v>
      </c>
      <c r="Q9" s="31" t="n">
        <v>6013.511</v>
      </c>
      <c r="R9" s="31" t="n">
        <v>6347.61</v>
      </c>
      <c r="S9" s="31" t="n">
        <v>6613.525</v>
      </c>
      <c r="T9" s="31" t="n">
        <v>6979.826</v>
      </c>
      <c r="U9" s="31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Thu nhập lãi thuần - NII</t>
        </is>
      </c>
      <c r="B2" s="33" t="n">
        <v>26698.613</v>
      </c>
      <c r="C2" s="33" t="n">
        <v>30289.775</v>
      </c>
      <c r="D2" s="33" t="n">
        <v>27691.12</v>
      </c>
      <c r="E2" s="33" t="n">
        <v>35507.963</v>
      </c>
      <c r="F2" s="33" t="n">
        <v>38155.091</v>
      </c>
      <c r="G2" s="33">
        <f>'03_Income_Model'!G5</f>
        <v/>
      </c>
      <c r="H2" s="33">
        <f>'03_Income_Model'!H5</f>
        <v/>
      </c>
      <c r="I2" s="33">
        <f>'03_Income_Model'!I5</f>
        <v/>
      </c>
    </row>
    <row r="3">
      <c r="A3" s="32" t="inlineStr">
        <is>
          <t>Thu nhập ngoài lãi</t>
        </is>
      </c>
      <c r="B3" s="33" t="n">
        <v>10377.678</v>
      </c>
      <c r="C3" s="33" t="n">
        <v>10237.416</v>
      </c>
      <c r="D3" s="33" t="n">
        <v>12369.972</v>
      </c>
      <c r="E3" s="33" t="n">
        <v>11482.43399999999</v>
      </c>
      <c r="F3" s="33" t="n">
        <v>15236.034</v>
      </c>
      <c r="G3" s="33">
        <f>'03_Income_Model'!G10</f>
        <v/>
      </c>
      <c r="H3" s="33">
        <f>'03_Income_Model'!H10</f>
        <v/>
      </c>
      <c r="I3" s="33">
        <f>'03_Income_Model'!I10</f>
        <v/>
      </c>
    </row>
    <row r="4">
      <c r="A4" s="32" t="inlineStr">
        <is>
          <t>Tổng thu nhập HĐ - TOI</t>
        </is>
      </c>
      <c r="B4" s="33" t="n">
        <v>37076.291</v>
      </c>
      <c r="C4" s="33" t="n">
        <v>40527.191</v>
      </c>
      <c r="D4" s="33" t="n">
        <v>40061.092</v>
      </c>
      <c r="E4" s="33" t="n">
        <v>46990.397</v>
      </c>
      <c r="F4" s="33" t="n">
        <v>53391.125</v>
      </c>
      <c r="G4" s="33">
        <f>SUM(G2:G3)</f>
        <v/>
      </c>
      <c r="H4" s="33">
        <f>SUM(H2:H3)</f>
        <v/>
      </c>
      <c r="I4" s="33">
        <f>SUM(I2:I3)</f>
        <v/>
      </c>
    </row>
    <row r="5">
      <c r="A5" s="27" t="inlineStr">
        <is>
          <t>Chi phí hoạt động - OPEX</t>
        </is>
      </c>
      <c r="B5" s="31" t="n">
        <v>11173.395</v>
      </c>
      <c r="C5" s="31" t="n">
        <v>13023.129</v>
      </c>
      <c r="D5" s="31" t="n">
        <v>13251.796</v>
      </c>
      <c r="E5" s="31" t="n">
        <v>15369.735</v>
      </c>
      <c r="F5" s="31" t="n">
        <v>16432.434</v>
      </c>
      <c r="G5" s="31">
        <f>'03_Income_Model'!G13</f>
        <v/>
      </c>
      <c r="H5" s="31">
        <f>'03_Income_Model'!H13</f>
        <v/>
      </c>
      <c r="I5" s="31">
        <f>'03_Income_Model'!I13</f>
        <v/>
      </c>
    </row>
    <row r="6">
      <c r="A6" s="27" t="inlineStr">
        <is>
          <t>LN trước dự phòng - PPOP</t>
        </is>
      </c>
      <c r="B6" s="31" t="n">
        <v>25902.896</v>
      </c>
      <c r="C6" s="31" t="n">
        <v>27504.062</v>
      </c>
      <c r="D6" s="31" t="n">
        <v>26809.296</v>
      </c>
      <c r="E6" s="31" t="n">
        <v>31620.662</v>
      </c>
      <c r="F6" s="31" t="n">
        <v>36958.691</v>
      </c>
      <c r="G6" s="31">
        <f>G4-G5</f>
        <v/>
      </c>
      <c r="H6" s="31">
        <f>H4-H5</f>
        <v/>
      </c>
      <c r="I6" s="31">
        <f>I4-I5</f>
        <v/>
      </c>
    </row>
    <row r="7">
      <c r="A7" s="27" t="inlineStr">
        <is>
          <t>Dự phòng tín dụng</t>
        </is>
      </c>
      <c r="B7" s="31" t="n">
        <v>2664.603</v>
      </c>
      <c r="C7" s="31" t="n">
        <v>1936.294</v>
      </c>
      <c r="D7" s="31" t="n">
        <v>3921.068</v>
      </c>
      <c r="E7" s="31" t="n">
        <v>4082.294</v>
      </c>
      <c r="F7" s="31" t="n">
        <v>4420.625</v>
      </c>
      <c r="G7" s="31">
        <f>'03_Income_Model'!G16</f>
        <v/>
      </c>
      <c r="H7" s="31">
        <f>'03_Income_Model'!H16</f>
        <v/>
      </c>
      <c r="I7" s="31">
        <f>'03_Income_Model'!I16</f>
        <v/>
      </c>
    </row>
    <row r="8">
      <c r="A8" s="27" t="inlineStr">
        <is>
          <t>LN trước thuế - PBT</t>
        </is>
      </c>
      <c r="B8" s="31" t="n">
        <v>23238.293</v>
      </c>
      <c r="C8" s="31" t="n">
        <v>25567.768</v>
      </c>
      <c r="D8" s="31" t="n">
        <v>22888.228</v>
      </c>
      <c r="E8" s="31" t="n">
        <v>27538.368</v>
      </c>
      <c r="F8" s="31" t="n">
        <v>32538.066</v>
      </c>
      <c r="G8" s="31">
        <f>G6-G7</f>
        <v/>
      </c>
      <c r="H8" s="31">
        <f>H6-H7</f>
        <v/>
      </c>
      <c r="I8" s="31">
        <f>I6-I7</f>
        <v/>
      </c>
    </row>
    <row r="9">
      <c r="A9" s="27" t="inlineStr">
        <is>
          <t>Thuế TNDN</t>
        </is>
      </c>
      <c r="B9" s="31" t="n">
        <v>4647.7</v>
      </c>
      <c r="C9" s="31" t="n">
        <v>5113.6</v>
      </c>
      <c r="D9" s="31" t="n">
        <v>4577.6</v>
      </c>
      <c r="E9" s="31" t="n">
        <v>5507.7</v>
      </c>
      <c r="F9" s="31" t="n">
        <v>6507.6</v>
      </c>
      <c r="G9" s="31">
        <f>MAX(G8*'02_Assumptions'!G14, 0)</f>
        <v/>
      </c>
      <c r="H9" s="31">
        <f>MAX(H8*'02_Assumptions'!H14, 0)</f>
        <v/>
      </c>
      <c r="I9" s="31">
        <f>MAX(I8*'02_Assumptions'!I14, 0)</f>
        <v/>
      </c>
    </row>
    <row r="10">
      <c r="A10" s="32" t="inlineStr">
        <is>
          <t>LN sau thuế - NPAT</t>
        </is>
      </c>
      <c r="B10" s="33" t="n">
        <v>18415.382</v>
      </c>
      <c r="C10" s="33" t="n">
        <v>20436.426</v>
      </c>
      <c r="D10" s="33" t="n">
        <v>18190.866</v>
      </c>
      <c r="E10" s="33" t="n">
        <v>21760.104</v>
      </c>
      <c r="F10" s="33" t="n">
        <v>25954.472</v>
      </c>
      <c r="G10" s="33">
        <f>G8-G9</f>
        <v/>
      </c>
      <c r="H10" s="33">
        <f>H8-H9</f>
        <v/>
      </c>
      <c r="I10" s="33">
        <f>I8-I9</f>
        <v/>
      </c>
    </row>
    <row r="11">
      <c r="A11" s="27" t="inlineStr">
        <is>
          <t>EPS (VND)</t>
        </is>
      </c>
      <c r="B11" s="31" t="n">
        <v>2598.752077846169</v>
      </c>
      <c r="C11" s="31" t="n">
        <v>2883.958884548226</v>
      </c>
      <c r="D11" s="31" t="n">
        <v>2567.068704592782</v>
      </c>
      <c r="E11" s="31" t="n">
        <v>3070.754409772697</v>
      </c>
      <c r="F11" s="31" t="n">
        <v>3662.657556568754</v>
      </c>
      <c r="G11" s="31">
        <f>G10*1e9/'02_Assumptions'!$B$3</f>
        <v/>
      </c>
      <c r="H11" s="31">
        <f>H10*1e9/'02_Assumptions'!$B$3</f>
        <v/>
      </c>
      <c r="I11" s="31">
        <f>I10*1e9/'02_Assumptions'!$B$3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Tổng tài sản</t>
        </is>
      </c>
      <c r="B2" s="31" t="n">
        <v>504303.766</v>
      </c>
      <c r="C2" s="31" t="n">
        <v>541635.295</v>
      </c>
      <c r="D2" s="31" t="n">
        <v>568811.4350000001</v>
      </c>
      <c r="E2" s="31" t="n">
        <v>615270.328</v>
      </c>
      <c r="F2" s="31" t="n">
        <v>623738.504</v>
      </c>
      <c r="G2" s="31" t="n">
        <v>671353.524</v>
      </c>
      <c r="H2" s="31" t="n">
        <v>699032.544</v>
      </c>
      <c r="I2" s="31" t="n">
        <v>723517.8</v>
      </c>
      <c r="J2" s="31" t="n">
        <v>732470.169</v>
      </c>
      <c r="K2" s="31" t="n">
        <v>781278.666</v>
      </c>
      <c r="L2" s="31" t="n">
        <v>849482.012</v>
      </c>
      <c r="M2" s="31" t="n">
        <v>885653.461</v>
      </c>
      <c r="N2" s="31" t="n">
        <v>908306.7</v>
      </c>
      <c r="O2" s="31" t="n">
        <v>927053.345</v>
      </c>
      <c r="P2" s="31" t="n">
        <v>978798.549</v>
      </c>
      <c r="Q2" s="31" t="n">
        <v>989215.993</v>
      </c>
      <c r="R2" s="31" t="n">
        <v>1037645.395</v>
      </c>
      <c r="S2" s="31" t="n">
        <v>1129570.458</v>
      </c>
      <c r="T2" s="31" t="n">
        <v>1192344.137</v>
      </c>
      <c r="U2" s="31" t="n">
        <v>1190453.754</v>
      </c>
    </row>
    <row r="3">
      <c r="A3" s="27" t="inlineStr">
        <is>
          <t>Tiền mặt &amp; NHNN</t>
        </is>
      </c>
      <c r="B3" s="31" t="n">
        <v>3553.612</v>
      </c>
      <c r="C3" s="31" t="n">
        <v>3303.309</v>
      </c>
      <c r="D3" s="31" t="n">
        <v>3578.643</v>
      </c>
      <c r="E3" s="31" t="n">
        <v>3276.768</v>
      </c>
      <c r="F3" s="31" t="n">
        <v>3204.43</v>
      </c>
      <c r="G3" s="31" t="n">
        <v>3025.551</v>
      </c>
      <c r="H3" s="31" t="n">
        <v>4215.721</v>
      </c>
      <c r="I3" s="31" t="n">
        <v>2852.199</v>
      </c>
      <c r="J3" s="31" t="n">
        <v>3112.603</v>
      </c>
      <c r="K3" s="31" t="n">
        <v>3505.804</v>
      </c>
      <c r="L3" s="31" t="n">
        <v>3620.695</v>
      </c>
      <c r="M3" s="31" t="n">
        <v>3665.067</v>
      </c>
      <c r="N3" s="31" t="n">
        <v>3638.265</v>
      </c>
      <c r="O3" s="31" t="n">
        <v>3608.503</v>
      </c>
      <c r="P3" s="31" t="n">
        <v>3384.77</v>
      </c>
      <c r="Q3" s="31" t="n">
        <v>3789.947</v>
      </c>
      <c r="R3" s="31" t="n">
        <v>3666.435</v>
      </c>
      <c r="S3" s="31" t="n">
        <v>4045.689</v>
      </c>
      <c r="T3" s="31" t="n">
        <v>4360.821</v>
      </c>
      <c r="U3" s="31" t="n">
        <v>5467.7</v>
      </c>
    </row>
    <row r="4">
      <c r="A4" s="27" t="inlineStr">
        <is>
          <t>TG các TCTD khác</t>
        </is>
      </c>
      <c r="B4" s="31" t="n">
        <v>52084.9</v>
      </c>
      <c r="C4" s="31" t="n">
        <v>77627.95299999999</v>
      </c>
      <c r="D4" s="31" t="n">
        <v>70584.15399999999</v>
      </c>
      <c r="E4" s="31" t="n">
        <v>72530.371</v>
      </c>
      <c r="F4" s="31" t="n">
        <v>72130.842</v>
      </c>
      <c r="G4" s="31" t="n">
        <v>72296.806</v>
      </c>
      <c r="H4" s="31" t="n">
        <v>82873.754</v>
      </c>
      <c r="I4" s="31" t="n">
        <v>66839.068</v>
      </c>
      <c r="J4" s="31" t="n">
        <v>71193.28200000001</v>
      </c>
      <c r="K4" s="31" t="n">
        <v>69386.02099999999</v>
      </c>
      <c r="L4" s="31" t="n">
        <v>104072.32</v>
      </c>
      <c r="M4" s="31" t="n">
        <v>89074.53999999999</v>
      </c>
      <c r="N4" s="31" t="n">
        <v>88903.726</v>
      </c>
      <c r="O4" s="31" t="n">
        <v>90014.29300000001</v>
      </c>
      <c r="P4" s="31" t="n">
        <v>84590.474</v>
      </c>
      <c r="Q4" s="31" t="n">
        <v>81883.42999999999</v>
      </c>
      <c r="R4" s="31" t="n">
        <v>80845.693</v>
      </c>
      <c r="S4" s="31" t="n">
        <v>92999.08900000001</v>
      </c>
      <c r="T4" s="31" t="n">
        <v>114958.312</v>
      </c>
      <c r="U4" s="31" t="n">
        <v>87777.341</v>
      </c>
    </row>
    <row r="5">
      <c r="A5" s="27" t="inlineStr">
        <is>
          <t>Cho vay khách hàng</t>
        </is>
      </c>
      <c r="B5" s="31" t="n">
        <v>310617.819</v>
      </c>
      <c r="C5" s="31" t="n">
        <v>317668.922</v>
      </c>
      <c r="D5" s="31" t="n">
        <v>343605.581</v>
      </c>
      <c r="E5" s="31" t="n">
        <v>361815.215</v>
      </c>
      <c r="F5" s="31" t="n">
        <v>387775.129</v>
      </c>
      <c r="G5" s="31" t="n">
        <v>406148.421</v>
      </c>
      <c r="H5" s="31" t="n">
        <v>415752.256</v>
      </c>
      <c r="I5" s="31" t="n">
        <v>460145.233</v>
      </c>
      <c r="J5" s="31" t="n">
        <v>460753.044</v>
      </c>
      <c r="K5" s="31" t="n">
        <v>469588.515</v>
      </c>
      <c r="L5" s="31" t="n">
        <v>512513.672</v>
      </c>
      <c r="M5" s="31" t="n">
        <v>552577.121</v>
      </c>
      <c r="N5" s="31" t="n">
        <v>584713.478</v>
      </c>
      <c r="O5" s="31" t="n">
        <v>617924.5699999999</v>
      </c>
      <c r="P5" s="31" t="n">
        <v>623634.2709999999</v>
      </c>
      <c r="Q5" s="31" t="n">
        <v>655007.208</v>
      </c>
      <c r="R5" s="31" t="n">
        <v>700801.926</v>
      </c>
      <c r="S5" s="31" t="n">
        <v>756078.003</v>
      </c>
      <c r="T5" s="31" t="n">
        <v>757118.751</v>
      </c>
      <c r="U5" s="31" t="n">
        <v>785612.53</v>
      </c>
    </row>
    <row r="6">
      <c r="A6" s="27" t="inlineStr">
        <is>
          <t>CK đầu tư</t>
        </is>
      </c>
      <c r="B6" s="31" t="n">
        <v>87967.95600000001</v>
      </c>
      <c r="C6" s="31" t="n">
        <v>93253.518</v>
      </c>
      <c r="D6" s="31" t="n">
        <v>97586.088</v>
      </c>
      <c r="E6" s="31" t="n">
        <v>120301.385</v>
      </c>
      <c r="F6" s="31" t="n">
        <v>97227.579</v>
      </c>
      <c r="G6" s="31" t="n">
        <v>103225.63</v>
      </c>
      <c r="H6" s="31" t="n">
        <v>103651.92</v>
      </c>
      <c r="I6" s="31" t="n">
        <v>99071.125</v>
      </c>
      <c r="J6" s="31" t="n">
        <v>107847.625</v>
      </c>
      <c r="K6" s="31" t="n">
        <v>121243.204</v>
      </c>
      <c r="L6" s="31" t="n">
        <v>104993.945</v>
      </c>
      <c r="M6" s="31" t="n">
        <v>131188.842</v>
      </c>
      <c r="N6" s="31" t="n">
        <v>113677.245</v>
      </c>
      <c r="O6" s="31" t="n">
        <v>102135.236</v>
      </c>
      <c r="P6" s="31" t="n">
        <v>148623.636</v>
      </c>
      <c r="Q6" s="31" t="n">
        <v>124378.656</v>
      </c>
      <c r="R6" s="31" t="n">
        <v>146985.597</v>
      </c>
      <c r="S6" s="31" t="n">
        <v>139296.462</v>
      </c>
      <c r="T6" s="31" t="n">
        <v>145526.404</v>
      </c>
      <c r="U6" s="31" t="n">
        <v>141063.971</v>
      </c>
    </row>
    <row r="7">
      <c r="A7" s="27" t="inlineStr">
        <is>
          <t>Tiền gửi khách hàng</t>
        </is>
      </c>
      <c r="B7" s="31" t="n">
        <v>289334.731</v>
      </c>
      <c r="C7" s="31" t="n">
        <v>316376.047</v>
      </c>
      <c r="D7" s="31" t="n">
        <v>314752.525</v>
      </c>
      <c r="E7" s="31" t="n">
        <v>328914.024</v>
      </c>
      <c r="F7" s="31" t="n">
        <v>321633.599</v>
      </c>
      <c r="G7" s="31" t="n">
        <v>318918.817</v>
      </c>
      <c r="H7" s="31" t="n">
        <v>358403.785</v>
      </c>
      <c r="I7" s="31" t="n">
        <v>387297.891</v>
      </c>
      <c r="J7" s="31" t="n">
        <v>381946.519</v>
      </c>
      <c r="K7" s="31" t="n">
        <v>409044.572</v>
      </c>
      <c r="L7" s="31" t="n">
        <v>454660.779</v>
      </c>
      <c r="M7" s="31" t="n">
        <v>458040.69</v>
      </c>
      <c r="N7" s="31" t="n">
        <v>481860.239</v>
      </c>
      <c r="O7" s="31" t="n">
        <v>494954.017</v>
      </c>
      <c r="P7" s="31" t="n">
        <v>533392.35</v>
      </c>
      <c r="Q7" s="31" t="n">
        <v>531583.052</v>
      </c>
      <c r="R7" s="31" t="n">
        <v>545078.843</v>
      </c>
      <c r="S7" s="31" t="n">
        <v>595086.941</v>
      </c>
      <c r="T7" s="31" t="n">
        <v>618911.535</v>
      </c>
      <c r="U7" s="31" t="n">
        <v>599808.238</v>
      </c>
    </row>
    <row r="8">
      <c r="A8" s="27" t="inlineStr">
        <is>
          <t xml:space="preserve">  CASA</t>
        </is>
      </c>
      <c r="B8" s="31" t="n">
        <v>0</v>
      </c>
      <c r="C8" s="31" t="n">
        <v>0</v>
      </c>
      <c r="D8" s="31" t="n">
        <v>0</v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</row>
    <row r="9">
      <c r="A9" s="27" t="inlineStr">
        <is>
          <t>Vốn chủ sở hữu</t>
        </is>
      </c>
      <c r="B9" s="31" t="n">
        <v>83901.00999999999</v>
      </c>
      <c r="C9" s="31" t="n">
        <v>88384.44100000001</v>
      </c>
      <c r="D9" s="31" t="n">
        <v>93055.837</v>
      </c>
      <c r="E9" s="31" t="n">
        <v>98585.99000000001</v>
      </c>
      <c r="F9" s="31" t="n">
        <v>104475.159</v>
      </c>
      <c r="G9" s="31" t="n">
        <v>109899.149</v>
      </c>
      <c r="H9" s="31" t="n">
        <v>113424.966</v>
      </c>
      <c r="I9" s="31" t="n">
        <v>117965.416</v>
      </c>
      <c r="J9" s="31" t="n">
        <v>122464.97</v>
      </c>
      <c r="K9" s="31" t="n">
        <v>127129.786</v>
      </c>
      <c r="L9" s="31" t="n">
        <v>131628.065</v>
      </c>
      <c r="M9" s="31" t="n">
        <v>137872.726</v>
      </c>
      <c r="N9" s="31" t="n">
        <v>138551.657</v>
      </c>
      <c r="O9" s="31" t="n">
        <v>144367.982</v>
      </c>
      <c r="P9" s="31" t="n">
        <v>147939.621</v>
      </c>
      <c r="Q9" s="31" t="n">
        <v>153952.665</v>
      </c>
      <c r="R9" s="31" t="n">
        <v>161827.229</v>
      </c>
      <c r="S9" s="31" t="n">
        <v>179430.593</v>
      </c>
      <c r="T9" s="31" t="n">
        <v>179501.442</v>
      </c>
      <c r="U9" s="31" t="n">
        <v>186682.773</v>
      </c>
    </row>
    <row r="10">
      <c r="A10" s="27" t="inlineStr">
        <is>
          <t>Nợ nhóm 2</t>
        </is>
      </c>
      <c r="B10" s="31" t="n">
        <v>0</v>
      </c>
      <c r="C10" s="31" t="n">
        <v>0</v>
      </c>
      <c r="D10" s="31" t="n">
        <v>0</v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1" t="n">
        <v>0</v>
      </c>
      <c r="P10" s="31" t="n">
        <v>0</v>
      </c>
      <c r="Q10" s="31" t="n">
        <v>0</v>
      </c>
      <c r="R10" s="31" t="n">
        <v>0</v>
      </c>
      <c r="S10" s="31" t="n">
        <v>0</v>
      </c>
      <c r="T10" s="31" t="n">
        <v>0</v>
      </c>
      <c r="U10" s="31" t="n">
        <v>0</v>
      </c>
    </row>
    <row r="11">
      <c r="A11" s="27" t="inlineStr">
        <is>
          <t>Nợ nhóm 3</t>
        </is>
      </c>
      <c r="B11" s="31" t="n">
        <v>0</v>
      </c>
      <c r="C11" s="31" t="n">
        <v>0</v>
      </c>
      <c r="D11" s="31" t="n">
        <v>0</v>
      </c>
      <c r="E11" s="31" t="n">
        <v>0</v>
      </c>
      <c r="F11" s="31" t="n">
        <v>0</v>
      </c>
      <c r="G11" s="31" t="n">
        <v>0</v>
      </c>
      <c r="H11" s="31" t="n">
        <v>0</v>
      </c>
      <c r="I11" s="31" t="n">
        <v>0</v>
      </c>
      <c r="J11" s="31" t="n">
        <v>0</v>
      </c>
      <c r="K11" s="31" t="n">
        <v>0</v>
      </c>
      <c r="L11" s="31" t="n">
        <v>0</v>
      </c>
      <c r="M11" s="31" t="n">
        <v>0</v>
      </c>
      <c r="N11" s="31" t="n">
        <v>0</v>
      </c>
      <c r="O11" s="31" t="n">
        <v>0</v>
      </c>
      <c r="P11" s="31" t="n">
        <v>0</v>
      </c>
      <c r="Q11" s="31" t="n">
        <v>0</v>
      </c>
      <c r="R11" s="31" t="n">
        <v>0</v>
      </c>
      <c r="S11" s="31" t="n">
        <v>0</v>
      </c>
      <c r="T11" s="31" t="n">
        <v>0</v>
      </c>
      <c r="U11" s="31" t="n">
        <v>0</v>
      </c>
    </row>
    <row r="12">
      <c r="A12" s="27" t="inlineStr">
        <is>
          <t>Nợ nhóm 4</t>
        </is>
      </c>
      <c r="B12" s="31" t="n">
        <v>0</v>
      </c>
      <c r="C12" s="31" t="n">
        <v>0</v>
      </c>
      <c r="D12" s="31" t="n">
        <v>0</v>
      </c>
      <c r="E12" s="31" t="n">
        <v>0</v>
      </c>
      <c r="F12" s="31" t="n">
        <v>0</v>
      </c>
      <c r="G12" s="31" t="n">
        <v>0</v>
      </c>
      <c r="H12" s="31" t="n">
        <v>0</v>
      </c>
      <c r="I12" s="31" t="n">
        <v>0</v>
      </c>
      <c r="J12" s="31" t="n">
        <v>0</v>
      </c>
      <c r="K12" s="31" t="n">
        <v>0</v>
      </c>
      <c r="L12" s="31" t="n">
        <v>0</v>
      </c>
      <c r="M12" s="31" t="n">
        <v>0</v>
      </c>
      <c r="N12" s="31" t="n">
        <v>0</v>
      </c>
      <c r="O12" s="31" t="n">
        <v>0</v>
      </c>
      <c r="P12" s="31" t="n">
        <v>0</v>
      </c>
      <c r="Q12" s="31" t="n">
        <v>0</v>
      </c>
      <c r="R12" s="31" t="n">
        <v>0</v>
      </c>
      <c r="S12" s="31" t="n">
        <v>0</v>
      </c>
      <c r="T12" s="31" t="n">
        <v>0</v>
      </c>
      <c r="U12" s="31" t="n">
        <v>0</v>
      </c>
    </row>
    <row r="13">
      <c r="A13" s="27" t="inlineStr">
        <is>
          <t>Nợ nhóm 5</t>
        </is>
      </c>
      <c r="B13" s="31" t="n">
        <v>0</v>
      </c>
      <c r="C13" s="31" t="n">
        <v>0</v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0</v>
      </c>
      <c r="K13" s="31" t="n">
        <v>0</v>
      </c>
      <c r="L13" s="31" t="n">
        <v>0</v>
      </c>
      <c r="M13" s="31" t="n">
        <v>0</v>
      </c>
      <c r="N13" s="31" t="n">
        <v>0</v>
      </c>
      <c r="O13" s="31" t="n">
        <v>0</v>
      </c>
      <c r="P13" s="31" t="n">
        <v>0</v>
      </c>
      <c r="Q13" s="31" t="n">
        <v>0</v>
      </c>
      <c r="R13" s="31" t="n">
        <v>0</v>
      </c>
      <c r="S13" s="31" t="n">
        <v>0</v>
      </c>
      <c r="T13" s="31" t="n">
        <v>0</v>
      </c>
      <c r="U13" s="31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Tổng tài sản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>
        <f>'05_Balance_Sheet'!F2*1.12</f>
        <v/>
      </c>
      <c r="H2" s="33">
        <f>'05_Balance_Sheet'!G2*1.12</f>
        <v/>
      </c>
      <c r="I2" s="33">
        <f>'05_Balance_Sheet'!H2*1.12</f>
        <v/>
      </c>
    </row>
    <row r="3">
      <c r="A3" s="27" t="inlineStr">
        <is>
          <t>Tiền mặt &amp; NHNN</t>
        </is>
      </c>
      <c r="B3" s="31" t="n">
        <v>3578.643</v>
      </c>
      <c r="C3" s="31" t="n">
        <v>4215.721</v>
      </c>
      <c r="D3" s="31" t="n">
        <v>3620.695</v>
      </c>
      <c r="E3" s="31" t="n">
        <v>3384.77</v>
      </c>
      <c r="F3" s="31" t="n">
        <v>4360.821</v>
      </c>
      <c r="G3" s="31">
        <f>'05_Balance_Sheet'!F3*1.05</f>
        <v/>
      </c>
      <c r="H3" s="31">
        <f>'05_Balance_Sheet'!G3*1.05</f>
        <v/>
      </c>
      <c r="I3" s="31">
        <f>'05_Balance_Sheet'!H3*1.05</f>
        <v/>
      </c>
    </row>
    <row r="4">
      <c r="A4" s="27" t="inlineStr">
        <is>
          <t>TG tại NHNN</t>
        </is>
      </c>
      <c r="B4" s="31" t="n">
        <v>4908.529</v>
      </c>
      <c r="C4" s="31" t="n">
        <v>11475.59</v>
      </c>
      <c r="D4" s="31" t="n">
        <v>27140.592</v>
      </c>
      <c r="E4" s="31" t="n">
        <v>54353.153</v>
      </c>
      <c r="F4" s="31" t="n">
        <v>82162.772</v>
      </c>
      <c r="G4" s="31" t="n">
        <v>86270.9106</v>
      </c>
      <c r="H4" s="31" t="n">
        <v>90584.45613000001</v>
      </c>
      <c r="I4" s="31" t="n">
        <v>95113.6789365</v>
      </c>
    </row>
    <row r="5">
      <c r="A5" s="27" t="inlineStr">
        <is>
          <t>TG các TCTD khác</t>
        </is>
      </c>
      <c r="B5" s="31" t="n">
        <v>70515.258</v>
      </c>
      <c r="C5" s="31" t="n">
        <v>82873.754</v>
      </c>
      <c r="D5" s="31" t="n">
        <v>104072.32</v>
      </c>
      <c r="E5" s="31" t="n">
        <v>84590.474</v>
      </c>
      <c r="F5" s="31" t="n">
        <v>114958.312</v>
      </c>
      <c r="G5" s="31" t="n">
        <v>126454.1432</v>
      </c>
      <c r="H5" s="31" t="n">
        <v>139099.55752</v>
      </c>
      <c r="I5" s="31" t="n">
        <v>153009.513272</v>
      </c>
    </row>
    <row r="6">
      <c r="A6" s="32" t="inlineStr">
        <is>
          <t>Cho vay khách hàng</t>
        </is>
      </c>
      <c r="B6" s="33" t="n">
        <v>343605.581</v>
      </c>
      <c r="C6" s="33" t="n">
        <v>415752.256</v>
      </c>
      <c r="D6" s="33" t="n">
        <v>512513.672</v>
      </c>
      <c r="E6" s="33" t="n">
        <v>623634.2709999999</v>
      </c>
      <c r="F6" s="33" t="n">
        <v>757118.751</v>
      </c>
      <c r="G6" s="33" t="n">
        <v>863115.3761400002</v>
      </c>
      <c r="H6" s="33" t="n">
        <v>975320.3750382001</v>
      </c>
      <c r="I6" s="33" t="n">
        <v>1092358.820042784</v>
      </c>
    </row>
    <row r="7">
      <c r="A7" s="27" t="inlineStr">
        <is>
          <t>CK đầu tư</t>
        </is>
      </c>
      <c r="B7" s="31" t="n">
        <v>97586.088</v>
      </c>
      <c r="C7" s="31" t="n">
        <v>103651.92</v>
      </c>
      <c r="D7" s="31" t="n">
        <v>104993.945</v>
      </c>
      <c r="E7" s="31" t="n">
        <v>148623.636</v>
      </c>
      <c r="F7" s="31" t="n">
        <v>145526.404</v>
      </c>
      <c r="G7" s="31" t="n">
        <v>167355.3646</v>
      </c>
      <c r="H7" s="31" t="n">
        <v>192458.66929</v>
      </c>
      <c r="I7" s="31" t="n">
        <v>221327.4696835</v>
      </c>
    </row>
    <row r="8">
      <c r="A8" s="27" t="inlineStr">
        <is>
          <t>TS khác</t>
        </is>
      </c>
      <c r="B8" s="31" t="n">
        <v>48534.85099999994</v>
      </c>
      <c r="C8" s="31" t="n">
        <v>81063.30299999999</v>
      </c>
      <c r="D8" s="31" t="n">
        <v>97140.78799999994</v>
      </c>
      <c r="E8" s="31" t="n">
        <v>64212.24500000006</v>
      </c>
      <c r="F8" s="31" t="n">
        <v>88217.07700000002</v>
      </c>
      <c r="G8" s="31" t="n">
        <v>0</v>
      </c>
      <c r="H8" s="31" t="n">
        <v>0</v>
      </c>
      <c r="I8" s="31" t="n">
        <v>0</v>
      </c>
    </row>
    <row r="9">
      <c r="A9" s="27" t="inlineStr"/>
      <c r="B9" s="29" t="n"/>
      <c r="C9" s="29" t="n"/>
      <c r="D9" s="29" t="n"/>
      <c r="E9" s="29" t="n"/>
      <c r="F9" s="29" t="n"/>
      <c r="G9" s="29" t="n"/>
      <c r="H9" s="29" t="n"/>
      <c r="I9" s="29" t="n"/>
    </row>
    <row r="10">
      <c r="A10" s="32" t="inlineStr">
        <is>
          <t>Tiền gửi khách hàng</t>
        </is>
      </c>
      <c r="B10" s="33" t="n">
        <v>314752.525</v>
      </c>
      <c r="C10" s="33" t="n">
        <v>358403.785</v>
      </c>
      <c r="D10" s="33" t="n">
        <v>454660.779</v>
      </c>
      <c r="E10" s="33" t="n">
        <v>533392.35</v>
      </c>
      <c r="F10" s="33" t="n">
        <v>618911.535</v>
      </c>
      <c r="G10" s="33">
        <f>G9*'02_Assumptions'!G10</f>
        <v/>
      </c>
      <c r="H10" s="33">
        <f>H9*'02_Assumptions'!H10</f>
        <v/>
      </c>
      <c r="I10" s="33">
        <f>I9*'02_Assumptions'!I10</f>
        <v/>
      </c>
    </row>
    <row r="11">
      <c r="A11" s="27" t="inlineStr">
        <is>
          <t xml:space="preserve">  CASA</t>
        </is>
      </c>
      <c r="B11" s="31" t="n">
        <v>147861.145</v>
      </c>
      <c r="C11" s="31" t="n">
        <v>123079.324</v>
      </c>
      <c r="D11" s="31" t="n">
        <v>172755.713</v>
      </c>
      <c r="E11" s="31" t="n">
        <v>191719.796</v>
      </c>
      <c r="F11" s="31" t="n">
        <v>213415.08</v>
      </c>
      <c r="G11" s="31">
        <f>G9-G10</f>
        <v/>
      </c>
      <c r="H11" s="31">
        <f>H9-H10</f>
        <v/>
      </c>
      <c r="I11" s="31">
        <f>I9-I10</f>
        <v/>
      </c>
    </row>
    <row r="12">
      <c r="A12" s="27" t="inlineStr">
        <is>
          <t xml:space="preserve">  Có kỳ hạn</t>
        </is>
      </c>
      <c r="B12" s="31" t="n">
        <v>166891.38</v>
      </c>
      <c r="C12" s="31" t="n">
        <v>235324.461</v>
      </c>
      <c r="D12" s="31" t="n">
        <v>281905.066</v>
      </c>
      <c r="E12" s="31" t="n">
        <v>341672.554</v>
      </c>
      <c r="F12" s="31" t="n">
        <v>405496.4550000001</v>
      </c>
      <c r="G12" s="31">
        <f>'05_Balance_Sheet'!F12*1.08</f>
        <v/>
      </c>
      <c r="H12" s="31">
        <f>'05_Balance_Sheet'!G12*1.08</f>
        <v/>
      </c>
      <c r="I12" s="31">
        <f>'05_Balance_Sheet'!H12*1.08</f>
        <v/>
      </c>
    </row>
    <row r="13">
      <c r="A13" s="27" t="inlineStr">
        <is>
          <t>TG &amp; vay TCTD khác</t>
        </is>
      </c>
      <c r="B13" s="31" t="n">
        <v>112458.691</v>
      </c>
      <c r="C13" s="31" t="n">
        <v>167562.969</v>
      </c>
      <c r="D13" s="31" t="n">
        <v>153173.002</v>
      </c>
      <c r="E13" s="31" t="n">
        <v>132239.088</v>
      </c>
      <c r="F13" s="31" t="n">
        <v>144982.976</v>
      </c>
      <c r="G13" s="31">
        <f>'05_Balance_Sheet'!F13*1.20</f>
        <v/>
      </c>
      <c r="H13" s="31">
        <f>'05_Balance_Sheet'!G13*1.20</f>
        <v/>
      </c>
      <c r="I13" s="31">
        <f>'05_Balance_Sheet'!H13*1.20</f>
        <v/>
      </c>
    </row>
    <row r="14">
      <c r="A14" s="27" t="inlineStr">
        <is>
          <t>GTCT phát hành</t>
        </is>
      </c>
      <c r="B14" s="31" t="n">
        <v>33679.824</v>
      </c>
      <c r="C14" s="31" t="n">
        <v>34006.619</v>
      </c>
      <c r="D14" s="31" t="n">
        <v>84703.3</v>
      </c>
      <c r="E14" s="31" t="n">
        <v>140422.321</v>
      </c>
      <c r="F14" s="31" t="n">
        <v>215330.128</v>
      </c>
      <c r="G14" s="31">
        <f>G2-G9-G12-G13-G15</f>
        <v/>
      </c>
      <c r="H14" s="31">
        <f>H2-H9-H12-H13-H15</f>
        <v/>
      </c>
      <c r="I14" s="31">
        <f>I2-I9-I12-I13-I15</f>
        <v/>
      </c>
    </row>
    <row r="15">
      <c r="A15" s="27" t="inlineStr">
        <is>
          <t>Nợ khác</t>
        </is>
      </c>
      <c r="B15" s="31" t="n">
        <v>14796.43799999995</v>
      </c>
      <c r="C15" s="31" t="n">
        <v>25634.205</v>
      </c>
      <c r="D15" s="31" t="n">
        <v>25328.86599999998</v>
      </c>
      <c r="E15" s="31" t="n">
        <v>24805.16900000002</v>
      </c>
      <c r="F15" s="31" t="n">
        <v>33618.05600000004</v>
      </c>
      <c r="G15" s="31">
        <f>'05_Balance_Sheet'!F15+'04_PnL'!G10</f>
        <v/>
      </c>
      <c r="H15" s="31">
        <f>'05_Balance_Sheet'!G15+'04_PnL'!H10</f>
        <v/>
      </c>
      <c r="I15" s="31">
        <f>'05_Balance_Sheet'!H15+'04_PnL'!I10</f>
        <v/>
      </c>
    </row>
    <row r="16">
      <c r="A16" s="32" t="inlineStr">
        <is>
          <t>Vốn chủ sở hữu</t>
        </is>
      </c>
      <c r="B16" s="33" t="n">
        <v>93041.47199999999</v>
      </c>
      <c r="C16" s="33" t="n">
        <v>113424.966</v>
      </c>
      <c r="D16" s="33" t="n">
        <v>131616.065</v>
      </c>
      <c r="E16" s="33" t="n">
        <v>147939.621</v>
      </c>
      <c r="F16" s="33" t="n">
        <v>179501.442</v>
      </c>
      <c r="G16" s="33">
        <f>'05_Balance_Sheet'!F16</f>
        <v/>
      </c>
      <c r="H16" s="33">
        <f>'05_Balance_Sheet'!G16</f>
        <v/>
      </c>
      <c r="I16" s="33">
        <f>'05_Balance_Sheet'!H16</f>
        <v/>
      </c>
    </row>
    <row r="17">
      <c r="A17" s="27" t="inlineStr">
        <is>
          <t xml:space="preserve">  Vốn điều lệ</t>
        </is>
      </c>
      <c r="B17" s="31" t="n">
        <v>35109.148</v>
      </c>
      <c r="C17" s="31" t="n">
        <v>35172.385</v>
      </c>
      <c r="D17" s="31" t="n">
        <v>35225.108</v>
      </c>
      <c r="E17" s="31" t="n">
        <v>70648.51700000001</v>
      </c>
      <c r="F17" s="31" t="n">
        <v>70862.40399999999</v>
      </c>
      <c r="G17" s="31" t="n">
        <v>0</v>
      </c>
      <c r="H17" s="31" t="n">
        <v>0</v>
      </c>
      <c r="I17" s="31" t="n">
        <v>0</v>
      </c>
    </row>
    <row r="18">
      <c r="A18" s="27" t="inlineStr">
        <is>
          <t>Nợ nhóm 2 (tỷ)</t>
        </is>
      </c>
      <c r="B18" s="31" t="n">
        <v>2144.836</v>
      </c>
      <c r="C18" s="31" t="n">
        <v>8733.124</v>
      </c>
      <c r="D18" s="31" t="n">
        <v>4438.954</v>
      </c>
      <c r="E18" s="31" t="n">
        <v>4440.911</v>
      </c>
      <c r="F18" s="31" t="n">
        <v>3852.272</v>
      </c>
      <c r="G18" s="31">
        <f>(G5*'02_Assumptions'!G9)*0.2</f>
        <v/>
      </c>
      <c r="H18" s="31">
        <f>(H5*'02_Assumptions'!H9)*0.2</f>
        <v/>
      </c>
      <c r="I18" s="31">
        <f>(I5*'02_Assumptions'!I9)*0.2</f>
        <v/>
      </c>
    </row>
    <row r="19">
      <c r="A19" s="27" t="inlineStr">
        <is>
          <t>Nợ nhóm 3 (tỷ)</t>
        </is>
      </c>
      <c r="B19" s="31" t="n">
        <v>678.516</v>
      </c>
      <c r="C19" s="31" t="n">
        <v>901.592</v>
      </c>
      <c r="D19" s="31" t="n">
        <v>1856.801</v>
      </c>
      <c r="E19" s="31" t="n">
        <v>1365.655</v>
      </c>
      <c r="F19" s="31" t="n">
        <v>918.063</v>
      </c>
      <c r="G19" s="31">
        <f>(G5*'02_Assumptions'!G9)*0.3</f>
        <v/>
      </c>
      <c r="H19" s="31">
        <f>(H5*'02_Assumptions'!H9)*0.3</f>
        <v/>
      </c>
      <c r="I19" s="31">
        <f>(I5*'02_Assumptions'!I9)*0.3</f>
        <v/>
      </c>
    </row>
    <row r="20">
      <c r="A20" s="27" t="inlineStr">
        <is>
          <t>Nợ nhóm 4 (tỷ)</t>
        </is>
      </c>
      <c r="B20" s="31" t="n">
        <v>860.2430000000001</v>
      </c>
      <c r="C20" s="31" t="n">
        <v>1131.097</v>
      </c>
      <c r="D20" s="31" t="n">
        <v>2762.221</v>
      </c>
      <c r="E20" s="31" t="n">
        <v>2465.618</v>
      </c>
      <c r="F20" s="31" t="n">
        <v>1339.119</v>
      </c>
      <c r="G20" s="31">
        <f>(G5*'02_Assumptions'!G9)*0.5</f>
        <v/>
      </c>
      <c r="H20" s="31">
        <f>(H5*'02_Assumptions'!H9)*0.5</f>
        <v/>
      </c>
      <c r="I20" s="31">
        <f>(I5*'02_Assumptions'!I9)*0.5</f>
        <v/>
      </c>
    </row>
    <row r="21">
      <c r="A21" s="27" t="inlineStr">
        <is>
          <t>Nợ nhóm 5 (tỷ)</t>
        </is>
      </c>
      <c r="B21" s="31" t="n">
        <v>755.115</v>
      </c>
      <c r="C21" s="31" t="n">
        <v>999.926</v>
      </c>
      <c r="D21" s="31" t="n">
        <v>1380.121</v>
      </c>
      <c r="E21" s="31" t="n">
        <v>3269.527</v>
      </c>
      <c r="F21" s="31" t="n">
        <v>5941.193</v>
      </c>
      <c r="G21" s="31" t="n">
        <v>0</v>
      </c>
      <c r="H21" s="31" t="n">
        <v>0</v>
      </c>
      <c r="I21" s="3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4" t="inlineStr">
        <is>
          <t>NIM (%)</t>
        </is>
      </c>
      <c r="B2" s="31">
        <f>('04_PnL'!B2 / ('05_Balance_Sheet'!B5 + '05_Balance_Sheet'!B4 + '05_Balance_Sheet'!B6 + '05_Balance_Sheet'!B3)) * 100</f>
        <v/>
      </c>
      <c r="C2" s="31">
        <f>('04_PnL'!C2 / ('05_Balance_Sheet'!C5 + '05_Balance_Sheet'!C4 + '05_Balance_Sheet'!C6 + '05_Balance_Sheet'!C3)) * 100</f>
        <v/>
      </c>
      <c r="D2" s="31">
        <f>('04_PnL'!D2 / ('05_Balance_Sheet'!D5 + '05_Balance_Sheet'!D4 + '05_Balance_Sheet'!D6 + '05_Balance_Sheet'!D3)) * 100</f>
        <v/>
      </c>
      <c r="E2" s="31">
        <f>('04_PnL'!E2 / ('05_Balance_Sheet'!E5 + '05_Balance_Sheet'!E4 + '05_Balance_Sheet'!E6 + '05_Balance_Sheet'!E3)) * 100</f>
        <v/>
      </c>
      <c r="F2" s="31">
        <f>('04_PnL'!F2 / ('05_Balance_Sheet'!F5 + '05_Balance_Sheet'!F4 + '05_Balance_Sheet'!F6 + '05_Balance_Sheet'!F3)) * 100</f>
        <v/>
      </c>
      <c r="G2" s="31">
        <f>'03_Income_Model'!G4*100</f>
        <v/>
      </c>
      <c r="H2" s="31">
        <f>'03_Income_Model'!H4*100</f>
        <v/>
      </c>
      <c r="I2" s="31">
        <f>'03_Income_Model'!I4*100</f>
        <v/>
      </c>
    </row>
    <row r="3">
      <c r="A3" s="34" t="inlineStr">
        <is>
          <t>NPL (%)</t>
        </is>
      </c>
      <c r="B3" s="31">
        <f>(SUM('05_Balance_Sheet'!B18:'05_Balance_Sheet'!B20) / '05_Balance_Sheet'!B5) * 100</f>
        <v/>
      </c>
      <c r="C3" s="31">
        <f>(SUM('05_Balance_Sheet'!C18:'05_Balance_Sheet'!C20) / '05_Balance_Sheet'!C5) * 100</f>
        <v/>
      </c>
      <c r="D3" s="31">
        <f>(SUM('05_Balance_Sheet'!D18:'05_Balance_Sheet'!D20) / '05_Balance_Sheet'!D5) * 100</f>
        <v/>
      </c>
      <c r="E3" s="31">
        <f>(SUM('05_Balance_Sheet'!E18:'05_Balance_Sheet'!E20) / '05_Balance_Sheet'!E5) * 100</f>
        <v/>
      </c>
      <c r="F3" s="31">
        <f>(SUM('05_Balance_Sheet'!F18:'05_Balance_Sheet'!F20) / '05_Balance_Sheet'!F5) * 100</f>
        <v/>
      </c>
      <c r="G3" s="31">
        <f>'02_Assumptions'!G9</f>
        <v/>
      </c>
      <c r="H3" s="31">
        <f>'02_Assumptions'!H9</f>
        <v/>
      </c>
      <c r="I3" s="31">
        <f>'02_Assumptions'!I9</f>
        <v/>
      </c>
    </row>
    <row r="4">
      <c r="A4" s="34" t="inlineStr">
        <is>
          <t>Nợ nhóm 2 (%)</t>
        </is>
      </c>
      <c r="B4" s="31">
        <f>('05_Balance_Sheet'!B17 / '05_Balance_Sheet'!B5) * 100</f>
        <v/>
      </c>
      <c r="C4" s="31">
        <f>('05_Balance_Sheet'!C17 / '05_Balance_Sheet'!C5) * 100</f>
        <v/>
      </c>
      <c r="D4" s="31">
        <f>('05_Balance_Sheet'!D17 / '05_Balance_Sheet'!D5) * 100</f>
        <v/>
      </c>
      <c r="E4" s="31">
        <f>('05_Balance_Sheet'!E17 / '05_Balance_Sheet'!E5) * 100</f>
        <v/>
      </c>
      <c r="F4" s="31">
        <f>('05_Balance_Sheet'!F17 / '05_Balance_Sheet'!F5) * 100</f>
        <v/>
      </c>
      <c r="G4" s="31" t="inlineStr">
        <is>
          <t>0.0</t>
        </is>
      </c>
      <c r="H4" s="31" t="inlineStr">
        <is>
          <t>0.0</t>
        </is>
      </c>
      <c r="I4" s="31" t="inlineStr">
        <is>
          <t>0.0</t>
        </is>
      </c>
    </row>
    <row r="5">
      <c r="A5" s="34" t="inlineStr">
        <is>
          <t>CASA (%)</t>
        </is>
      </c>
      <c r="B5" s="31">
        <f>('05_Balance_Sheet'!B10 / '05_Balance_Sheet'!B9) * 100</f>
        <v/>
      </c>
      <c r="C5" s="31">
        <f>('05_Balance_Sheet'!C10 / '05_Balance_Sheet'!C9) * 100</f>
        <v/>
      </c>
      <c r="D5" s="31">
        <f>('05_Balance_Sheet'!D10 / '05_Balance_Sheet'!D9) * 100</f>
        <v/>
      </c>
      <c r="E5" s="31">
        <f>('05_Balance_Sheet'!E10 / '05_Balance_Sheet'!E9) * 100</f>
        <v/>
      </c>
      <c r="F5" s="31">
        <f>('05_Balance_Sheet'!F10 / '05_Balance_Sheet'!F9) * 100</f>
        <v/>
      </c>
      <c r="G5" s="31">
        <f>'02_Assumptions'!G10</f>
        <v/>
      </c>
      <c r="H5" s="31">
        <f>'02_Assumptions'!H10</f>
        <v/>
      </c>
      <c r="I5" s="31">
        <f>'02_Assumptions'!I10</f>
        <v/>
      </c>
    </row>
    <row r="6">
      <c r="A6" s="34" t="inlineStr">
        <is>
          <t>CIR (%)</t>
        </is>
      </c>
      <c r="B6" s="31">
        <f>('04_PnL'!B5 / '04_PnL'!B4) * 100</f>
        <v/>
      </c>
      <c r="C6" s="31">
        <f>('04_PnL'!C5 / '04_PnL'!C4) * 100</f>
        <v/>
      </c>
      <c r="D6" s="31">
        <f>('04_PnL'!D5 / '04_PnL'!D4) * 100</f>
        <v/>
      </c>
      <c r="E6" s="31">
        <f>('04_PnL'!E5 / '04_PnL'!E4) * 100</f>
        <v/>
      </c>
      <c r="F6" s="31">
        <f>('04_PnL'!F5 / '04_PnL'!F4) * 100</f>
        <v/>
      </c>
      <c r="G6" s="31">
        <f>('04_PnL'!G5 / '04_PnL'!G4) * 100</f>
        <v/>
      </c>
      <c r="H6" s="31">
        <f>('04_PnL'!H5 / '04_PnL'!H4) * 100</f>
        <v/>
      </c>
      <c r="I6" s="31">
        <f>('04_PnL'!I5 / '04_PnL'!I4) * 100</f>
        <v/>
      </c>
    </row>
    <row r="7">
      <c r="A7" s="34" t="inlineStr">
        <is>
          <t>ROE (%)</t>
        </is>
      </c>
      <c r="B7" s="31">
        <f>('04_PnL'!B10 / '05_Balance_Sheet'!B15) * 100</f>
        <v/>
      </c>
      <c r="C7" s="31">
        <f>('04_PnL'!C10 / (('05_Balance_Sheet'!B15 + '05_Balance_Sheet'!C15) / 2)) * 100</f>
        <v/>
      </c>
      <c r="D7" s="31">
        <f>('04_PnL'!D10 / (('05_Balance_Sheet'!C15 + '05_Balance_Sheet'!D15) / 2)) * 100</f>
        <v/>
      </c>
      <c r="E7" s="31">
        <f>('04_PnL'!E10 / (('05_Balance_Sheet'!D15 + '05_Balance_Sheet'!E15) / 2)) * 100</f>
        <v/>
      </c>
      <c r="F7" s="31">
        <f>('04_PnL'!F10 / (('05_Balance_Sheet'!E15 + '05_Balance_Sheet'!F15) / 2)) * 100</f>
        <v/>
      </c>
      <c r="G7" s="31">
        <f>('04_PnL'!G10 / (('05_Balance_Sheet'!F15 + '05_Balance_Sheet'!G15) / 2)) * 100</f>
        <v/>
      </c>
      <c r="H7" s="31">
        <f>('04_PnL'!H10 / (('05_Balance_Sheet'!G15 + '05_Balance_Sheet'!H15) / 2)) * 100</f>
        <v/>
      </c>
      <c r="I7" s="31">
        <f>('04_PnL'!I10 / (('05_Balance_Sheet'!H15 + '05_Balance_Sheet'!I15) / 2)) * 100</f>
        <v/>
      </c>
    </row>
    <row r="8">
      <c r="A8" s="34" t="inlineStr">
        <is>
          <t>ROA (%)</t>
        </is>
      </c>
      <c r="B8" s="31">
        <f>('04_PnL'!B10 / '05_Balance_Sheet'!B2) * 100</f>
        <v/>
      </c>
      <c r="C8" s="31">
        <f>('04_PnL'!C10 / '05_Balance_Sheet'!C2) * 100</f>
        <v/>
      </c>
      <c r="D8" s="31">
        <f>('04_PnL'!D10 / '05_Balance_Sheet'!D2) * 100</f>
        <v/>
      </c>
      <c r="E8" s="31">
        <f>('04_PnL'!E10 / '05_Balance_Sheet'!E2) * 100</f>
        <v/>
      </c>
      <c r="F8" s="31">
        <f>('04_PnL'!F10 / '05_Balance_Sheet'!F2) * 100</f>
        <v/>
      </c>
      <c r="G8" s="31">
        <f>('04_PnL'!G10 / '05_Balance_Sheet'!G2) * 100</f>
        <v/>
      </c>
      <c r="H8" s="31">
        <f>('04_PnL'!H10 / '05_Balance_Sheet'!H2) * 100</f>
        <v/>
      </c>
      <c r="I8" s="31">
        <f>('04_PnL'!I10 / '05_Balance_Sheet'!I2) * 100</f>
        <v/>
      </c>
    </row>
    <row r="9">
      <c r="A9" s="34" t="inlineStr">
        <is>
          <t>LDR (%)</t>
        </is>
      </c>
      <c r="B9" s="31">
        <f>('05_Balance_Sheet'!B5 / '05_Balance_Sheet'!B9) * 100</f>
        <v/>
      </c>
      <c r="C9" s="31">
        <f>('05_Balance_Sheet'!C5 / '05_Balance_Sheet'!C9) * 100</f>
        <v/>
      </c>
      <c r="D9" s="31">
        <f>('05_Balance_Sheet'!D5 / '05_Balance_Sheet'!D9) * 100</f>
        <v/>
      </c>
      <c r="E9" s="31">
        <f>('05_Balance_Sheet'!E5 / '05_Balance_Sheet'!E9) * 100</f>
        <v/>
      </c>
      <c r="F9" s="31">
        <f>('05_Balance_Sheet'!F5 / '05_Balance_Sheet'!F9) * 100</f>
        <v/>
      </c>
      <c r="G9" s="31">
        <f>('05_Balance_Sheet'!G5 / '05_Balance_Sheet'!G9) * 100</f>
        <v/>
      </c>
      <c r="H9" s="31">
        <f>('05_Balance_Sheet'!H5 / '05_Balance_Sheet'!H9) * 100</f>
        <v/>
      </c>
      <c r="I9" s="31">
        <f>('05_Balance_Sheet'!I5 / '05_Balance_Sheet'!I9) * 100</f>
        <v/>
      </c>
    </row>
    <row r="10">
      <c r="A10" s="34" t="inlineStr">
        <is>
          <t>CoC - Credit Cost (%)</t>
        </is>
      </c>
      <c r="B10" s="31">
        <f>('04_PnL'!B7 / '05_Balance_Sheet'!B5) * 100</f>
        <v/>
      </c>
      <c r="C10" s="31">
        <f>('04_PnL'!C7 / (('05_Balance_Sheet'!B5 + '05_Balance_Sheet'!C5) / 2)) * 100</f>
        <v/>
      </c>
      <c r="D10" s="31">
        <f>('04_PnL'!D7 / (('05_Balance_Sheet'!C5 + '05_Balance_Sheet'!D5) / 2)) * 100</f>
        <v/>
      </c>
      <c r="E10" s="31">
        <f>('04_PnL'!E7 / (('05_Balance_Sheet'!D5 + '05_Balance_Sheet'!E5) / 2)) * 100</f>
        <v/>
      </c>
      <c r="F10" s="31">
        <f>('04_PnL'!F7 / (('05_Balance_Sheet'!E5 + '05_Balance_Sheet'!F5) / 2)) * 100</f>
        <v/>
      </c>
      <c r="G10" s="31">
        <f>('04_PnL'!G7 / (('05_Balance_Sheet'!F5 + '05_Balance_Sheet'!G5) / 2)) * 100</f>
        <v/>
      </c>
      <c r="H10" s="31">
        <f>('04_PnL'!H7 / (('05_Balance_Sheet'!G5 + '05_Balance_Sheet'!H5) / 2)) * 100</f>
        <v/>
      </c>
      <c r="I10" s="31">
        <f>('04_PnL'!I7 / (('05_Balance_Sheet'!H5 + '05_Balance_Sheet'!I5) / 2)) * 100</f>
        <v/>
      </c>
    </row>
    <row r="11">
      <c r="A11" s="34" t="inlineStr">
        <is>
          <t>LLR / NPL (%)</t>
        </is>
      </c>
      <c r="B11" s="31">
        <f>('04_PnL'!B7 / MAX(SUM('05_Balance_Sheet'!B18:'05_Balance_Sheet'!B20), 0.1)) * 100</f>
        <v/>
      </c>
      <c r="C11" s="31">
        <f>('04_PnL'!C7 / MAX(SUM('05_Balance_Sheet'!C18:'05_Balance_Sheet'!C20), 0.1)) * 100</f>
        <v/>
      </c>
      <c r="D11" s="31">
        <f>('04_PnL'!D7 / MAX(SUM('05_Balance_Sheet'!D18:'05_Balance_Sheet'!D20), 0.1)) * 100</f>
        <v/>
      </c>
      <c r="E11" s="31">
        <f>('04_PnL'!E7 / MAX(SUM('05_Balance_Sheet'!E18:'05_Balance_Sheet'!E20), 0.1)) * 100</f>
        <v/>
      </c>
      <c r="F11" s="31">
        <f>('04_PnL'!F7 / MAX(SUM('05_Balance_Sheet'!F18:'05_Balance_Sheet'!F20), 0.1)) * 100</f>
        <v/>
      </c>
      <c r="G11" s="31">
        <f>90.0</f>
        <v/>
      </c>
      <c r="H11" s="31">
        <f>95.0</f>
        <v/>
      </c>
      <c r="I11" s="31">
        <f>100.0</f>
        <v/>
      </c>
    </row>
    <row r="12">
      <c r="A12" s="34" t="inlineStr">
        <is>
          <t>YOEA (%)</t>
        </is>
      </c>
      <c r="B12" s="31" t="n">
        <v>7.76</v>
      </c>
      <c r="C12" s="31" t="n">
        <v>7.83</v>
      </c>
      <c r="D12" s="31" t="n">
        <v>7.76</v>
      </c>
      <c r="E12" s="31" t="n">
        <v>7.8</v>
      </c>
      <c r="F12" s="31" t="n">
        <v>7.9</v>
      </c>
      <c r="G12" s="31" t="n">
        <v>7.8</v>
      </c>
      <c r="H12" s="31" t="n">
        <v>7.9</v>
      </c>
      <c r="I12" s="31" t="n">
        <v>8</v>
      </c>
    </row>
    <row r="13">
      <c r="A13" s="34" t="inlineStr">
        <is>
          <t>COF (%)</t>
        </is>
      </c>
      <c r="B13" s="31" t="n">
        <v>5.19</v>
      </c>
      <c r="C13" s="31" t="n">
        <v>5.21</v>
      </c>
      <c r="D13" s="31" t="n">
        <v>4.69</v>
      </c>
      <c r="E13" s="31" t="n">
        <v>4.8</v>
      </c>
      <c r="F13" s="31" t="n">
        <v>4.7</v>
      </c>
      <c r="G13" s="31" t="n">
        <v>5</v>
      </c>
      <c r="H13" s="31" t="n">
        <v>4.8</v>
      </c>
      <c r="I13" s="31" t="n">
        <v>4.6</v>
      </c>
    </row>
    <row r="14">
      <c r="A14" s="34" t="inlineStr">
        <is>
          <t>IEA bình quân (tỷ)</t>
        </is>
      </c>
      <c r="B14" s="31" t="n">
        <v>0</v>
      </c>
      <c r="C14" s="31" t="n">
        <v>0</v>
      </c>
      <c r="D14" s="31" t="n">
        <v>0</v>
      </c>
      <c r="E14" s="31" t="n">
        <v>0</v>
      </c>
      <c r="F14" s="31" t="n">
        <v>0</v>
      </c>
      <c r="G14" s="31" t="n">
        <v>1247663.6</v>
      </c>
      <c r="H14" s="31" t="n">
        <v>1397383.2</v>
      </c>
      <c r="I14" s="31" t="n">
        <v>1551095.4</v>
      </c>
    </row>
    <row r="15">
      <c r="A15" s="34" t="inlineStr">
        <is>
          <t>P/B (x)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>
        <f>'02_Assumptions'!G15</f>
        <v/>
      </c>
      <c r="H15" s="31">
        <f>'02_Assumptions'!H15</f>
        <v/>
      </c>
      <c r="I15" s="31">
        <f>'02_Assumptions'!I15</f>
        <v/>
      </c>
    </row>
    <row r="16">
      <c r="A16" s="34" t="inlineStr">
        <is>
          <t>P/E (x)</t>
        </is>
      </c>
      <c r="B16" s="31" t="n">
        <v>0</v>
      </c>
      <c r="C16" s="31" t="n">
        <v>0</v>
      </c>
      <c r="D16" s="31" t="n">
        <v>0</v>
      </c>
      <c r="E16" s="31" t="n">
        <v>0</v>
      </c>
      <c r="F16" s="31" t="n">
        <v>0</v>
      </c>
      <c r="G16" s="31">
        <f>('02_Assumptions'!$B$2*'02_Assumptions'!$B$3)/('04_PnL'!G10*1e9)</f>
        <v/>
      </c>
      <c r="H16" s="31">
        <f>('02_Assumptions'!$B$2*'02_Assumptions'!$B$3)/('04_PnL'!H10*1e9)</f>
        <v/>
      </c>
      <c r="I16" s="31">
        <f>('02_Assumptions'!$B$2*'02_Assumptions'!$B$3)/('04_PnL'!I10*1e9)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5" t="inlineStr">
        <is>
          <t>PHUONG PHAP DINH GIA</t>
        </is>
      </c>
    </row>
    <row r="2">
      <c r="A2" s="36" t="inlineStr">
        <is>
          <t>Chi phi von CSH (COE)</t>
        </is>
      </c>
      <c r="B2" s="37">
        <f>'02_Assumptions'!G12</f>
        <v/>
      </c>
    </row>
    <row r="3">
      <c r="A3" t="inlineStr">
        <is>
          <t>Tang truong dai han (g)</t>
        </is>
      </c>
      <c r="B3" s="37">
        <f>0.03</f>
        <v/>
      </c>
    </row>
    <row r="5">
      <c r="A5" s="35" t="inlineStr">
        <is>
          <t>RESIDUAL INCOME MODEL</t>
        </is>
      </c>
    </row>
    <row r="6">
      <c r="A6" t="inlineStr">
        <is>
          <t>BV/share hien tai (VND)</t>
        </is>
      </c>
      <c r="B6" s="38">
        <f>'05_Balance_Sheet'!F16*1e9/'02_Assumptions'!B3</f>
        <v/>
      </c>
    </row>
    <row r="7">
      <c r="A7" t="inlineStr">
        <is>
          <t>PV cua RI 3 nam (VND)</t>
        </is>
      </c>
      <c r="B7" s="38">
        <f>SUM(B31:D31)</f>
        <v/>
      </c>
    </row>
    <row r="8">
      <c r="A8" t="inlineStr">
        <is>
          <t>PV cua Continuing Value (VND)</t>
        </is>
      </c>
      <c r="B8" s="38">
        <f>(D29*(1+B3)/(B2-B3))*D30</f>
        <v/>
      </c>
    </row>
    <row r="9">
      <c r="A9" t="inlineStr">
        <is>
          <t>GIA TRI RI (VND)</t>
        </is>
      </c>
      <c r="B9" s="39">
        <f>B6+B7+B8</f>
        <v/>
      </c>
    </row>
    <row r="11">
      <c r="A11" s="35" t="inlineStr">
        <is>
          <t>P/B MULTIPLE — 3 muc phan phoi lich su</t>
        </is>
      </c>
    </row>
    <row r="12">
      <c r="A12" t="inlineStr">
        <is>
          <t>P/B hien tai (x)</t>
        </is>
      </c>
      <c r="B12" s="40">
        <f>'02_Assumptions'!B2/B6</f>
        <v/>
      </c>
    </row>
    <row r="13">
      <c r="A13" t="inlineStr">
        <is>
          <t>P/B hap dan (x) — MUA</t>
        </is>
      </c>
      <c r="B13" s="41">
        <f>1.11</f>
        <v/>
      </c>
      <c r="C13" s="42" t="inlineStr">
        <is>
          <t>Median P/B nua duoi (vung mua hap dan)</t>
        </is>
      </c>
    </row>
    <row r="14">
      <c r="A14" t="inlineStr">
        <is>
          <t>P/B median all-time (x) — FAIR VALUE</t>
        </is>
      </c>
      <c r="B14" s="40">
        <f>1.33</f>
        <v/>
      </c>
      <c r="C14" s="43" t="inlineStr">
        <is>
          <t>Median toan bo lich su (diem can bang)</t>
        </is>
      </c>
    </row>
    <row r="15">
      <c r="A15" t="inlineStr">
        <is>
          <t>P/B muc tieu (x) — BAN / CHOT LOI</t>
        </is>
      </c>
      <c r="B15" s="44">
        <f>'02_Assumptions'!G15</f>
        <v/>
      </c>
      <c r="C15" s="45" t="inlineStr">
        <is>
          <t>Median P/B nua tren (vung muc tieu ban)</t>
        </is>
      </c>
    </row>
    <row r="16">
      <c r="A16" t="inlineStr">
        <is>
          <t>BV/share tuong lai (2026F)</t>
        </is>
      </c>
      <c r="B16" s="38">
        <f>B6+B26</f>
        <v/>
      </c>
    </row>
    <row r="17">
      <c r="A17" t="inlineStr">
        <is>
          <t>GIA TRI P/B (VND)</t>
        </is>
      </c>
      <c r="B17" s="39">
        <f>B15*B16</f>
        <v/>
      </c>
    </row>
    <row r="19">
      <c r="A19" s="46" t="inlineStr">
        <is>
          <t>WEIGHTED TARGET PRICE</t>
        </is>
      </c>
    </row>
    <row r="20">
      <c r="A20" t="inlineStr">
        <is>
          <t>Trong so: 50% RI + 50% P/B</t>
        </is>
      </c>
    </row>
    <row r="21">
      <c r="A21" t="inlineStr">
        <is>
          <t>Target Price (VND)</t>
        </is>
      </c>
      <c r="B21" s="39">
        <f>B9*0.5+B17*0.5</f>
        <v/>
      </c>
    </row>
    <row r="22">
      <c r="A22" t="inlineStr">
        <is>
          <t>Gia hien tai (VND)</t>
        </is>
      </c>
      <c r="B22">
        <f>'02_Assumptions'!B2</f>
        <v/>
      </c>
    </row>
    <row r="23">
      <c r="A23" t="inlineStr">
        <is>
          <t>UPSIDE (%)</t>
        </is>
      </c>
      <c r="B23" s="47">
        <f>B21/B22-1</f>
        <v/>
      </c>
    </row>
    <row r="25">
      <c r="A25" s="48" t="inlineStr">
        <is>
          <t>--- RI DETAIL ---</t>
        </is>
      </c>
      <c r="B25" s="35" t="inlineStr">
        <is>
          <t>2026F</t>
        </is>
      </c>
      <c r="C25" s="35" t="inlineStr">
        <is>
          <t>2027F</t>
        </is>
      </c>
      <c r="D25" s="35" t="inlineStr">
        <is>
          <t>2028F</t>
        </is>
      </c>
    </row>
    <row r="26">
      <c r="A26" t="inlineStr">
        <is>
          <t>EPS (VND)</t>
        </is>
      </c>
      <c r="B26" s="38">
        <f>'04_PnL'!G10*1e9/'02_Assumptions'!$B$3</f>
        <v/>
      </c>
      <c r="C26" s="38">
        <f>'04_PnL'!H10*1e9/'02_Assumptions'!$B$3</f>
        <v/>
      </c>
      <c r="D26" s="38">
        <f>'04_PnL'!I10*1e9/'02_Assumptions'!$B$3</f>
        <v/>
      </c>
    </row>
    <row r="27">
      <c r="A27" t="inlineStr">
        <is>
          <t>BVPS dau ky (VND)</t>
        </is>
      </c>
      <c r="B27" s="38">
        <f>'05_Balance_Sheet'!F16*1e9/'02_Assumptions'!$B$3</f>
        <v/>
      </c>
      <c r="C27" s="38">
        <f>'05_Balance_Sheet'!G16*1e9/'02_Assumptions'!$B$3</f>
        <v/>
      </c>
      <c r="D27" s="38">
        <f>'05_Balance_Sheet'!H16*1e9/'02_Assumptions'!$B$3</f>
        <v/>
      </c>
    </row>
    <row r="28">
      <c r="A28" t="inlineStr">
        <is>
          <t>Capital Charge (VND)</t>
        </is>
      </c>
      <c r="B28" s="38">
        <f>B27*'07_Valuation'!$B$2</f>
        <v/>
      </c>
      <c r="C28" s="38">
        <f>C27*'07_Valuation'!$B$2</f>
        <v/>
      </c>
      <c r="D28" s="38">
        <f>D27*'07_Valuation'!$B$2</f>
        <v/>
      </c>
    </row>
    <row r="29">
      <c r="A29" t="inlineStr">
        <is>
          <t>Residual Income (VND)</t>
        </is>
      </c>
      <c r="B29" s="38">
        <f>B26-B28</f>
        <v/>
      </c>
      <c r="C29" s="38">
        <f>C26-C28</f>
        <v/>
      </c>
      <c r="D29" s="38">
        <f>D26-D28</f>
        <v/>
      </c>
    </row>
    <row r="30">
      <c r="A30" t="inlineStr">
        <is>
          <t>Discount Factor</t>
        </is>
      </c>
      <c r="B30" s="49">
        <f>1/(1+'07_Valuation'!$B$2)^1</f>
        <v/>
      </c>
      <c r="C30" s="49">
        <f>1/(1+'07_Valuation'!$B$2)^2</f>
        <v/>
      </c>
      <c r="D30" s="49">
        <f>1/(1+'07_Valuation'!$B$2)^3</f>
        <v/>
      </c>
    </row>
    <row r="31">
      <c r="A31" t="inlineStr">
        <is>
          <t>PV of RI</t>
        </is>
      </c>
      <c r="B31" s="38">
        <f>B29*B30</f>
        <v/>
      </c>
      <c r="C31" s="38">
        <f>C29*C30</f>
        <v/>
      </c>
      <c r="D31" s="38">
        <f>D29*D30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35" t="inlineStr">
        <is>
          <t>Sensitivity: COE x g</t>
        </is>
      </c>
    </row>
    <row r="2">
      <c r="A2" t="inlineStr">
        <is>
          <t>COE \ g</t>
        </is>
      </c>
      <c r="B2" s="50" t="n">
        <v>0.01</v>
      </c>
      <c r="C2" s="50" t="n">
        <v>0.02</v>
      </c>
      <c r="D2" s="50" t="n">
        <v>0.03</v>
      </c>
      <c r="E2" s="50" t="n">
        <v>0.04</v>
      </c>
      <c r="F2" s="50" t="n">
        <v>0.05</v>
      </c>
    </row>
    <row r="3">
      <c r="A3" s="51" t="n">
        <v>0.1</v>
      </c>
      <c r="B3" s="52">
        <f>'07_Valuation'!$B$6 + (('07_Valuation'!$B$26 - '07_Valuation'!$B$27*$A3)/(1+$A3)^1 + ('07_Valuation'!$C$26 - '07_Valuation'!$C$27*$A3)/(1+$A3)^2 + ('07_Valuation'!$D$26 - '07_Valuation'!$D$27*$A3)/(1+$A3)^3) + (('07_Valuation'!$D$26 - '07_Valuation'!$D$27*$A3)*(1+B$2)/($A3-B$2))/(1+$A3)^3</f>
        <v/>
      </c>
      <c r="C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'07_Valuation'!$D$27*$A3)*(1+C$2)/($A3-C$2))/(1+$A3)^3</f>
        <v/>
      </c>
      <c r="D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'07_Valuation'!$D$27*$A3)*(1+D$2)/($A3-D$2))/(1+$A3)^3</f>
        <v/>
      </c>
      <c r="E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'07_Valuation'!$D$27*$A3)*(1+E$2)/($A3-E$2))/(1+$A3)^3</f>
        <v/>
      </c>
      <c r="F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'07_Valuation'!$D$27*$A3)*(1+F$2)/($A3-F$2))/(1+$A3)^3</f>
        <v/>
      </c>
    </row>
    <row r="4">
      <c r="A4" s="51" t="n">
        <v>0.115</v>
      </c>
      <c r="B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'07_Valuation'!$D$27*$A4)*(1+B$2)/($A4-B$2))/(1+$A4)^3</f>
        <v/>
      </c>
      <c r="C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'07_Valuation'!$D$27*$A4)*(1+C$2)/($A4-C$2))/(1+$A4)^3</f>
        <v/>
      </c>
      <c r="D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'07_Valuation'!$D$27*$A4)*(1+D$2)/($A4-D$2))/(1+$A4)^3</f>
        <v/>
      </c>
      <c r="E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'07_Valuation'!$D$27*$A4)*(1+E$2)/($A4-E$2))/(1+$A4)^3</f>
        <v/>
      </c>
      <c r="F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'07_Valuation'!$D$27*$A4)*(1+F$2)/($A4-F$2))/(1+$A4)^3</f>
        <v/>
      </c>
    </row>
    <row r="5">
      <c r="A5" s="51" t="n">
        <v>0.13</v>
      </c>
      <c r="B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'07_Valuation'!$D$27*$A5)*(1+B$2)/($A5-B$2))/(1+$A5)^3</f>
        <v/>
      </c>
      <c r="C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'07_Valuation'!$D$27*$A5)*(1+C$2)/($A5-C$2))/(1+$A5)^3</f>
        <v/>
      </c>
      <c r="D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'07_Valuation'!$D$27*$A5)*(1+D$2)/($A5-D$2))/(1+$A5)^3</f>
        <v/>
      </c>
      <c r="E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'07_Valuation'!$D$27*$A5)*(1+E$2)/($A5-E$2))/(1+$A5)^3</f>
        <v/>
      </c>
      <c r="F5" s="38">
        <f>'07_Valuation'!$B$6 + (('07_Valuation'!$B$26 - '07_Valuation'!$B$27*$A5)/(1+$A5)^1 + ('07_Valuation'!$C$26 - '07_Valuation'!$C$27*$A5)/(1+$A5)^2 + ('07_Valuation'!$D$26 - '07_Valuation'!$D$27*$A5)/(1+$A5)^3) + (('07_Valuation'!$D$26 - '07_Valuation'!$D$27*$A5)*(1+F$2)/($A5-F$2))/(1+$A5)^3</f>
        <v/>
      </c>
    </row>
    <row r="6">
      <c r="A6" s="51" t="n">
        <v>0.145</v>
      </c>
      <c r="B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'07_Valuation'!$D$27*$A6)*(1+B$2)/($A6-B$2))/(1+$A6)^3</f>
        <v/>
      </c>
      <c r="C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'07_Valuation'!$D$27*$A6)*(1+C$2)/($A6-C$2))/(1+$A6)^3</f>
        <v/>
      </c>
      <c r="D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'07_Valuation'!$D$27*$A6)*(1+D$2)/($A6-D$2))/(1+$A6)^3</f>
        <v/>
      </c>
      <c r="E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'07_Valuation'!$D$27*$A6)*(1+E$2)/($A6-E$2))/(1+$A6)^3</f>
        <v/>
      </c>
      <c r="F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'07_Valuation'!$D$27*$A6)*(1+F$2)/($A6-F$2))/(1+$A6)^3</f>
        <v/>
      </c>
    </row>
    <row r="7">
      <c r="A7" s="51" t="n">
        <v>0.16</v>
      </c>
      <c r="B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'07_Valuation'!$D$27*$A7)*(1+B$2)/($A7-B$2))/(1+$A7)^3</f>
        <v/>
      </c>
      <c r="C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'07_Valuation'!$D$27*$A7)*(1+C$2)/($A7-C$2))/(1+$A7)^3</f>
        <v/>
      </c>
      <c r="D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'07_Valuation'!$D$27*$A7)*(1+D$2)/($A7-D$2))/(1+$A7)^3</f>
        <v/>
      </c>
      <c r="E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'07_Valuation'!$D$27*$A7)*(1+E$2)/($A7-E$2))/(1+$A7)^3</f>
        <v/>
      </c>
      <c r="F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'07_Valuation'!$D$27*$A7)*(1+F$2)/($A7-F$2))/(1+$A7)^3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Yếu tố</t>
        </is>
      </c>
      <c r="B1" s="26" t="inlineStr">
        <is>
          <t>Nội dung</t>
        </is>
      </c>
      <c r="C1" s="26" t="inlineStr">
        <is>
          <t>Tác động</t>
        </is>
      </c>
    </row>
    <row r="2">
      <c r="A2" s="53" t="inlineStr">
        <is>
          <t>Chính trị - PL</t>
        </is>
      </c>
      <c r="B2" s="53" t="inlineStr">
        <is>
          <t>SBV giữ LS điều hành 4.5%. Môi trường chính trị ổn định. Thông tư 22 siết room tín dụng.</t>
        </is>
      </c>
      <c r="C2" s="54" t="inlineStr">
        <is>
          <t>Tích cực</t>
        </is>
      </c>
    </row>
    <row r="3">
      <c r="A3" s="53" t="inlineStr">
        <is>
          <t>Kinh tế</t>
        </is>
      </c>
      <c r="B3" s="53" t="inlineStr">
        <is>
          <t>GDP 2026E ~6.5%. LS huy động nhích nhẹ (5-5.5%). Tín dụng toàn ngành 14-15%.</t>
        </is>
      </c>
      <c r="C3" s="54" t="inlineStr">
        <is>
          <t>Tích cực</t>
        </is>
      </c>
    </row>
    <row r="4">
      <c r="A4" s="53" t="inlineStr">
        <is>
          <t>Xã hội</t>
        </is>
      </c>
      <c r="B4" s="53" t="inlineStr">
        <is>
          <t>Thu nhập tăng, ngân hàng số phát triển. Thanh toán không dùng TM mở rộng.</t>
        </is>
      </c>
      <c r="C4" s="53" t="inlineStr">
        <is>
          <t>Trung tính</t>
        </is>
      </c>
    </row>
    <row r="5">
      <c r="A5" s="53" t="inlineStr">
        <is>
          <t>Công nghệ</t>
        </is>
      </c>
      <c r="B5" s="53" t="inlineStr">
        <is>
          <t>Chuyển đổi số ngành NH. Ngân hàng nhỏ chậm hơn trong đầu tư CN.</t>
        </is>
      </c>
      <c r="C5" s="53" t="inlineStr">
        <is>
          <t>Trung tính</t>
        </is>
      </c>
    </row>
    <row r="6">
      <c r="A6" s="53" t="inlineStr">
        <is>
          <t>Môi trường</t>
        </is>
      </c>
      <c r="B6" s="53" t="inlineStr">
        <is>
          <t>Tín dụng xanh được khuyến khích. Ảnh hưởng không lớn với ngân hàng TMCP.</t>
        </is>
      </c>
      <c r="C6" s="53" t="inlineStr">
        <is>
          <t>Trung tính</t>
        </is>
      </c>
    </row>
    <row r="7">
      <c r="A7" s="53" t="inlineStr">
        <is>
          <t>Pháp lý khác</t>
        </is>
      </c>
      <c r="B7" s="53" t="inlineStr">
        <is>
          <t>Thông tư 06/2025 sửa đổi về phân loại nợ. NHNN siết tỷ lệ vốn ngắn hạn cho vay dài hạn.</t>
        </is>
      </c>
      <c r="C7" s="55" t="inlineStr">
        <is>
          <t>Tiêu cực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6" t="inlineStr">
        <is>
          <t>Chỉ báo</t>
        </is>
      </c>
      <c r="B1" s="26" t="inlineStr">
        <is>
          <t>Ngưỡng tích cực</t>
        </is>
      </c>
      <c r="C1" s="26" t="inlineStr">
        <is>
          <t>Ngưỡng tiêu cực</t>
        </is>
      </c>
      <c r="D1" s="26" t="inlineStr">
        <is>
          <t>Giá trị hiện tại</t>
        </is>
      </c>
      <c r="E1" s="26" t="inlineStr">
        <is>
          <t>Trạng thái</t>
        </is>
      </c>
    </row>
    <row r="2">
      <c r="A2" s="53" t="inlineStr">
        <is>
          <t>CASA ratio (%)</t>
        </is>
      </c>
      <c r="B2" s="53" t="n">
        <v>10</v>
      </c>
      <c r="C2" s="53" t="n">
        <v>3</v>
      </c>
      <c r="D2" s="53" t="n">
        <v>34.48</v>
      </c>
      <c r="E2" s="56" t="inlineStr">
        <is>
          <t>Cần cải thiện</t>
        </is>
      </c>
    </row>
    <row r="3">
      <c r="A3" s="53" t="inlineStr">
        <is>
          <t>NIM (%)</t>
        </is>
      </c>
      <c r="B3" s="53" t="n">
        <v>3.5</v>
      </c>
      <c r="C3" s="53" t="n">
        <v>2.5</v>
      </c>
      <c r="D3" s="53" t="n">
        <v>3.78</v>
      </c>
      <c r="E3" s="55" t="inlineStr">
        <is>
          <t>Thấp</t>
        </is>
      </c>
    </row>
    <row r="4">
      <c r="A4" s="53" t="inlineStr">
        <is>
          <t>NPL (%)</t>
        </is>
      </c>
      <c r="B4" s="53" t="n">
        <v>1</v>
      </c>
      <c r="C4" s="53" t="n">
        <v>2</v>
      </c>
      <c r="D4" s="53" t="n">
        <v>1.08</v>
      </c>
      <c r="E4" s="53" t="inlineStr">
        <is>
          <t>Khá</t>
        </is>
      </c>
    </row>
    <row r="5">
      <c r="A5" s="53" t="inlineStr">
        <is>
          <t>ROE (%)</t>
        </is>
      </c>
      <c r="B5" s="53" t="n">
        <v>18</v>
      </c>
      <c r="C5" s="53" t="n">
        <v>12</v>
      </c>
      <c r="D5" s="53" t="n">
        <v>15.85</v>
      </c>
      <c r="E5" s="53" t="inlineStr">
        <is>
          <t>Trung bình</t>
        </is>
      </c>
    </row>
    <row r="6">
      <c r="A6" s="53" t="inlineStr">
        <is>
          <t>P/B (x)</t>
        </is>
      </c>
      <c r="B6" s="53" t="n">
        <v>1.5</v>
      </c>
      <c r="C6" s="53" t="n">
        <v>0.8</v>
      </c>
      <c r="D6" s="53" t="n">
        <v>1.318543334195611</v>
      </c>
      <c r="E6" s="53" t="inlineStr">
        <is>
          <t>Rẻ</t>
        </is>
      </c>
    </row>
    <row r="7">
      <c r="A7" s="53" t="inlineStr">
        <is>
          <t>CIR (%)</t>
        </is>
      </c>
      <c r="B7" s="53" t="n">
        <v>30</v>
      </c>
      <c r="C7" s="53" t="n">
        <v>45</v>
      </c>
      <c r="D7" s="53" t="n">
        <v>30.78</v>
      </c>
      <c r="E7" s="54" t="inlineStr">
        <is>
          <t>Tốt</t>
        </is>
      </c>
    </row>
    <row r="8">
      <c r="A8" s="53" t="inlineStr">
        <is>
          <t>LDR (%)</t>
        </is>
      </c>
      <c r="B8" s="53" t="n">
        <v>85</v>
      </c>
      <c r="C8" s="53" t="n">
        <v>95</v>
      </c>
      <c r="D8" s="53" t="n">
        <v>122.33</v>
      </c>
      <c r="E8" s="53" t="inlineStr">
        <is>
          <t>Ổn định</t>
        </is>
      </c>
    </row>
    <row r="9">
      <c r="A9" s="53" t="inlineStr">
        <is>
          <t>CAR (%)</t>
        </is>
      </c>
      <c r="B9" s="53" t="n">
        <v>12</v>
      </c>
      <c r="C9" s="53" t="n">
        <v>9</v>
      </c>
      <c r="D9" s="53" t="n">
        <v>9.4</v>
      </c>
      <c r="E9" s="56" t="inlineStr">
        <is>
          <t>Cần chú ý</t>
        </is>
      </c>
    </row>
    <row r="10">
      <c r="A10" s="53" t="inlineStr">
        <is>
          <t>Room tín dụng NHNN (%)</t>
        </is>
      </c>
      <c r="B10" s="53" t="n">
        <v>15</v>
      </c>
      <c r="C10" s="53" t="n">
        <v>10</v>
      </c>
      <c r="D10" s="53" t="n">
        <v>14</v>
      </c>
      <c r="E10" s="54" t="inlineStr">
        <is>
          <t>Tích cực</t>
        </is>
      </c>
    </row>
    <row r="11">
      <c r="A11" s="53" t="inlineStr">
        <is>
          <t>KLGD BQ 20 phiên (CP)</t>
        </is>
      </c>
      <c r="B11" s="53" t="n">
        <v>500000</v>
      </c>
      <c r="C11" s="53" t="n">
        <v>100000</v>
      </c>
      <c r="D11" s="53" t="n">
        <v>200000</v>
      </c>
      <c r="E11" s="53" t="inlineStr">
        <is>
          <t>Thanh khoản 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Tầng đánh giá</t>
        </is>
      </c>
      <c r="B1" s="26" t="inlineStr">
        <is>
          <t>Kết luận</t>
        </is>
      </c>
      <c r="C1" s="26" t="inlineStr">
        <is>
          <t>Rating</t>
        </is>
      </c>
    </row>
    <row r="2" ht="50" customHeight="1">
      <c r="A2" s="34" t="inlineStr">
        <is>
          <t>Chất lượng TS</t>
        </is>
      </c>
      <c r="B2" s="57" t="inlineStr">
        <is>
          <t>NPL 1.08% (tốt). Nợ nhóm 2 ~0.51%. LLR 54% (ổn).</t>
        </is>
      </c>
      <c r="C2" s="58" t="inlineStr">
        <is>
          <t>Tốt</t>
        </is>
      </c>
    </row>
    <row r="3" ht="50" customHeight="1">
      <c r="A3" s="34" t="inlineStr">
        <is>
          <t>Tăng trưởng</t>
        </is>
      </c>
      <c r="B3" s="57" t="inlineStr">
        <is>
          <t>Credit growth ~14.1%. CASA cao (34.48%) hỗ trợ NIM.</t>
        </is>
      </c>
      <c r="C3" s="58" t="inlineStr">
        <is>
          <t>Tốt</t>
        </is>
      </c>
    </row>
    <row r="4" ht="50" customHeight="1">
      <c r="A4" s="34" t="inlineStr">
        <is>
          <t>Lợi nhuận</t>
        </is>
      </c>
      <c r="B4" s="57" t="inlineStr">
        <is>
          <t>NIM 3.78% (tốt). CASA 34.48% (cao). Phí dịch vụ tăng.</t>
        </is>
      </c>
      <c r="C4" s="58" t="inlineStr">
        <is>
          <t>Tốt</t>
        </is>
      </c>
    </row>
    <row r="5" ht="50" customHeight="1">
      <c r="A5" s="34" t="inlineStr">
        <is>
          <t>Hiệu quả</t>
        </is>
      </c>
      <c r="B5" s="57" t="inlineStr">
        <is>
          <t>ROE 15.85%. CIR 30.78% (hiệu quả cao).</t>
        </is>
      </c>
      <c r="C5" s="58" t="inlineStr">
        <is>
          <t>Tốt</t>
        </is>
      </c>
    </row>
    <row r="6" ht="50" customHeight="1">
      <c r="A6" s="34" t="inlineStr">
        <is>
          <t>Định giá</t>
        </is>
      </c>
      <c r="B6" s="57" t="inlineStr">
        <is>
          <t>P/B 1.32x. P/E 9.1x. Target 40,393 VND (+21%).</t>
        </is>
      </c>
      <c r="C6" s="59" t="inlineStr">
        <is>
          <t>Trung bình</t>
        </is>
      </c>
    </row>
    <row r="7" ht="50" customHeight="1">
      <c r="A7" s="34" t="inlineStr">
        <is>
          <t>Vĩ mô &amp; Ngành</t>
        </is>
      </c>
      <c r="B7" s="57" t="inlineStr">
        <is>
          <t>LS điều hành ổn định. NHNN room 14%. Cạnh tranh NIM gay gắt.</t>
        </is>
      </c>
      <c r="C7" s="59" t="inlineStr">
        <is>
          <t>Trung bình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</t>
        </is>
      </c>
      <c r="H1" s="26" t="inlineStr">
        <is>
          <t>2027</t>
        </is>
      </c>
      <c r="I1" s="26" t="inlineStr">
        <is>
          <t>2028</t>
        </is>
      </c>
    </row>
    <row r="2">
      <c r="A2" s="32" t="inlineStr">
        <is>
          <t>Tổng tài sản (tỷ)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 t="n">
        <v>1335425.4</v>
      </c>
      <c r="H2" s="33" t="n">
        <v>1495676.5</v>
      </c>
      <c r="I2" s="33" t="n">
        <v>1675157.7</v>
      </c>
    </row>
    <row r="3">
      <c r="A3" s="32" t="inlineStr">
        <is>
          <t>Cho vay KH (tỷ)</t>
        </is>
      </c>
      <c r="B3" s="33" t="n">
        <v>343605.581</v>
      </c>
      <c r="C3" s="33" t="n">
        <v>415752.256</v>
      </c>
      <c r="D3" s="33" t="n">
        <v>512513.672</v>
      </c>
      <c r="E3" s="33" t="n">
        <v>623634.2709999999</v>
      </c>
      <c r="F3" s="33" t="n">
        <v>757118.751</v>
      </c>
      <c r="G3" s="33" t="n">
        <v>863115.4</v>
      </c>
      <c r="H3" s="33" t="n">
        <v>975320.4</v>
      </c>
      <c r="I3" s="33" t="n">
        <v>1092358.8</v>
      </c>
    </row>
    <row r="4">
      <c r="A4" s="32" t="inlineStr">
        <is>
          <t>TG khách hàng (tỷ)</t>
        </is>
      </c>
      <c r="B4" s="33" t="n">
        <v>314752.525</v>
      </c>
      <c r="C4" s="33" t="n">
        <v>358403.785</v>
      </c>
      <c r="D4" s="33" t="n">
        <v>454660.779</v>
      </c>
      <c r="E4" s="33" t="n">
        <v>533392.35</v>
      </c>
      <c r="F4" s="33" t="n">
        <v>618911.535</v>
      </c>
      <c r="G4" s="33" t="n">
        <v>693180.9</v>
      </c>
      <c r="H4" s="33" t="n">
        <v>769430.8</v>
      </c>
      <c r="I4" s="33" t="n">
        <v>846373.9</v>
      </c>
    </row>
    <row r="5">
      <c r="A5" s="32" t="inlineStr">
        <is>
          <t>VCSH (tỷ)</t>
        </is>
      </c>
      <c r="B5" s="33" t="n">
        <v>93041.47199999999</v>
      </c>
      <c r="C5" s="33" t="n">
        <v>113424.966</v>
      </c>
      <c r="D5" s="33" t="n">
        <v>131616.065</v>
      </c>
      <c r="E5" s="33" t="n">
        <v>147939.621</v>
      </c>
      <c r="F5" s="33" t="n">
        <v>179501.442</v>
      </c>
      <c r="G5" s="33" t="n">
        <v>201897.2</v>
      </c>
      <c r="H5" s="33" t="n">
        <v>228855.3</v>
      </c>
      <c r="I5" s="33" t="n">
        <v>260323</v>
      </c>
    </row>
    <row r="6">
      <c r="A6" s="32" t="inlineStr">
        <is>
          <t>NII (tỷ)</t>
        </is>
      </c>
      <c r="B6" s="33" t="n">
        <v>26698.613</v>
      </c>
      <c r="C6" s="33" t="n">
        <v>30289.775</v>
      </c>
      <c r="D6" s="33" t="n">
        <v>27691.12</v>
      </c>
      <c r="E6" s="33" t="n">
        <v>35507.963</v>
      </c>
      <c r="F6" s="33" t="n">
        <v>38155.091</v>
      </c>
      <c r="G6" s="33" t="n">
        <v>39980.4</v>
      </c>
      <c r="H6" s="33" t="n">
        <v>45627.1</v>
      </c>
      <c r="I6" s="33" t="n">
        <v>51598.4</v>
      </c>
    </row>
    <row r="7">
      <c r="A7" s="32" t="inlineStr">
        <is>
          <t>PPOP (tỷ)</t>
        </is>
      </c>
      <c r="B7" s="33" t="n">
        <v>25902.896</v>
      </c>
      <c r="C7" s="33" t="n">
        <v>27504.062</v>
      </c>
      <c r="D7" s="33" t="n">
        <v>26809.296</v>
      </c>
      <c r="E7" s="33" t="n">
        <v>31620.662</v>
      </c>
      <c r="F7" s="33" t="n">
        <v>36958.691</v>
      </c>
      <c r="G7" s="33" t="n">
        <v>38526.3</v>
      </c>
      <c r="H7" s="33" t="n">
        <v>44728.2</v>
      </c>
      <c r="I7" s="33" t="n">
        <v>50706.9</v>
      </c>
    </row>
    <row r="8">
      <c r="A8" s="32" t="inlineStr">
        <is>
          <t>LNST (tỷ)</t>
        </is>
      </c>
      <c r="B8" s="33" t="n">
        <v>18415.382</v>
      </c>
      <c r="C8" s="33" t="n">
        <v>20436.426</v>
      </c>
      <c r="D8" s="33" t="n">
        <v>18190.866</v>
      </c>
      <c r="E8" s="33" t="n">
        <v>21760.104</v>
      </c>
      <c r="F8" s="33" t="n">
        <v>25954.472</v>
      </c>
      <c r="G8" s="33" t="n">
        <v>22395.8</v>
      </c>
      <c r="H8" s="33" t="n">
        <v>26958</v>
      </c>
      <c r="I8" s="33" t="n">
        <v>31467.7</v>
      </c>
    </row>
    <row r="9">
      <c r="A9" s="32" t="inlineStr">
        <is>
          <t>EPS (VND)</t>
        </is>
      </c>
      <c r="B9" s="33" t="n">
        <v>2599</v>
      </c>
      <c r="C9" s="33" t="n">
        <v>2884</v>
      </c>
      <c r="D9" s="33" t="n">
        <v>2567</v>
      </c>
      <c r="E9" s="33" t="n">
        <v>3071</v>
      </c>
      <c r="F9" s="33" t="n">
        <v>3663</v>
      </c>
      <c r="G9" s="33" t="n">
        <v>3160</v>
      </c>
      <c r="H9" s="33" t="n">
        <v>3804</v>
      </c>
      <c r="I9" s="33" t="n">
        <v>4441</v>
      </c>
    </row>
    <row r="10">
      <c r="A10" s="32" t="inlineStr">
        <is>
          <t>BVPS (VND)</t>
        </is>
      </c>
      <c r="B10" s="33" t="n">
        <v>13130</v>
      </c>
      <c r="C10" s="33" t="n">
        <v>16006</v>
      </c>
      <c r="D10" s="33" t="n">
        <v>18573</v>
      </c>
      <c r="E10" s="33" t="n">
        <v>20877</v>
      </c>
      <c r="F10" s="33" t="n">
        <v>25331</v>
      </c>
      <c r="G10" s="33" t="n">
        <v>28491</v>
      </c>
      <c r="H10" s="33" t="n">
        <v>32296</v>
      </c>
      <c r="I10" s="33" t="n">
        <v>36736</v>
      </c>
    </row>
    <row r="11">
      <c r="A11" s="32" t="inlineStr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32" t="inlineStr">
        <is>
          <t>NIM (%)</t>
        </is>
      </c>
      <c r="B12" s="33" t="n">
        <v>0.0513</v>
      </c>
      <c r="C12" s="33" t="n">
        <v>0.0532</v>
      </c>
      <c r="D12" s="33" t="n">
        <v>0.0404</v>
      </c>
      <c r="E12" s="33" t="n">
        <v>0.0426</v>
      </c>
      <c r="F12" s="33" t="n">
        <v>0.0378</v>
      </c>
      <c r="G12" s="33" t="n">
        <v>0.034</v>
      </c>
      <c r="H12" s="33" t="n">
        <v>0.0345</v>
      </c>
      <c r="I12" s="33" t="n">
        <v>0.035</v>
      </c>
    </row>
    <row r="13">
      <c r="A13" s="32" t="inlineStr">
        <is>
          <t>NPL (%)</t>
        </is>
      </c>
      <c r="B13" s="33" t="n">
        <v>0.67</v>
      </c>
      <c r="C13" s="33" t="n">
        <v>0.73</v>
      </c>
      <c r="D13" s="33" t="n">
        <v>1.17</v>
      </c>
      <c r="E13" s="33" t="n">
        <v>1.14</v>
      </c>
      <c r="F13" s="33" t="n">
        <v>1.08</v>
      </c>
      <c r="G13" s="33" t="n">
        <v>1.2</v>
      </c>
      <c r="H13" s="33" t="n">
        <v>1.1</v>
      </c>
      <c r="I13" s="33" t="n">
        <v>1</v>
      </c>
    </row>
    <row r="14">
      <c r="A14" s="32" t="inlineStr">
        <is>
          <t>CASA (%)</t>
        </is>
      </c>
      <c r="B14" s="33" t="n">
        <v>46.98</v>
      </c>
      <c r="C14" s="33" t="n">
        <v>34.34</v>
      </c>
      <c r="D14" s="33" t="n">
        <v>38</v>
      </c>
      <c r="E14" s="33" t="n">
        <v>35.94</v>
      </c>
      <c r="F14" s="33" t="n">
        <v>34.48</v>
      </c>
      <c r="G14" s="33" t="n">
        <v>5.5</v>
      </c>
      <c r="H14" s="33" t="n">
        <v>6.5</v>
      </c>
      <c r="I14" s="33" t="n">
        <v>7.5</v>
      </c>
    </row>
    <row r="15">
      <c r="A15" s="32" t="inlineStr">
        <is>
          <t>CIR (%)</t>
        </is>
      </c>
      <c r="B15" s="33" t="n">
        <v>30.14</v>
      </c>
      <c r="C15" s="33" t="n">
        <v>32.13</v>
      </c>
      <c r="D15" s="33" t="n">
        <v>33.08</v>
      </c>
      <c r="E15" s="33" t="n">
        <v>32.71</v>
      </c>
      <c r="F15" s="33" t="n">
        <v>30.78</v>
      </c>
      <c r="G15" s="33" t="n">
        <v>33</v>
      </c>
      <c r="H15" s="33" t="n">
        <v>32</v>
      </c>
      <c r="I15" s="33" t="n">
        <v>32</v>
      </c>
    </row>
    <row r="16">
      <c r="A16" s="32" t="inlineStr">
        <is>
          <t>ROE (%)</t>
        </is>
      </c>
      <c r="B16" s="33" t="n">
        <v>19.79</v>
      </c>
      <c r="C16" s="33" t="n">
        <v>19.8</v>
      </c>
      <c r="D16" s="33" t="n">
        <v>14.85</v>
      </c>
      <c r="E16" s="33" t="n">
        <v>15.57</v>
      </c>
      <c r="F16" s="33" t="n">
        <v>15.85</v>
      </c>
      <c r="G16" s="33" t="n">
        <v>12.48</v>
      </c>
      <c r="H16" s="33" t="n">
        <v>13.35</v>
      </c>
      <c r="I16" s="33" t="n">
        <v>13.75</v>
      </c>
    </row>
    <row r="17">
      <c r="A17" s="32" t="inlineStr">
        <is>
          <t>P/B (x)</t>
        </is>
      </c>
      <c r="B17" s="33" t="n">
        <v>0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1.6600724337</v>
      </c>
      <c r="H17" s="33" t="n">
        <v>1.6600724337</v>
      </c>
      <c r="I17" s="33" t="n">
        <v>1.6600724337</v>
      </c>
    </row>
    <row r="18">
      <c r="A18" s="32" t="inlineStr">
        <is>
          <t>P/E (x)</t>
        </is>
      </c>
      <c r="B18" s="33" t="n">
        <v>0</v>
      </c>
      <c r="C18" s="33" t="n">
        <v>0</v>
      </c>
      <c r="D18" s="33" t="n">
        <v>0</v>
      </c>
      <c r="E18" s="33" t="n">
        <v>0</v>
      </c>
      <c r="F18" s="33" t="n">
        <v>0</v>
      </c>
      <c r="G18" s="33" t="n">
        <v>10.57</v>
      </c>
      <c r="H18" s="33" t="n">
        <v>8.779999999999999</v>
      </c>
      <c r="I18" s="33" t="n">
        <v>7.52</v>
      </c>
    </row>
    <row r="20">
      <c r="A20" s="35" t="inlineStr">
        <is>
          <t>CAGR 2021-2025 (%)</t>
        </is>
      </c>
    </row>
    <row r="21">
      <c r="A21" s="53" t="inlineStr">
        <is>
          <t>Tổng tài sản</t>
        </is>
      </c>
      <c r="B21" s="61" t="n">
        <v>0.2033004280907889</v>
      </c>
    </row>
    <row r="22">
      <c r="A22" s="53" t="inlineStr">
        <is>
          <t>Cho vay KH</t>
        </is>
      </c>
      <c r="B22" s="61" t="n">
        <v>0.2183608865088775</v>
      </c>
    </row>
    <row r="23">
      <c r="A23" s="53" t="inlineStr">
        <is>
          <t>TG khách hàng</t>
        </is>
      </c>
      <c r="B23" s="61" t="n">
        <v>0.1841721381395696</v>
      </c>
    </row>
    <row r="24">
      <c r="A24" s="53" t="inlineStr">
        <is>
          <t>NII</t>
        </is>
      </c>
      <c r="B24" s="61" t="n">
        <v>0.09336696597135608</v>
      </c>
    </row>
    <row r="25">
      <c r="A25" s="53" t="inlineStr">
        <is>
          <t>PPOP</t>
        </is>
      </c>
      <c r="B25" s="61" t="n">
        <v>0.09292928944338263</v>
      </c>
    </row>
    <row r="26">
      <c r="A26" s="53" t="inlineStr">
        <is>
          <t>LNST</t>
        </is>
      </c>
      <c r="B26" s="61" t="n">
        <v>0.08957684811955025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PE/PB/EVEBITDA HISTORY</t>
        </is>
      </c>
    </row>
    <row r="2">
      <c r="A2" s="62" t="inlineStr">
        <is>
          <t>Ky</t>
        </is>
      </c>
      <c r="B2" s="62" t="inlineStr">
        <is>
          <t>P/E (x)</t>
        </is>
      </c>
      <c r="C2" s="62" t="inlineStr">
        <is>
          <t>P/B (x)</t>
        </is>
      </c>
      <c r="D2" s="62" t="inlineStr">
        <is>
          <t>EV/EBITDA (x)</t>
        </is>
      </c>
      <c r="E2" s="62" t="inlineStr">
        <is>
          <t>Ghi chu</t>
        </is>
      </c>
      <c r="F2" s="62" t="inlineStr"/>
    </row>
    <row r="3">
      <c r="A3" s="53" t="inlineStr">
        <is>
          <t>Q2/2018</t>
        </is>
      </c>
      <c r="B3" s="63" t="n">
        <v>10.8486033885</v>
      </c>
      <c r="C3" s="64" t="n">
        <v>2.0494710047</v>
      </c>
      <c r="D3" s="65" t="n">
        <v>0</v>
      </c>
      <c r="E3" s="53" t="inlineStr"/>
      <c r="F3" s="53" t="n"/>
    </row>
    <row r="4">
      <c r="A4" s="53" t="inlineStr">
        <is>
          <t>Q3/2018</t>
        </is>
      </c>
      <c r="B4" s="63" t="n">
        <v>10.206529667</v>
      </c>
      <c r="C4" s="64" t="n">
        <v>1.8832315269</v>
      </c>
      <c r="D4" s="65" t="n">
        <v>0</v>
      </c>
      <c r="E4" s="53" t="inlineStr"/>
      <c r="F4" s="53" t="n"/>
    </row>
    <row r="5">
      <c r="A5" s="53" t="inlineStr">
        <is>
          <t>Q4/2018</t>
        </is>
      </c>
      <c r="B5" s="63" t="n">
        <v>10.0607684914</v>
      </c>
      <c r="C5" s="64" t="n">
        <v>1.6464212149</v>
      </c>
      <c r="D5" s="65" t="n">
        <v>0</v>
      </c>
      <c r="E5" s="53" t="inlineStr"/>
      <c r="F5" s="53" t="n"/>
    </row>
    <row r="6">
      <c r="A6" s="53" t="inlineStr">
        <is>
          <t>Q1/2019</t>
        </is>
      </c>
      <c r="B6" s="63" t="n">
        <v>8.5457101092</v>
      </c>
      <c r="C6" s="64" t="n">
        <v>1.3519337912</v>
      </c>
      <c r="D6" s="65" t="n">
        <v>0</v>
      </c>
      <c r="E6" s="53" t="inlineStr"/>
      <c r="F6" s="53" t="n"/>
    </row>
    <row r="7">
      <c r="A7" s="53" t="inlineStr">
        <is>
          <t>Q2/2019</t>
        </is>
      </c>
      <c r="B7" s="63" t="n">
        <v>9.4717886055</v>
      </c>
      <c r="C7" s="64" t="n">
        <v>1.4846296787</v>
      </c>
      <c r="D7" s="65" t="n">
        <v>0</v>
      </c>
      <c r="E7" s="53" t="inlineStr"/>
      <c r="F7" s="53" t="n"/>
    </row>
    <row r="8">
      <c r="A8" s="53" t="inlineStr">
        <is>
          <t>Q3/2019</t>
        </is>
      </c>
      <c r="B8" s="63" t="n">
        <v>8.7821250597</v>
      </c>
      <c r="C8" s="64" t="n">
        <v>1.3913662797</v>
      </c>
      <c r="D8" s="65" t="n">
        <v>0</v>
      </c>
      <c r="E8" s="53" t="inlineStr"/>
      <c r="F8" s="53" t="n"/>
    </row>
    <row r="9">
      <c r="A9" s="53" t="inlineStr">
        <is>
          <t>Q4/2019</t>
        </is>
      </c>
      <c r="B9" s="63" t="n">
        <v>5.9406023083</v>
      </c>
      <c r="C9" s="64" t="n">
        <v>0.968766836</v>
      </c>
      <c r="D9" s="65" t="n">
        <v>0</v>
      </c>
      <c r="E9" s="53" t="inlineStr"/>
      <c r="F9" s="53" t="n"/>
    </row>
    <row r="10">
      <c r="A10" s="53" t="inlineStr">
        <is>
          <t>Q1/2020</t>
        </is>
      </c>
      <c r="B10" s="63" t="n">
        <v>6.5290253263</v>
      </c>
      <c r="C10" s="64" t="n">
        <v>1.062294609</v>
      </c>
      <c r="D10" s="65" t="n">
        <v>0</v>
      </c>
      <c r="E10" s="53" t="inlineStr"/>
      <c r="F10" s="53" t="n"/>
    </row>
    <row r="11">
      <c r="A11" s="53" t="inlineStr">
        <is>
          <t>Q2/2020</t>
        </is>
      </c>
      <c r="B11" s="63" t="n">
        <v>7.5261695389</v>
      </c>
      <c r="C11" s="64" t="n">
        <v>1.2188483813</v>
      </c>
      <c r="D11" s="65" t="n">
        <v>0</v>
      </c>
      <c r="E11" s="53" t="inlineStr"/>
      <c r="F11" s="53" t="n"/>
    </row>
    <row r="12">
      <c r="A12" s="53" t="inlineStr">
        <is>
          <t>Q3/2020</t>
        </is>
      </c>
      <c r="B12" s="63" t="n">
        <v>10.2860934157</v>
      </c>
      <c r="C12" s="64" t="n">
        <v>1.6737236525</v>
      </c>
      <c r="D12" s="65" t="n">
        <v>0</v>
      </c>
      <c r="E12" s="53" t="inlineStr"/>
      <c r="F12" s="53" t="n"/>
    </row>
    <row r="13">
      <c r="A13" s="53" t="inlineStr">
        <is>
          <t>Q4/2020</t>
        </is>
      </c>
      <c r="B13" s="63" t="n">
        <v>11.2185517693</v>
      </c>
      <c r="C13" s="64" t="n">
        <v>1.8651941237</v>
      </c>
      <c r="D13" s="65" t="n">
        <v>0</v>
      </c>
      <c r="E13" s="53" t="inlineStr"/>
      <c r="F13" s="53" t="n"/>
    </row>
    <row r="14">
      <c r="A14" s="53" t="inlineStr">
        <is>
          <t>Q1/2021</t>
        </is>
      </c>
      <c r="B14" s="63" t="n">
        <v>13.1316545048</v>
      </c>
      <c r="C14" s="64" t="n">
        <v>2.3877963955</v>
      </c>
      <c r="D14" s="65" t="n">
        <v>0</v>
      </c>
      <c r="E14" s="53" t="inlineStr"/>
      <c r="F14" s="53" t="n"/>
    </row>
    <row r="15">
      <c r="A15" s="53" t="inlineStr">
        <is>
          <t>Q3/2021</t>
        </is>
      </c>
      <c r="B15" s="63" t="n">
        <v>9.818664228499999</v>
      </c>
      <c r="C15" s="64" t="n">
        <v>1.9531524668</v>
      </c>
      <c r="D15" s="65" t="n">
        <v>0</v>
      </c>
      <c r="E15" s="53" t="inlineStr"/>
      <c r="F15" s="53" t="n"/>
    </row>
    <row r="16">
      <c r="A16" s="53" t="inlineStr">
        <is>
          <t>Q4/2021</t>
        </is>
      </c>
      <c r="B16" s="63" t="n">
        <v>8.8579073991</v>
      </c>
      <c r="C16" s="64" t="n">
        <v>1.7365199257</v>
      </c>
      <c r="D16" s="65" t="n">
        <v>0</v>
      </c>
      <c r="E16" s="53" t="inlineStr"/>
      <c r="F16" s="53" t="n"/>
    </row>
    <row r="17">
      <c r="A17" s="53" t="inlineStr">
        <is>
          <t>Q1/2022</t>
        </is>
      </c>
      <c r="B17" s="63" t="n">
        <v>6.614888531</v>
      </c>
      <c r="C17" s="64" t="n">
        <v>1.297252187</v>
      </c>
      <c r="D17" s="65" t="n">
        <v>0</v>
      </c>
      <c r="E17" s="53" t="inlineStr"/>
      <c r="F17" s="53" t="n"/>
    </row>
    <row r="18">
      <c r="A18" s="53" t="inlineStr">
        <is>
          <t>Q2/2022</t>
        </is>
      </c>
      <c r="B18" s="63" t="n">
        <v>4.3885697734</v>
      </c>
      <c r="C18" s="64" t="n">
        <v>0.8591419325</v>
      </c>
      <c r="D18" s="65" t="n">
        <v>0</v>
      </c>
      <c r="E18" s="53" t="inlineStr"/>
      <c r="F18" s="53" t="n"/>
    </row>
    <row r="19">
      <c r="A19" s="53" t="inlineStr">
        <is>
          <t>Q3/2022</t>
        </is>
      </c>
      <c r="B19" s="63" t="n">
        <v>4.6050342182</v>
      </c>
      <c r="C19" s="64" t="n">
        <v>0.8981549631</v>
      </c>
      <c r="D19" s="65" t="n">
        <v>0</v>
      </c>
      <c r="E19" s="53" t="inlineStr"/>
      <c r="F19" s="53" t="n"/>
    </row>
    <row r="20">
      <c r="A20" s="53" t="inlineStr">
        <is>
          <t>Q4/2022</t>
        </is>
      </c>
      <c r="B20" s="63" t="n">
        <v>5.0385353485</v>
      </c>
      <c r="C20" s="64" t="n">
        <v>0.9051804774</v>
      </c>
      <c r="D20" s="65" t="n">
        <v>0</v>
      </c>
      <c r="E20" s="53" t="inlineStr"/>
      <c r="F20" s="53" t="n"/>
    </row>
    <row r="21">
      <c r="A21" s="53" t="inlineStr">
        <is>
          <t>Q1/2023</t>
        </is>
      </c>
      <c r="B21" s="63" t="n">
        <v>5.8110753933</v>
      </c>
      <c r="C21" s="64" t="n">
        <v>0.9531244902</v>
      </c>
      <c r="D21" s="65" t="n">
        <v>0</v>
      </c>
      <c r="E21" s="53" t="inlineStr"/>
      <c r="F21" s="53" t="n"/>
    </row>
    <row r="22">
      <c r="A22" s="53" t="inlineStr">
        <is>
          <t>Q2/2023</t>
        </is>
      </c>
      <c r="B22" s="63" t="n">
        <v>6.4222572428</v>
      </c>
      <c r="C22" s="64" t="n">
        <v>0.9427913607</v>
      </c>
      <c r="D22" s="65" t="n">
        <v>0</v>
      </c>
      <c r="E22" s="53" t="inlineStr"/>
      <c r="F22" s="53" t="n"/>
    </row>
    <row r="23">
      <c r="A23" s="53" t="inlineStr">
        <is>
          <t>Q3/2023</t>
        </is>
      </c>
      <c r="B23" s="63" t="n">
        <v>7.1247900953</v>
      </c>
      <c r="C23" s="64" t="n">
        <v>0.9693953467999999</v>
      </c>
      <c r="D23" s="65" t="n">
        <v>0</v>
      </c>
      <c r="E23" s="53" t="inlineStr"/>
      <c r="F23" s="53" t="n"/>
    </row>
    <row r="24">
      <c r="A24" s="53" t="inlineStr">
        <is>
          <t>Q4/2023</t>
        </is>
      </c>
      <c r="B24" s="63" t="n">
        <v>9.2616863103</v>
      </c>
      <c r="C24" s="64" t="n">
        <v>1.2814120995</v>
      </c>
      <c r="D24" s="65" t="n">
        <v>0</v>
      </c>
      <c r="E24" s="53" t="inlineStr"/>
      <c r="F24" s="53" t="n"/>
    </row>
    <row r="25">
      <c r="A25" s="53" t="inlineStr">
        <is>
          <t>Q1/2024</t>
        </is>
      </c>
      <c r="B25" s="63" t="n">
        <v>8.1382371231</v>
      </c>
      <c r="C25" s="64" t="n">
        <v>1.1767518385</v>
      </c>
      <c r="D25" s="65" t="n">
        <v>0</v>
      </c>
      <c r="E25" s="53" t="inlineStr"/>
      <c r="F25" s="53" t="n"/>
    </row>
    <row r="26">
      <c r="A26" s="53" t="inlineStr">
        <is>
          <t>Q2/2024</t>
        </is>
      </c>
      <c r="B26" s="63" t="n">
        <v>7.9891802171</v>
      </c>
      <c r="C26" s="64" t="n">
        <v>1.2506132202</v>
      </c>
      <c r="D26" s="65" t="n">
        <v>0</v>
      </c>
      <c r="E26" s="53" t="inlineStr"/>
      <c r="F26" s="53" t="n"/>
    </row>
    <row r="27">
      <c r="A27" s="53" t="inlineStr">
        <is>
          <t>Q3/2024</t>
        </is>
      </c>
      <c r="B27" s="63" t="n">
        <v>7.3616543745</v>
      </c>
      <c r="C27" s="64" t="n">
        <v>1.1648980259</v>
      </c>
      <c r="D27" s="65" t="n">
        <v>0</v>
      </c>
      <c r="E27" s="53" t="inlineStr"/>
      <c r="F27" s="53" t="n"/>
    </row>
    <row r="28">
      <c r="A28" s="53" t="inlineStr">
        <is>
          <t>Q4/2024</t>
        </is>
      </c>
      <c r="B28" s="63" t="n">
        <v>8.512548075</v>
      </c>
      <c r="C28" s="64" t="n">
        <v>1.2631495845</v>
      </c>
      <c r="D28" s="65" t="n">
        <v>0</v>
      </c>
      <c r="E28" s="53" t="inlineStr"/>
      <c r="F28" s="53" t="n"/>
    </row>
    <row r="29">
      <c r="A29" s="53" t="inlineStr">
        <is>
          <t>Q1/2025</t>
        </is>
      </c>
      <c r="B29" s="63" t="n">
        <v>11.6477870099</v>
      </c>
      <c r="C29" s="64" t="n">
        <v>1.6382492399</v>
      </c>
      <c r="D29" s="65" t="n">
        <v>0</v>
      </c>
      <c r="E29" s="53" t="inlineStr"/>
      <c r="F29" s="53" t="n"/>
    </row>
    <row r="30">
      <c r="A30" s="53" t="inlineStr">
        <is>
          <t>Q2/2025</t>
        </is>
      </c>
      <c r="B30" s="63" t="n">
        <v>13.5226658764</v>
      </c>
      <c r="C30" s="64" t="n">
        <v>1.831859987</v>
      </c>
      <c r="D30" s="65" t="n">
        <v>0</v>
      </c>
      <c r="E30" s="53" t="inlineStr"/>
      <c r="F30" s="53" t="n"/>
    </row>
    <row r="31">
      <c r="A31" s="53" t="inlineStr">
        <is>
          <t>Q3/2025</t>
        </is>
      </c>
      <c r="B31" s="63" t="n">
        <v>11.7340730437</v>
      </c>
      <c r="C31" s="64" t="n">
        <v>1.574749298</v>
      </c>
      <c r="D31" s="65" t="n">
        <v>0</v>
      </c>
      <c r="E31" s="53" t="inlineStr"/>
      <c r="F31" s="53" t="n"/>
    </row>
    <row r="32">
      <c r="A32" s="53" t="inlineStr">
        <is>
          <t>Q4/2025</t>
        </is>
      </c>
      <c r="B32" s="63" t="n">
        <v>8.9041391191</v>
      </c>
      <c r="C32" s="64" t="n">
        <v>1.327280517</v>
      </c>
      <c r="D32" s="65" t="n">
        <v>0</v>
      </c>
      <c r="E32" s="53" t="inlineStr"/>
      <c r="F32" s="53" t="n"/>
    </row>
    <row r="33">
      <c r="A33" s="53" t="inlineStr">
        <is>
          <t>Q1/2026</t>
        </is>
      </c>
      <c r="B33" s="63" t="n">
        <v>9.084766589499999</v>
      </c>
      <c r="C33" s="64" t="n">
        <v>1.3379662441</v>
      </c>
      <c r="D33" s="65" t="n">
        <v>0</v>
      </c>
      <c r="E33" s="53" t="inlineStr"/>
      <c r="F33" s="53" t="n"/>
    </row>
    <row r="35">
      <c r="A35" s="66" t="inlineStr">
        <is>
          <t>MEDIAN ALL-TIME</t>
        </is>
      </c>
      <c r="B35" s="67" t="n">
        <v>8.800000000000001</v>
      </c>
      <c r="C35" s="68" t="n">
        <v>1.33</v>
      </c>
      <c r="D35" s="3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34" t="inlineStr">
        <is>
          <t>NIM (%)</t>
        </is>
      </c>
      <c r="B2" s="31">
        <f>('04_PnL_Quarterly'!B2 / ('05_Balance_Sheet_Quarterly'!B5 + '05_Balance_Sheet_Quarterly'!B4 + '05_Balance_Sheet_Quarterly'!B6 + '05_Balance_Sheet_Quarterly'!B3)) * 400</f>
        <v/>
      </c>
      <c r="C2" s="31">
        <f>('04_PnL_Quarterly'!C2 / ('05_Balance_Sheet_Quarterly'!C5 + '05_Balance_Sheet_Quarterly'!C4 + '05_Balance_Sheet_Quarterly'!C6 + '05_Balance_Sheet_Quarterly'!C3)) * 400</f>
        <v/>
      </c>
      <c r="D2" s="31">
        <f>('04_PnL_Quarterly'!D2 / ('05_Balance_Sheet_Quarterly'!D5 + '05_Balance_Sheet_Quarterly'!D4 + '05_Balance_Sheet_Quarterly'!D6 + '05_Balance_Sheet_Quarterly'!D3)) * 400</f>
        <v/>
      </c>
      <c r="E2" s="31">
        <f>('04_PnL_Quarterly'!E2 / ('05_Balance_Sheet_Quarterly'!E5 + '05_Balance_Sheet_Quarterly'!E4 + '05_Balance_Sheet_Quarterly'!E6 + '05_Balance_Sheet_Quarterly'!E3)) * 400</f>
        <v/>
      </c>
      <c r="F2" s="31">
        <f>('04_PnL_Quarterly'!F2 / ('05_Balance_Sheet_Quarterly'!F5 + '05_Balance_Sheet_Quarterly'!F4 + '05_Balance_Sheet_Quarterly'!F6 + '05_Balance_Sheet_Quarterly'!F3)) * 400</f>
        <v/>
      </c>
      <c r="G2" s="31">
        <f>('04_PnL_Quarterly'!G2 / ('05_Balance_Sheet_Quarterly'!G5 + '05_Balance_Sheet_Quarterly'!G4 + '05_Balance_Sheet_Quarterly'!G6 + '05_Balance_Sheet_Quarterly'!G3)) * 400</f>
        <v/>
      </c>
      <c r="H2" s="31">
        <f>('04_PnL_Quarterly'!H2 / ('05_Balance_Sheet_Quarterly'!H5 + '05_Balance_Sheet_Quarterly'!H4 + '05_Balance_Sheet_Quarterly'!H6 + '05_Balance_Sheet_Quarterly'!H3)) * 400</f>
        <v/>
      </c>
      <c r="I2" s="31">
        <f>('04_PnL_Quarterly'!I2 / ('05_Balance_Sheet_Quarterly'!I5 + '05_Balance_Sheet_Quarterly'!I4 + '05_Balance_Sheet_Quarterly'!I6 + '05_Balance_Sheet_Quarterly'!I3)) * 400</f>
        <v/>
      </c>
      <c r="J2" s="31">
        <f>('04_PnL_Quarterly'!J2 / ('05_Balance_Sheet_Quarterly'!J5 + '05_Balance_Sheet_Quarterly'!J4 + '05_Balance_Sheet_Quarterly'!J6 + '05_Balance_Sheet_Quarterly'!J3)) * 400</f>
        <v/>
      </c>
      <c r="K2" s="31">
        <f>('04_PnL_Quarterly'!K2 / ('05_Balance_Sheet_Quarterly'!K5 + '05_Balance_Sheet_Quarterly'!K4 + '05_Balance_Sheet_Quarterly'!K6 + '05_Balance_Sheet_Quarterly'!K3)) * 400</f>
        <v/>
      </c>
      <c r="L2" s="31">
        <f>('04_PnL_Quarterly'!L2 / ('05_Balance_Sheet_Quarterly'!L5 + '05_Balance_Sheet_Quarterly'!L4 + '05_Balance_Sheet_Quarterly'!L6 + '05_Balance_Sheet_Quarterly'!L3)) * 400</f>
        <v/>
      </c>
      <c r="M2" s="31">
        <f>('04_PnL_Quarterly'!M2 / ('05_Balance_Sheet_Quarterly'!M5 + '05_Balance_Sheet_Quarterly'!M4 + '05_Balance_Sheet_Quarterly'!M6 + '05_Balance_Sheet_Quarterly'!M3)) * 400</f>
        <v/>
      </c>
      <c r="N2" s="31">
        <f>('04_PnL_Quarterly'!N2 / ('05_Balance_Sheet_Quarterly'!N5 + '05_Balance_Sheet_Quarterly'!N4 + '05_Balance_Sheet_Quarterly'!N6 + '05_Balance_Sheet_Quarterly'!N3)) * 400</f>
        <v/>
      </c>
      <c r="O2" s="31">
        <f>('04_PnL_Quarterly'!O2 / ('05_Balance_Sheet_Quarterly'!O5 + '05_Balance_Sheet_Quarterly'!O4 + '05_Balance_Sheet_Quarterly'!O6 + '05_Balance_Sheet_Quarterly'!O3)) * 400</f>
        <v/>
      </c>
      <c r="P2" s="31">
        <f>('04_PnL_Quarterly'!P2 / ('05_Balance_Sheet_Quarterly'!P5 + '05_Balance_Sheet_Quarterly'!P4 + '05_Balance_Sheet_Quarterly'!P6 + '05_Balance_Sheet_Quarterly'!P3)) * 400</f>
        <v/>
      </c>
      <c r="Q2" s="31">
        <f>('04_PnL_Quarterly'!Q2 / ('05_Balance_Sheet_Quarterly'!Q5 + '05_Balance_Sheet_Quarterly'!Q4 + '05_Balance_Sheet_Quarterly'!Q6 + '05_Balance_Sheet_Quarterly'!Q3)) * 400</f>
        <v/>
      </c>
      <c r="R2" s="31">
        <f>('04_PnL_Quarterly'!R2 / ('05_Balance_Sheet_Quarterly'!R5 + '05_Balance_Sheet_Quarterly'!R4 + '05_Balance_Sheet_Quarterly'!R6 + '05_Balance_Sheet_Quarterly'!R3)) * 400</f>
        <v/>
      </c>
      <c r="S2" s="31">
        <f>('04_PnL_Quarterly'!S2 / ('05_Balance_Sheet_Quarterly'!S5 + '05_Balance_Sheet_Quarterly'!S4 + '05_Balance_Sheet_Quarterly'!S6 + '05_Balance_Sheet_Quarterly'!S3)) * 400</f>
        <v/>
      </c>
      <c r="T2" s="31">
        <f>('04_PnL_Quarterly'!T2 / ('05_Balance_Sheet_Quarterly'!T5 + '05_Balance_Sheet_Quarterly'!T4 + '05_Balance_Sheet_Quarterly'!T6 + '05_Balance_Sheet_Quarterly'!T3)) * 400</f>
        <v/>
      </c>
      <c r="U2" s="31">
        <f>('04_PnL_Quarterly'!U2 / ('05_Balance_Sheet_Quarterly'!U5 + '05_Balance_Sheet_Quarterly'!U4 + '05_Balance_Sheet_Quarterly'!U6 + '05_Balance_Sheet_Quarterly'!U3)) * 400</f>
        <v/>
      </c>
    </row>
    <row r="3">
      <c r="A3" s="34" t="inlineStr">
        <is>
          <t>ROE (%)</t>
        </is>
      </c>
      <c r="B3" s="31">
        <f>('04_PnL_Quarterly'!B9 / '05_Balance_Sheet_Quarterly'!B9) * 400</f>
        <v/>
      </c>
      <c r="C3" s="31">
        <f>('04_PnL_Quarterly'!C9 / '05_Balance_Sheet_Quarterly'!C9) * 400</f>
        <v/>
      </c>
      <c r="D3" s="31">
        <f>('04_PnL_Quarterly'!D9 / '05_Balance_Sheet_Quarterly'!D9) * 400</f>
        <v/>
      </c>
      <c r="E3" s="31">
        <f>('04_PnL_Quarterly'!E9 / '05_Balance_Sheet_Quarterly'!E9) * 400</f>
        <v/>
      </c>
      <c r="F3" s="31">
        <f>('04_PnL_Quarterly'!F9 / '05_Balance_Sheet_Quarterly'!F9) * 400</f>
        <v/>
      </c>
      <c r="G3" s="31">
        <f>('04_PnL_Quarterly'!G9 / '05_Balance_Sheet_Quarterly'!G9) * 400</f>
        <v/>
      </c>
      <c r="H3" s="31">
        <f>('04_PnL_Quarterly'!H9 / '05_Balance_Sheet_Quarterly'!H9) * 400</f>
        <v/>
      </c>
      <c r="I3" s="31">
        <f>('04_PnL_Quarterly'!I9 / '05_Balance_Sheet_Quarterly'!I9) * 400</f>
        <v/>
      </c>
      <c r="J3" s="31">
        <f>('04_PnL_Quarterly'!J9 / '05_Balance_Sheet_Quarterly'!J9) * 400</f>
        <v/>
      </c>
      <c r="K3" s="31">
        <f>('04_PnL_Quarterly'!K9 / '05_Balance_Sheet_Quarterly'!K9) * 400</f>
        <v/>
      </c>
      <c r="L3" s="31">
        <f>('04_PnL_Quarterly'!L9 / '05_Balance_Sheet_Quarterly'!L9) * 400</f>
        <v/>
      </c>
      <c r="M3" s="31">
        <f>('04_PnL_Quarterly'!M9 / '05_Balance_Sheet_Quarterly'!M9) * 400</f>
        <v/>
      </c>
      <c r="N3" s="31">
        <f>('04_PnL_Quarterly'!N9 / '05_Balance_Sheet_Quarterly'!N9) * 400</f>
        <v/>
      </c>
      <c r="O3" s="31">
        <f>('04_PnL_Quarterly'!O9 / '05_Balance_Sheet_Quarterly'!O9) * 400</f>
        <v/>
      </c>
      <c r="P3" s="31">
        <f>('04_PnL_Quarterly'!P9 / '05_Balance_Sheet_Quarterly'!P9) * 400</f>
        <v/>
      </c>
      <c r="Q3" s="31">
        <f>('04_PnL_Quarterly'!Q9 / '05_Balance_Sheet_Quarterly'!Q9) * 400</f>
        <v/>
      </c>
      <c r="R3" s="31">
        <f>('04_PnL_Quarterly'!R9 / '05_Balance_Sheet_Quarterly'!R9) * 400</f>
        <v/>
      </c>
      <c r="S3" s="31">
        <f>('04_PnL_Quarterly'!S9 / '05_Balance_Sheet_Quarterly'!S9) * 400</f>
        <v/>
      </c>
      <c r="T3" s="31">
        <f>('04_PnL_Quarterly'!T9 / '05_Balance_Sheet_Quarterly'!T9) * 400</f>
        <v/>
      </c>
      <c r="U3" s="31">
        <f>('04_PnL_Quarterly'!U9 / '05_Balance_Sheet_Quarterly'!U9) * 400</f>
        <v/>
      </c>
    </row>
    <row r="4">
      <c r="A4" s="34" t="inlineStr">
        <is>
          <t>LDR (%)</t>
        </is>
      </c>
      <c r="B4" s="31">
        <f>('05_Balance_Sheet_Quarterly'!B5 / '05_Balance_Sheet_Quarterly'!B7) * 100</f>
        <v/>
      </c>
      <c r="C4" s="31">
        <f>('05_Balance_Sheet_Quarterly'!C5 / '05_Balance_Sheet_Quarterly'!C7) * 100</f>
        <v/>
      </c>
      <c r="D4" s="31">
        <f>('05_Balance_Sheet_Quarterly'!D5 / '05_Balance_Sheet_Quarterly'!D7) * 100</f>
        <v/>
      </c>
      <c r="E4" s="31">
        <f>('05_Balance_Sheet_Quarterly'!E5 / '05_Balance_Sheet_Quarterly'!E7) * 100</f>
        <v/>
      </c>
      <c r="F4" s="31">
        <f>('05_Balance_Sheet_Quarterly'!F5 / '05_Balance_Sheet_Quarterly'!F7) * 100</f>
        <v/>
      </c>
      <c r="G4" s="31">
        <f>('05_Balance_Sheet_Quarterly'!G5 / '05_Balance_Sheet_Quarterly'!G7) * 100</f>
        <v/>
      </c>
      <c r="H4" s="31">
        <f>('05_Balance_Sheet_Quarterly'!H5 / '05_Balance_Sheet_Quarterly'!H7) * 100</f>
        <v/>
      </c>
      <c r="I4" s="31">
        <f>('05_Balance_Sheet_Quarterly'!I5 / '05_Balance_Sheet_Quarterly'!I7) * 100</f>
        <v/>
      </c>
      <c r="J4" s="31">
        <f>('05_Balance_Sheet_Quarterly'!J5 / '05_Balance_Sheet_Quarterly'!J7) * 100</f>
        <v/>
      </c>
      <c r="K4" s="31">
        <f>('05_Balance_Sheet_Quarterly'!K5 / '05_Balance_Sheet_Quarterly'!K7) * 100</f>
        <v/>
      </c>
      <c r="L4" s="31">
        <f>('05_Balance_Sheet_Quarterly'!L5 / '05_Balance_Sheet_Quarterly'!L7) * 100</f>
        <v/>
      </c>
      <c r="M4" s="31">
        <f>('05_Balance_Sheet_Quarterly'!M5 / '05_Balance_Sheet_Quarterly'!M7) * 100</f>
        <v/>
      </c>
      <c r="N4" s="31">
        <f>('05_Balance_Sheet_Quarterly'!N5 / '05_Balance_Sheet_Quarterly'!N7) * 100</f>
        <v/>
      </c>
      <c r="O4" s="31">
        <f>('05_Balance_Sheet_Quarterly'!O5 / '05_Balance_Sheet_Quarterly'!O7) * 100</f>
        <v/>
      </c>
      <c r="P4" s="31">
        <f>('05_Balance_Sheet_Quarterly'!P5 / '05_Balance_Sheet_Quarterly'!P7) * 100</f>
        <v/>
      </c>
      <c r="Q4" s="31">
        <f>('05_Balance_Sheet_Quarterly'!Q5 / '05_Balance_Sheet_Quarterly'!Q7) * 100</f>
        <v/>
      </c>
      <c r="R4" s="31">
        <f>('05_Balance_Sheet_Quarterly'!R5 / '05_Balance_Sheet_Quarterly'!R7) * 100</f>
        <v/>
      </c>
      <c r="S4" s="31">
        <f>('05_Balance_Sheet_Quarterly'!S5 / '05_Balance_Sheet_Quarterly'!S7) * 100</f>
        <v/>
      </c>
      <c r="T4" s="31">
        <f>('05_Balance_Sheet_Quarterly'!T5 / '05_Balance_Sheet_Quarterly'!T7) * 100</f>
        <v/>
      </c>
      <c r="U4" s="31">
        <f>('05_Balance_Sheet_Quarterly'!U5 / '05_Balance_Sheet_Quarterly'!U7) * 100</f>
        <v/>
      </c>
    </row>
    <row r="5">
      <c r="A5" s="34" t="inlineStr">
        <is>
          <t>CASA (%)</t>
        </is>
      </c>
      <c r="B5" s="31">
        <f>('05_Balance_Sheet_Quarterly'!B8 / '05_Balance_Sheet_Quarterly'!B7) * 100</f>
        <v/>
      </c>
      <c r="C5" s="31">
        <f>('05_Balance_Sheet_Quarterly'!C8 / '05_Balance_Sheet_Quarterly'!C7) * 100</f>
        <v/>
      </c>
      <c r="D5" s="31">
        <f>('05_Balance_Sheet_Quarterly'!D8 / '05_Balance_Sheet_Quarterly'!D7) * 100</f>
        <v/>
      </c>
      <c r="E5" s="31">
        <f>('05_Balance_Sheet_Quarterly'!E8 / '05_Balance_Sheet_Quarterly'!E7) * 100</f>
        <v/>
      </c>
      <c r="F5" s="31">
        <f>('05_Balance_Sheet_Quarterly'!F8 / '05_Balance_Sheet_Quarterly'!F7) * 100</f>
        <v/>
      </c>
      <c r="G5" s="31">
        <f>('05_Balance_Sheet_Quarterly'!G8 / '05_Balance_Sheet_Quarterly'!G7) * 100</f>
        <v/>
      </c>
      <c r="H5" s="31">
        <f>('05_Balance_Sheet_Quarterly'!H8 / '05_Balance_Sheet_Quarterly'!H7) * 100</f>
        <v/>
      </c>
      <c r="I5" s="31">
        <f>('05_Balance_Sheet_Quarterly'!I8 / '05_Balance_Sheet_Quarterly'!I7) * 100</f>
        <v/>
      </c>
      <c r="J5" s="31">
        <f>('05_Balance_Sheet_Quarterly'!J8 / '05_Balance_Sheet_Quarterly'!J7) * 100</f>
        <v/>
      </c>
      <c r="K5" s="31">
        <f>('05_Balance_Sheet_Quarterly'!K8 / '05_Balance_Sheet_Quarterly'!K7) * 100</f>
        <v/>
      </c>
      <c r="L5" s="31">
        <f>('05_Balance_Sheet_Quarterly'!L8 / '05_Balance_Sheet_Quarterly'!L7) * 100</f>
        <v/>
      </c>
      <c r="M5" s="31">
        <f>('05_Balance_Sheet_Quarterly'!M8 / '05_Balance_Sheet_Quarterly'!M7) * 100</f>
        <v/>
      </c>
      <c r="N5" s="31">
        <f>('05_Balance_Sheet_Quarterly'!N8 / '05_Balance_Sheet_Quarterly'!N7) * 100</f>
        <v/>
      </c>
      <c r="O5" s="31">
        <f>('05_Balance_Sheet_Quarterly'!O8 / '05_Balance_Sheet_Quarterly'!O7) * 100</f>
        <v/>
      </c>
      <c r="P5" s="31">
        <f>('05_Balance_Sheet_Quarterly'!P8 / '05_Balance_Sheet_Quarterly'!P7) * 100</f>
        <v/>
      </c>
      <c r="Q5" s="31">
        <f>('05_Balance_Sheet_Quarterly'!Q8 / '05_Balance_Sheet_Quarterly'!Q7) * 100</f>
        <v/>
      </c>
      <c r="R5" s="31">
        <f>('05_Balance_Sheet_Quarterly'!R8 / '05_Balance_Sheet_Quarterly'!R7) * 100</f>
        <v/>
      </c>
      <c r="S5" s="31">
        <f>('05_Balance_Sheet_Quarterly'!S8 / '05_Balance_Sheet_Quarterly'!S7) * 100</f>
        <v/>
      </c>
      <c r="T5" s="31">
        <f>('05_Balance_Sheet_Quarterly'!T8 / '05_Balance_Sheet_Quarterly'!T7) * 100</f>
        <v/>
      </c>
      <c r="U5" s="31">
        <f>('05_Balance_Sheet_Quarterly'!U8 / '05_Balance_Sheet_Quarterly'!U7) * 100</f>
        <v/>
      </c>
    </row>
    <row r="6">
      <c r="A6" s="34" t="inlineStr">
        <is>
          <t>CIR (%)</t>
        </is>
      </c>
      <c r="B6" s="31">
        <f>('04_PnL_Quarterly'!B5 / '04_PnL_Quarterly'!B4) * 100</f>
        <v/>
      </c>
      <c r="C6" s="31">
        <f>('04_PnL_Quarterly'!C5 / '04_PnL_Quarterly'!C4) * 100</f>
        <v/>
      </c>
      <c r="D6" s="31">
        <f>('04_PnL_Quarterly'!D5 / '04_PnL_Quarterly'!D4) * 100</f>
        <v/>
      </c>
      <c r="E6" s="31">
        <f>('04_PnL_Quarterly'!E5 / '04_PnL_Quarterly'!E4) * 100</f>
        <v/>
      </c>
      <c r="F6" s="31">
        <f>('04_PnL_Quarterly'!F5 / '04_PnL_Quarterly'!F4) * 100</f>
        <v/>
      </c>
      <c r="G6" s="31">
        <f>('04_PnL_Quarterly'!G5 / '04_PnL_Quarterly'!G4) * 100</f>
        <v/>
      </c>
      <c r="H6" s="31">
        <f>('04_PnL_Quarterly'!H5 / '04_PnL_Quarterly'!H4) * 100</f>
        <v/>
      </c>
      <c r="I6" s="31">
        <f>('04_PnL_Quarterly'!I5 / '04_PnL_Quarterly'!I4) * 100</f>
        <v/>
      </c>
      <c r="J6" s="31">
        <f>('04_PnL_Quarterly'!J5 / '04_PnL_Quarterly'!J4) * 100</f>
        <v/>
      </c>
      <c r="K6" s="31">
        <f>('04_PnL_Quarterly'!K5 / '04_PnL_Quarterly'!K4) * 100</f>
        <v/>
      </c>
      <c r="L6" s="31">
        <f>('04_PnL_Quarterly'!L5 / '04_PnL_Quarterly'!L4) * 100</f>
        <v/>
      </c>
      <c r="M6" s="31">
        <f>('04_PnL_Quarterly'!M5 / '04_PnL_Quarterly'!M4) * 100</f>
        <v/>
      </c>
      <c r="N6" s="31">
        <f>('04_PnL_Quarterly'!N5 / '04_PnL_Quarterly'!N4) * 100</f>
        <v/>
      </c>
      <c r="O6" s="31">
        <f>('04_PnL_Quarterly'!O5 / '04_PnL_Quarterly'!O4) * 100</f>
        <v/>
      </c>
      <c r="P6" s="31">
        <f>('04_PnL_Quarterly'!P5 / '04_PnL_Quarterly'!P4) * 100</f>
        <v/>
      </c>
      <c r="Q6" s="31">
        <f>('04_PnL_Quarterly'!Q5 / '04_PnL_Quarterly'!Q4) * 100</f>
        <v/>
      </c>
      <c r="R6" s="31">
        <f>('04_PnL_Quarterly'!R5 / '04_PnL_Quarterly'!R4) * 100</f>
        <v/>
      </c>
      <c r="S6" s="31">
        <f>('04_PnL_Quarterly'!S5 / '04_PnL_Quarterly'!S4) * 100</f>
        <v/>
      </c>
      <c r="T6" s="31">
        <f>('04_PnL_Quarterly'!T5 / '04_PnL_Quarterly'!T4) * 100</f>
        <v/>
      </c>
      <c r="U6" s="31">
        <f>('04_PnL_Quarterly'!U5 / '04_PnL_Quarterly'!U4) * 100</f>
        <v/>
      </c>
    </row>
    <row r="7">
      <c r="A7" s="34" t="inlineStr">
        <is>
          <t>Tăng trưởng tín dụng QoQ (%)</t>
        </is>
      </c>
      <c r="B7" s="31" t="inlineStr">
        <is>
          <t>0.0</t>
        </is>
      </c>
      <c r="C7" s="31">
        <f>('05_Balance_Sheet_Quarterly'!C5 / '05_Balance_Sheet_Quarterly'!B5 - 1) * 100</f>
        <v/>
      </c>
      <c r="D7" s="31">
        <f>('05_Balance_Sheet_Quarterly'!D5 / '05_Balance_Sheet_Quarterly'!C5 - 1) * 100</f>
        <v/>
      </c>
      <c r="E7" s="31">
        <f>('05_Balance_Sheet_Quarterly'!E5 / '05_Balance_Sheet_Quarterly'!D5 - 1) * 100</f>
        <v/>
      </c>
      <c r="F7" s="31">
        <f>('05_Balance_Sheet_Quarterly'!F5 / '05_Balance_Sheet_Quarterly'!E5 - 1) * 100</f>
        <v/>
      </c>
      <c r="G7" s="31">
        <f>('05_Balance_Sheet_Quarterly'!G5 / '05_Balance_Sheet_Quarterly'!F5 - 1) * 100</f>
        <v/>
      </c>
      <c r="H7" s="31">
        <f>('05_Balance_Sheet_Quarterly'!H5 / '05_Balance_Sheet_Quarterly'!G5 - 1) * 100</f>
        <v/>
      </c>
      <c r="I7" s="31">
        <f>('05_Balance_Sheet_Quarterly'!I5 / '05_Balance_Sheet_Quarterly'!H5 - 1) * 100</f>
        <v/>
      </c>
      <c r="J7" s="31">
        <f>('05_Balance_Sheet_Quarterly'!J5 / '05_Balance_Sheet_Quarterly'!I5 - 1) * 100</f>
        <v/>
      </c>
      <c r="K7" s="31">
        <f>('05_Balance_Sheet_Quarterly'!K5 / '05_Balance_Sheet_Quarterly'!J5 - 1) * 100</f>
        <v/>
      </c>
      <c r="L7" s="31">
        <f>('05_Balance_Sheet_Quarterly'!L5 / '05_Balance_Sheet_Quarterly'!K5 - 1) * 100</f>
        <v/>
      </c>
      <c r="M7" s="31">
        <f>('05_Balance_Sheet_Quarterly'!M5 / '05_Balance_Sheet_Quarterly'!L5 - 1) * 100</f>
        <v/>
      </c>
      <c r="N7" s="31">
        <f>('05_Balance_Sheet_Quarterly'!N5 / '05_Balance_Sheet_Quarterly'!M5 - 1) * 100</f>
        <v/>
      </c>
      <c r="O7" s="31">
        <f>('05_Balance_Sheet_Quarterly'!O5 / '05_Balance_Sheet_Quarterly'!N5 - 1) * 100</f>
        <v/>
      </c>
      <c r="P7" s="31">
        <f>('05_Balance_Sheet_Quarterly'!P5 / '05_Balance_Sheet_Quarterly'!O5 - 1) * 100</f>
        <v/>
      </c>
      <c r="Q7" s="31">
        <f>('05_Balance_Sheet_Quarterly'!Q5 / '05_Balance_Sheet_Quarterly'!P5 - 1) * 100</f>
        <v/>
      </c>
      <c r="R7" s="31">
        <f>('05_Balance_Sheet_Quarterly'!R5 / '05_Balance_Sheet_Quarterly'!Q5 - 1) * 100</f>
        <v/>
      </c>
      <c r="S7" s="31">
        <f>('05_Balance_Sheet_Quarterly'!S5 / '05_Balance_Sheet_Quarterly'!R5 - 1) * 100</f>
        <v/>
      </c>
      <c r="T7" s="31">
        <f>('05_Balance_Sheet_Quarterly'!T5 / '05_Balance_Sheet_Quarterly'!S5 - 1) * 100</f>
        <v/>
      </c>
      <c r="U7" s="31">
        <f>('05_Balance_Sheet_Quarterly'!U5 / '05_Balance_Sheet_Quarterly'!T5 - 1) * 100</f>
        <v/>
      </c>
    </row>
    <row r="8">
      <c r="A8" s="34" t="inlineStr">
        <is>
          <t>Tăng trưởng huy động QoQ (%)</t>
        </is>
      </c>
      <c r="B8" s="31" t="inlineStr">
        <is>
          <t>0.0</t>
        </is>
      </c>
      <c r="C8" s="31">
        <f>('05_Balance_Sheet_Quarterly'!C7 / '05_Balance_Sheet_Quarterly'!B7 - 1) * 100</f>
        <v/>
      </c>
      <c r="D8" s="31">
        <f>('05_Balance_Sheet_Quarterly'!D7 / '05_Balance_Sheet_Quarterly'!C7 - 1) * 100</f>
        <v/>
      </c>
      <c r="E8" s="31">
        <f>('05_Balance_Sheet_Quarterly'!E7 / '05_Balance_Sheet_Quarterly'!D7 - 1) * 100</f>
        <v/>
      </c>
      <c r="F8" s="31">
        <f>('05_Balance_Sheet_Quarterly'!F7 / '05_Balance_Sheet_Quarterly'!E7 - 1) * 100</f>
        <v/>
      </c>
      <c r="G8" s="31">
        <f>('05_Balance_Sheet_Quarterly'!G7 / '05_Balance_Sheet_Quarterly'!F7 - 1) * 100</f>
        <v/>
      </c>
      <c r="H8" s="31">
        <f>('05_Balance_Sheet_Quarterly'!H7 / '05_Balance_Sheet_Quarterly'!G7 - 1) * 100</f>
        <v/>
      </c>
      <c r="I8" s="31">
        <f>('05_Balance_Sheet_Quarterly'!I7 / '05_Balance_Sheet_Quarterly'!H7 - 1) * 100</f>
        <v/>
      </c>
      <c r="J8" s="31">
        <f>('05_Balance_Sheet_Quarterly'!J7 / '05_Balance_Sheet_Quarterly'!I7 - 1) * 100</f>
        <v/>
      </c>
      <c r="K8" s="31">
        <f>('05_Balance_Sheet_Quarterly'!K7 / '05_Balance_Sheet_Quarterly'!J7 - 1) * 100</f>
        <v/>
      </c>
      <c r="L8" s="31">
        <f>('05_Balance_Sheet_Quarterly'!L7 / '05_Balance_Sheet_Quarterly'!K7 - 1) * 100</f>
        <v/>
      </c>
      <c r="M8" s="31">
        <f>('05_Balance_Sheet_Quarterly'!M7 / '05_Balance_Sheet_Quarterly'!L7 - 1) * 100</f>
        <v/>
      </c>
      <c r="N8" s="31">
        <f>('05_Balance_Sheet_Quarterly'!N7 / '05_Balance_Sheet_Quarterly'!M7 - 1) * 100</f>
        <v/>
      </c>
      <c r="O8" s="31">
        <f>('05_Balance_Sheet_Quarterly'!O7 / '05_Balance_Sheet_Quarterly'!N7 - 1) * 100</f>
        <v/>
      </c>
      <c r="P8" s="31">
        <f>('05_Balance_Sheet_Quarterly'!P7 / '05_Balance_Sheet_Quarterly'!O7 - 1) * 100</f>
        <v/>
      </c>
      <c r="Q8" s="31">
        <f>('05_Balance_Sheet_Quarterly'!Q7 / '05_Balance_Sheet_Quarterly'!P7 - 1) * 100</f>
        <v/>
      </c>
      <c r="R8" s="31">
        <f>('05_Balance_Sheet_Quarterly'!R7 / '05_Balance_Sheet_Quarterly'!Q7 - 1) * 100</f>
        <v/>
      </c>
      <c r="S8" s="31">
        <f>('05_Balance_Sheet_Quarterly'!S7 / '05_Balance_Sheet_Quarterly'!R7 - 1) * 100</f>
        <v/>
      </c>
      <c r="T8" s="31">
        <f>('05_Balance_Sheet_Quarterly'!T7 / '05_Balance_Sheet_Quarterly'!S7 - 1) * 100</f>
        <v/>
      </c>
      <c r="U8" s="31">
        <f>('05_Balance_Sheet_Quarterly'!U7 / '05_Balance_Sheet_Quarterly'!T7 - 1) * 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2026-06-28T18:00:38Z</dcterms:created>
  <dcterms:modified xsi:type="dcterms:W3CDTF">2026-06-28T18:00:38Z</dcterms:modified>
</cp:coreProperties>
</file>