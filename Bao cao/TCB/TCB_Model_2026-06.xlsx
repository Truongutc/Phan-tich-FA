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Cover" sheetId="1" state="visible" r:id="rId1"/>
    <sheet name="02_Assumptions" sheetId="2" state="visible" r:id="rId2"/>
    <sheet name="03_Income_Model" sheetId="3" state="visible" r:id="rId3"/>
    <sheet name="04_PnL" sheetId="4" state="visible" r:id="rId4"/>
    <sheet name="05_Balance_Sheet" sheetId="5" state="visible" r:id="rId5"/>
    <sheet name="06_Rat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6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i val="1"/>
      <sz val="12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/>
    </xf>
    <xf numFmtId="1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5"/>
  <sheetViews>
    <sheetView showGridLines="1" workbookViewId="0">
      <selection activeCell="A1" sqref="A1"/>
    </sheetView>
  </sheetViews>
  <sheetFormatPr baseColWidth="8" defaultRowHeight="15"/>
  <sheetData>
    <row r="2">
      <c r="B2" s="1" t="inlineStr">
        <is>
          <t>PHÂN TÍCH CỔ PHIẾU NGÂN HÀNG: TCB</t>
        </is>
      </c>
    </row>
    <row r="3">
      <c r="B3" s="2" t="inlineStr">
        <is>
          <t>Ngân hàng Thương mại Cổ phần Kỹ thương Việt Nam</t>
        </is>
      </c>
    </row>
    <row r="5">
      <c r="B5" t="inlineStr">
        <is>
          <t>Giá mục tiêu (VND):</t>
        </is>
      </c>
      <c r="C5" s="3" t="n">
        <v>28301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1" workbookViewId="0">
      <selection activeCell="A1" sqref="A1"/>
    </sheetView>
  </sheetViews>
  <sheetFormatPr baseColWidth="8" defaultRowHeight="15"/>
  <sheetData>
    <row r="1">
      <c r="A1" s="4" t="inlineStr">
        <is>
          <t>Chỉ tiêu</t>
        </is>
      </c>
      <c r="B1" s="4" t="inlineStr">
        <is>
          <t>2021</t>
        </is>
      </c>
      <c r="C1" s="4" t="inlineStr">
        <is>
          <t>2022</t>
        </is>
      </c>
      <c r="D1" s="4" t="inlineStr">
        <is>
          <t>2023</t>
        </is>
      </c>
      <c r="E1" s="4" t="inlineStr">
        <is>
          <t>2024</t>
        </is>
      </c>
      <c r="F1" s="4" t="inlineStr">
        <is>
          <t>2025</t>
        </is>
      </c>
      <c r="G1" s="4" t="inlineStr">
        <is>
          <t>2026F</t>
        </is>
      </c>
      <c r="H1" s="4" t="inlineStr">
        <is>
          <t>2027F</t>
        </is>
      </c>
      <c r="I1" s="4" t="inlineStr">
        <is>
          <t>2028F</t>
        </is>
      </c>
    </row>
    <row r="2">
      <c r="A2" s="5" t="inlineStr">
        <is>
          <t>Tín dụng tăng trưởng (%)</t>
        </is>
      </c>
      <c r="B2" s="6" t="n"/>
      <c r="C2" s="6" t="n"/>
      <c r="D2" s="6" t="n"/>
      <c r="E2" s="6" t="n"/>
      <c r="F2" s="6" t="n"/>
      <c r="G2" s="6" t="n">
        <v>0.14</v>
      </c>
      <c r="H2" s="6" t="n">
        <v>0.13</v>
      </c>
      <c r="I2" s="6" t="n">
        <v>0.12</v>
      </c>
    </row>
    <row r="3">
      <c r="A3" s="5" t="inlineStr">
        <is>
          <t>Huy động tăng trưởng (%)</t>
        </is>
      </c>
      <c r="B3" s="6" t="n"/>
      <c r="C3" s="6" t="n"/>
      <c r="D3" s="6" t="n"/>
      <c r="E3" s="6" t="n"/>
      <c r="F3" s="6" t="n"/>
      <c r="G3" s="6" t="n">
        <v>0.12</v>
      </c>
      <c r="H3" s="6" t="n">
        <v>0.11</v>
      </c>
      <c r="I3" s="6" t="n">
        <v>0.1</v>
      </c>
    </row>
    <row r="4">
      <c r="A4" s="5" t="inlineStr">
        <is>
          <t>NIM (%)</t>
        </is>
      </c>
      <c r="B4" s="6" t="n">
        <v>0.0513</v>
      </c>
      <c r="C4" s="6" t="n">
        <v>0.0532</v>
      </c>
      <c r="D4" s="6" t="n">
        <v>0.0404</v>
      </c>
      <c r="E4" s="6" t="n">
        <v>0.0426</v>
      </c>
      <c r="F4" s="6" t="n">
        <v>0.0378</v>
      </c>
      <c r="G4" s="6" t="n">
        <v>0.034</v>
      </c>
      <c r="H4" s="6" t="n">
        <v>0.0345</v>
      </c>
      <c r="I4" s="6" t="n">
        <v>0.035</v>
      </c>
    </row>
    <row r="5">
      <c r="A5" s="5" t="inlineStr">
        <is>
          <t>CIR (%)</t>
        </is>
      </c>
      <c r="B5" s="6" t="n">
        <v>0.3014</v>
      </c>
      <c r="C5" s="6" t="n">
        <v>0.3213</v>
      </c>
      <c r="D5" s="6" t="n">
        <v>0.3308</v>
      </c>
      <c r="E5" s="6" t="n">
        <v>0.3271</v>
      </c>
      <c r="F5" s="6" t="n">
        <v>0.3078</v>
      </c>
      <c r="G5" s="6" t="n">
        <v>0.33</v>
      </c>
      <c r="H5" s="6" t="n">
        <v>0.32</v>
      </c>
      <c r="I5" s="6" t="n">
        <v>0.32</v>
      </c>
    </row>
    <row r="6">
      <c r="A6" s="5" t="inlineStr">
        <is>
          <t>Chi phí vốn CSH (COE)</t>
        </is>
      </c>
      <c r="B6" s="6" t="n"/>
      <c r="C6" s="6" t="n"/>
      <c r="D6" s="6" t="n"/>
      <c r="E6" s="6" t="n"/>
      <c r="F6" s="6" t="n"/>
      <c r="G6" s="6" t="n">
        <v>0.13</v>
      </c>
      <c r="H6" s="6" t="n">
        <v>0.13</v>
      </c>
      <c r="I6" s="6" t="n">
        <v>0.13</v>
      </c>
    </row>
    <row r="7">
      <c r="A7" s="5" t="inlineStr">
        <is>
          <t>Số lượng cổ phiếu</t>
        </is>
      </c>
      <c r="B7" s="7" t="n">
        <v>7862636600</v>
      </c>
      <c r="C7" s="7" t="n"/>
      <c r="D7" s="7" t="n"/>
      <c r="E7" s="7" t="n"/>
      <c r="F7" s="7" t="n"/>
      <c r="G7" s="7" t="n"/>
      <c r="H7" s="7" t="n"/>
      <c r="I7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showGridLines="1" workbookViewId="0">
      <selection activeCell="A1" sqref="A1"/>
    </sheetView>
  </sheetViews>
  <sheetFormatPr baseColWidth="8" defaultRowHeight="15"/>
  <sheetData>
    <row r="1">
      <c r="A1" s="4" t="inlineStr">
        <is>
          <t>Chỉ tiêu</t>
        </is>
      </c>
      <c r="B1" s="4" t="inlineStr">
        <is>
          <t>2021</t>
        </is>
      </c>
      <c r="C1" s="4" t="inlineStr">
        <is>
          <t>2022</t>
        </is>
      </c>
      <c r="D1" s="4" t="inlineStr">
        <is>
          <t>2023</t>
        </is>
      </c>
      <c r="E1" s="4" t="inlineStr">
        <is>
          <t>2024</t>
        </is>
      </c>
      <c r="F1" s="4" t="inlineStr">
        <is>
          <t>2025</t>
        </is>
      </c>
      <c r="G1" s="4" t="inlineStr">
        <is>
          <t>2026F</t>
        </is>
      </c>
      <c r="H1" s="4" t="inlineStr">
        <is>
          <t>2027F</t>
        </is>
      </c>
      <c r="I1" s="4" t="inlineStr">
        <is>
          <t>2028F</t>
        </is>
      </c>
    </row>
    <row r="2">
      <c r="A2" s="5" t="inlineStr">
        <is>
          <t>NII (tỷ)</t>
        </is>
      </c>
      <c r="B2" s="7" t="n">
        <v>26698.613</v>
      </c>
      <c r="C2" s="7" t="n">
        <v>30289.775</v>
      </c>
      <c r="D2" s="7" t="n">
        <v>27691.12</v>
      </c>
      <c r="E2" s="7" t="n">
        <v>35507.963</v>
      </c>
      <c r="F2" s="7" t="n">
        <v>38155.091</v>
      </c>
      <c r="G2" s="7" t="n">
        <v>39980.44084259999</v>
      </c>
      <c r="H2" s="7" t="n">
        <v>45627.05704014599</v>
      </c>
      <c r="I2" s="7" t="n">
        <v>51598.37492349681</v>
      </c>
    </row>
    <row r="3">
      <c r="A3" s="5" t="inlineStr">
        <is>
          <t>Thu nhập ngoài lãi</t>
        </is>
      </c>
      <c r="B3" s="7" t="n">
        <v>10377.678</v>
      </c>
      <c r="C3" s="7" t="n">
        <v>10237.416</v>
      </c>
      <c r="D3" s="7" t="n">
        <v>12369.972</v>
      </c>
      <c r="E3" s="7" t="n">
        <v>11482.43399999999</v>
      </c>
      <c r="F3" s="7" t="n">
        <v>15236.034</v>
      </c>
      <c r="G3" s="7" t="n">
        <v>17521.4391</v>
      </c>
      <c r="H3" s="7" t="n">
        <v>20149.654965</v>
      </c>
      <c r="I3" s="7" t="n">
        <v>22970.6066601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showGridLines="1" workbookViewId="0">
      <selection activeCell="A1" sqref="A1"/>
    </sheetView>
  </sheetViews>
  <sheetFormatPr baseColWidth="8" defaultRowHeight="15"/>
  <sheetData>
    <row r="1">
      <c r="A1" s="4" t="inlineStr">
        <is>
          <t>Chỉ tiêu</t>
        </is>
      </c>
      <c r="B1" s="4" t="inlineStr">
        <is>
          <t>2021</t>
        </is>
      </c>
      <c r="C1" s="4" t="inlineStr">
        <is>
          <t>2022</t>
        </is>
      </c>
      <c r="D1" s="4" t="inlineStr">
        <is>
          <t>2023</t>
        </is>
      </c>
      <c r="E1" s="4" t="inlineStr">
        <is>
          <t>2024</t>
        </is>
      </c>
      <c r="F1" s="4" t="inlineStr">
        <is>
          <t>2025</t>
        </is>
      </c>
      <c r="G1" s="4" t="inlineStr">
        <is>
          <t>2026F</t>
        </is>
      </c>
      <c r="H1" s="4" t="inlineStr">
        <is>
          <t>2027F</t>
        </is>
      </c>
      <c r="I1" s="4" t="inlineStr">
        <is>
          <t>2028F</t>
        </is>
      </c>
    </row>
    <row r="2">
      <c r="A2" s="5" t="inlineStr">
        <is>
          <t>Thu nhập lãi thuần (NII)</t>
        </is>
      </c>
      <c r="B2" s="7" t="n">
        <v>26698.613</v>
      </c>
      <c r="C2" s="7" t="n">
        <v>30289.775</v>
      </c>
      <c r="D2" s="7" t="n">
        <v>27691.12</v>
      </c>
      <c r="E2" s="7" t="n">
        <v>35507.963</v>
      </c>
      <c r="F2" s="7" t="n">
        <v>38155.091</v>
      </c>
      <c r="G2" s="7">
        <f>'03_Income_Model'!G2</f>
        <v/>
      </c>
      <c r="H2" s="7">
        <f>'03_Income_Model'!H2</f>
        <v/>
      </c>
      <c r="I2" s="7">
        <f>'03_Income_Model'!I2</f>
        <v/>
      </c>
    </row>
    <row r="3">
      <c r="A3" s="5" t="inlineStr">
        <is>
          <t>Tổng thu nhập hoạt động (TOI)</t>
        </is>
      </c>
      <c r="B3" s="7" t="n">
        <v>37076.291</v>
      </c>
      <c r="C3" s="7" t="n">
        <v>40527.191</v>
      </c>
      <c r="D3" s="7" t="n">
        <v>40061.092</v>
      </c>
      <c r="E3" s="7" t="n">
        <v>46990.397</v>
      </c>
      <c r="F3" s="7" t="n">
        <v>53391.125</v>
      </c>
      <c r="G3" s="7">
        <f>SUM(G2+'03_Income_Model'!G3)</f>
        <v/>
      </c>
      <c r="H3" s="7">
        <f>SUM(H2+'03_Income_Model'!H3)</f>
        <v/>
      </c>
      <c r="I3" s="7">
        <f>SUM(I2+'03_Income_Model'!I3)</f>
        <v/>
      </c>
    </row>
    <row r="4">
      <c r="A4" s="5" t="inlineStr">
        <is>
          <t>Lợi nhuận trước dự phòng (PPOP)</t>
        </is>
      </c>
      <c r="B4" s="7" t="n">
        <v>25902.896</v>
      </c>
      <c r="C4" s="7" t="n">
        <v>27504.062</v>
      </c>
      <c r="D4" s="7" t="n">
        <v>26809.296</v>
      </c>
      <c r="E4" s="7" t="n">
        <v>31620.662</v>
      </c>
      <c r="F4" s="7" t="n">
        <v>36958.691</v>
      </c>
      <c r="G4" s="7">
        <f>G3*(1-'02_Assumptions'!G5)</f>
        <v/>
      </c>
      <c r="H4" s="7">
        <f>H3*(1-'02_Assumptions'!H5)</f>
        <v/>
      </c>
      <c r="I4" s="7">
        <f>I3*(1-'02_Assumptions'!I5)</f>
        <v/>
      </c>
    </row>
    <row r="5">
      <c r="A5" s="5" t="inlineStr">
        <is>
          <t>LNST (NPAT)</t>
        </is>
      </c>
      <c r="B5" s="7" t="n">
        <v>18415.382</v>
      </c>
      <c r="C5" s="7" t="n">
        <v>20436.426</v>
      </c>
      <c r="D5" s="7" t="n">
        <v>18190.866</v>
      </c>
      <c r="E5" s="7" t="n">
        <v>21760.104</v>
      </c>
      <c r="F5" s="7" t="n">
        <v>25954.472</v>
      </c>
      <c r="G5" s="7">
        <f>G4-(('05_Balance_Sheet'!G3)*'02_Assumptions'!G4)</f>
        <v/>
      </c>
      <c r="H5" s="7">
        <f>H4-(('05_Balance_Sheet'!H3)*'02_Assumptions'!H4)</f>
        <v/>
      </c>
      <c r="I5" s="7">
        <f>I4-(('05_Balance_Sheet'!I3)*'02_Assumptions'!I4)</f>
        <v/>
      </c>
    </row>
    <row r="6">
      <c r="A6" s="5" t="inlineStr">
        <is>
          <t>EPS (VND)</t>
        </is>
      </c>
      <c r="B6" s="7" t="n">
        <v>2342.138259321307</v>
      </c>
      <c r="C6" s="7" t="n">
        <v>2599.182315001052</v>
      </c>
      <c r="D6" s="7" t="n">
        <v>2313.583461303553</v>
      </c>
      <c r="E6" s="7" t="n">
        <v>2767.53271288158</v>
      </c>
      <c r="F6" s="7" t="n">
        <v>3300.988373289438</v>
      </c>
      <c r="G6" s="7">
        <f>G5*1e9/'02_Assumptions'!$B$7</f>
        <v/>
      </c>
      <c r="H6" s="7">
        <f>H5*1e9/'02_Assumptions'!$B$7</f>
        <v/>
      </c>
      <c r="I6" s="7">
        <f>I5*1e9/'02_Assumptions'!$B$7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8" defaultRowHeight="15"/>
  <sheetData>
    <row r="1">
      <c r="A1" s="4" t="inlineStr">
        <is>
          <t>Chỉ tiêu</t>
        </is>
      </c>
      <c r="B1" s="4" t="inlineStr">
        <is>
          <t>2021</t>
        </is>
      </c>
      <c r="C1" s="4" t="inlineStr">
        <is>
          <t>2022</t>
        </is>
      </c>
      <c r="D1" s="4" t="inlineStr">
        <is>
          <t>2023</t>
        </is>
      </c>
      <c r="E1" s="4" t="inlineStr">
        <is>
          <t>2024</t>
        </is>
      </c>
      <c r="F1" s="4" t="inlineStr">
        <is>
          <t>2025</t>
        </is>
      </c>
      <c r="G1" s="4" t="inlineStr">
        <is>
          <t>2026F</t>
        </is>
      </c>
      <c r="H1" s="4" t="inlineStr">
        <is>
          <t>2027F</t>
        </is>
      </c>
      <c r="I1" s="4" t="inlineStr">
        <is>
          <t>2028F</t>
        </is>
      </c>
    </row>
    <row r="2">
      <c r="A2" s="5" t="inlineStr">
        <is>
          <t>Tổng tài sản</t>
        </is>
      </c>
      <c r="B2" s="7" t="n">
        <v>568728.95</v>
      </c>
      <c r="C2" s="7" t="n">
        <v>699032.544</v>
      </c>
      <c r="D2" s="7" t="n">
        <v>849482.012</v>
      </c>
      <c r="E2" s="7" t="n">
        <v>978798.549</v>
      </c>
      <c r="F2" s="7" t="n">
        <v>1192344.137</v>
      </c>
      <c r="G2" s="7" t="n"/>
      <c r="H2" s="7" t="n"/>
      <c r="I2" s="7" t="n"/>
    </row>
    <row r="3">
      <c r="A3" s="5" t="inlineStr">
        <is>
          <t>Cho vay khách hàng</t>
        </is>
      </c>
      <c r="B3" s="7" t="n">
        <v>343605.581</v>
      </c>
      <c r="C3" s="7" t="n">
        <v>415752.256</v>
      </c>
      <c r="D3" s="7" t="n">
        <v>512513.672</v>
      </c>
      <c r="E3" s="7" t="n">
        <v>623634.2709999999</v>
      </c>
      <c r="F3" s="7" t="n">
        <v>757118.751</v>
      </c>
      <c r="G3" s="7">
        <f>F3*(1+'02_Assumptions'!G2)</f>
        <v/>
      </c>
      <c r="H3" s="7">
        <f>G3*(1+'02_Assumptions'!H2)</f>
        <v/>
      </c>
      <c r="I3" s="7">
        <f>H3*(1+'02_Assumptions'!I2)</f>
        <v/>
      </c>
    </row>
    <row r="4">
      <c r="A4" s="5" t="inlineStr">
        <is>
          <t>Tiền gửi khách hàng</t>
        </is>
      </c>
      <c r="B4" s="7" t="n">
        <v>314752.525</v>
      </c>
      <c r="C4" s="7" t="n">
        <v>358403.785</v>
      </c>
      <c r="D4" s="7" t="n">
        <v>454660.779</v>
      </c>
      <c r="E4" s="7" t="n">
        <v>533392.35</v>
      </c>
      <c r="F4" s="7" t="n">
        <v>618911.535</v>
      </c>
      <c r="G4" s="7">
        <f>F4*(1+'02_Assumptions'!G3)</f>
        <v/>
      </c>
      <c r="H4" s="7">
        <f>G4*(1+'02_Assumptions'!H3)</f>
        <v/>
      </c>
      <c r="I4" s="7">
        <f>H4*(1+'02_Assumptions'!I3)</f>
        <v/>
      </c>
    </row>
    <row r="5">
      <c r="A5" s="5" t="inlineStr">
        <is>
          <t>Vốn chủ sở hữu (VCSH)</t>
        </is>
      </c>
      <c r="B5" s="7" t="n">
        <v>93041.47199999999</v>
      </c>
      <c r="C5" s="7" t="n">
        <v>113424.966</v>
      </c>
      <c r="D5" s="7" t="n">
        <v>131616.065</v>
      </c>
      <c r="E5" s="7" t="n">
        <v>147939.621</v>
      </c>
      <c r="F5" s="7" t="n">
        <v>179501.442</v>
      </c>
      <c r="G5" s="7">
        <f>F5+'04_PnL'!G5*0.7</f>
        <v/>
      </c>
      <c r="H5" s="7">
        <f>G5+'04_PnL'!H5*0.7</f>
        <v/>
      </c>
      <c r="I5" s="7">
        <f>H5+'04_PnL'!I5*0.7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1" workbookViewId="0">
      <selection activeCell="A1" sqref="A1"/>
    </sheetView>
  </sheetViews>
  <sheetFormatPr baseColWidth="8" defaultRowHeight="15"/>
  <sheetData>
    <row r="1">
      <c r="A1" s="4" t="inlineStr">
        <is>
          <t>Chỉ tiêu</t>
        </is>
      </c>
      <c r="B1" s="4" t="inlineStr">
        <is>
          <t>2021</t>
        </is>
      </c>
      <c r="C1" s="4" t="inlineStr">
        <is>
          <t>2022</t>
        </is>
      </c>
      <c r="D1" s="4" t="inlineStr">
        <is>
          <t>2023</t>
        </is>
      </c>
      <c r="E1" s="4" t="inlineStr">
        <is>
          <t>2024</t>
        </is>
      </c>
      <c r="F1" s="4" t="inlineStr">
        <is>
          <t>2025</t>
        </is>
      </c>
      <c r="G1" s="4" t="inlineStr">
        <is>
          <t>2026F</t>
        </is>
      </c>
      <c r="H1" s="4" t="inlineStr">
        <is>
          <t>2027F</t>
        </is>
      </c>
      <c r="I1" s="4" t="inlineStr">
        <is>
          <t>2028F</t>
        </is>
      </c>
    </row>
    <row r="2">
      <c r="A2" s="5" t="inlineStr">
        <is>
          <t>NIM (%)</t>
        </is>
      </c>
      <c r="B2" s="5">
        <f>'04_PnL'!B2/'05_Balance_Sheet'!B2</f>
        <v/>
      </c>
      <c r="C2" s="5">
        <f>'04_PnL'!C2/'05_Balance_Sheet'!C2</f>
        <v/>
      </c>
      <c r="D2" s="5">
        <f>'04_PnL'!D2/'05_Balance_Sheet'!D2</f>
        <v/>
      </c>
      <c r="E2" s="5">
        <f>'04_PnL'!E2/'05_Balance_Sheet'!E2</f>
        <v/>
      </c>
      <c r="F2" s="5">
        <f>'04_PnL'!F2/'05_Balance_Sheet'!F2</f>
        <v/>
      </c>
      <c r="G2" s="5">
        <f>'04_PnL'!G2/'05_Balance_Sheet'!G2</f>
        <v/>
      </c>
      <c r="H2" s="5">
        <f>'04_PnL'!H2/'05_Balance_Sheet'!H2</f>
        <v/>
      </c>
      <c r="I2" s="5">
        <f>'04_PnL'!I2/'05_Balance_Sheet'!I2</f>
        <v/>
      </c>
    </row>
    <row r="3">
      <c r="A3" s="5" t="inlineStr">
        <is>
          <t>ROE (%)</t>
        </is>
      </c>
      <c r="B3" s="5">
        <f>'04_PnL'!B5/'05_Balance_Sheet'!B5</f>
        <v/>
      </c>
      <c r="C3" s="5">
        <f>'04_PnL'!C5/'05_Balance_Sheet'!C5</f>
        <v/>
      </c>
      <c r="D3" s="5">
        <f>'04_PnL'!D5/'05_Balance_Sheet'!D5</f>
        <v/>
      </c>
      <c r="E3" s="5">
        <f>'04_PnL'!E5/'05_Balance_Sheet'!E5</f>
        <v/>
      </c>
      <c r="F3" s="5">
        <f>'04_PnL'!F5/'05_Balance_Sheet'!F5</f>
        <v/>
      </c>
      <c r="G3" s="5">
        <f>'04_PnL'!G5/'05_Balance_Sheet'!G5</f>
        <v/>
      </c>
      <c r="H3" s="5">
        <f>'04_PnL'!H5/'05_Balance_Sheet'!H5</f>
        <v/>
      </c>
      <c r="I3" s="5">
        <f>'04_PnL'!I5/'05_Balance_Sheet'!I5</f>
        <v/>
      </c>
    </row>
    <row r="4">
      <c r="A4" s="5" t="inlineStr">
        <is>
          <t>ROA (%)</t>
        </is>
      </c>
      <c r="B4" s="5">
        <f>'04_PnL'!B5/'05_Balance_Sheet'!B2</f>
        <v/>
      </c>
      <c r="C4" s="5">
        <f>'04_PnL'!C5/'05_Balance_Sheet'!C2</f>
        <v/>
      </c>
      <c r="D4" s="5">
        <f>'04_PnL'!D5/'05_Balance_Sheet'!D2</f>
        <v/>
      </c>
      <c r="E4" s="5">
        <f>'04_PnL'!E5/'05_Balance_Sheet'!E2</f>
        <v/>
      </c>
      <c r="F4" s="5">
        <f>'04_PnL'!F5/'05_Balance_Sheet'!F2</f>
        <v/>
      </c>
      <c r="G4" s="5">
        <f>'04_PnL'!G5/'05_Balance_Sheet'!G2</f>
        <v/>
      </c>
      <c r="H4" s="5">
        <f>'04_PnL'!H5/'05_Balance_Sheet'!H2</f>
        <v/>
      </c>
      <c r="I4" s="5">
        <f>'04_PnL'!I5/'05_Balance_Sheet'!I2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2026-06-28T17:49:01Z</dcterms:created>
  <dcterms:modified xsi:type="dcterms:W3CDTF">2026-06-28T17:49:01Z</dcterms:modified>
</cp:coreProperties>
</file>