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Beta" sheetId="1" state="visible" r:id="rId1"/>
    <sheet xmlns:r="http://schemas.openxmlformats.org/officeDocument/2006/relationships" name="00_COE" sheetId="2" state="visible" r:id="rId2"/>
    <sheet xmlns:r="http://schemas.openxmlformats.org/officeDocument/2006/relationships" name="01_Cover" sheetId="3" state="visible" r:id="rId3"/>
    <sheet xmlns:r="http://schemas.openxmlformats.org/officeDocument/2006/relationships" name="02_Assumptions" sheetId="4" state="visible" r:id="rId4"/>
    <sheet xmlns:r="http://schemas.openxmlformats.org/officeDocument/2006/relationships" name="03_Revenue_Model" sheetId="5" state="visible" r:id="rId5"/>
    <sheet xmlns:r="http://schemas.openxmlformats.org/officeDocument/2006/relationships" name="04_PnL" sheetId="6" state="visible" r:id="rId6"/>
    <sheet xmlns:r="http://schemas.openxmlformats.org/officeDocument/2006/relationships" name="04b_Dien_Bien_Quy" sheetId="7" state="visible" r:id="rId7"/>
    <sheet xmlns:r="http://schemas.openxmlformats.org/officeDocument/2006/relationships" name="05_Balance_Sheet" sheetId="8" state="visible" r:id="rId8"/>
    <sheet xmlns:r="http://schemas.openxmlformats.org/officeDocument/2006/relationships" name="06_Cash_Flow" sheetId="9" state="visible" r:id="rId9"/>
    <sheet xmlns:r="http://schemas.openxmlformats.org/officeDocument/2006/relationships" name="07_Valuation" sheetId="10" state="visible" r:id="rId10"/>
    <sheet xmlns:r="http://schemas.openxmlformats.org/officeDocument/2006/relationships" name="08_Sensitivity" sheetId="11" state="visible" r:id="rId11"/>
    <sheet xmlns:r="http://schemas.openxmlformats.org/officeDocument/2006/relationships" name="09_PESTLE" sheetId="12" state="visible" r:id="rId12"/>
    <sheet xmlns:r="http://schemas.openxmlformats.org/officeDocument/2006/relationships" name="10_Hieu_Qua_Mang" sheetId="13" state="visible" r:id="rId13"/>
    <sheet xmlns:r="http://schemas.openxmlformats.org/officeDocument/2006/relationships" name="11_Investment_Thesis" sheetId="14" state="visible" r:id="rId14"/>
    <sheet xmlns:r="http://schemas.openxmlformats.org/officeDocument/2006/relationships" name="12_Summary_Snapshot" sheetId="15" state="visible" r:id="rId15"/>
    <sheet xmlns:r="http://schemas.openxmlformats.org/officeDocument/2006/relationships" name="13_PE_PB_History" sheetId="16" state="visible" r:id="rId16"/>
    <sheet xmlns:r="http://schemas.openxmlformats.org/officeDocument/2006/relationships" name="14_Segment_Quarterly" sheetId="17" state="visible" r:id="rId17"/>
    <sheet xmlns:r="http://schemas.openxmlformats.org/officeDocument/2006/relationships" name="15_Peer_Benchmark" sheetId="18" state="visible" r:id="rId18"/>
  </sheets>
  <definedNames/>
  <calcPr calcId="124519" fullCalcOnLoad="1"/>
</workbook>
</file>

<file path=xl/styles.xml><?xml version="1.0" encoding="utf-8"?>
<styleSheet xmlns="http://schemas.openxmlformats.org/spreadsheetml/2006/main">
  <numFmts count="4">
    <numFmt numFmtId="164" formatCode="0.0000"/>
    <numFmt numFmtId="165" formatCode="0.00&quot;x&quot;"/>
    <numFmt numFmtId="166" formatCode="0.0&quot; bps&quot;"/>
    <numFmt numFmtId="167" formatCode="0.00&quot;%&quot;"/>
  </numFmts>
  <fonts count="16">
    <font>
      <name val="Calibri"/>
      <family val="2"/>
      <color theme="1"/>
      <sz val="11"/>
      <scheme val="minor"/>
    </font>
    <font>
      <name val="Calibri"/>
      <b val="1"/>
      <sz val="11"/>
    </font>
    <font>
      <name val="Calibri"/>
      <i val="1"/>
      <color rgb="00666666"/>
      <sz val="9"/>
    </font>
    <font>
      <name val="Calibri"/>
      <b val="1"/>
      <color rgb="00FFFFFF"/>
      <sz val="11"/>
    </font>
    <font>
      <name val="Calibri"/>
      <b val="1"/>
      <color rgb="001F4E78"/>
      <sz val="16"/>
    </font>
    <font>
      <name val="Calibri"/>
      <i val="1"/>
      <sz val="12"/>
    </font>
    <font>
      <name val="Calibri"/>
      <sz val="10"/>
    </font>
    <font>
      <name val="Calibri"/>
      <b val="1"/>
      <color rgb="00006100"/>
      <sz val="13"/>
    </font>
    <font>
      <b val="1"/>
      <i val="1"/>
      <color rgb="001F4E78"/>
    </font>
    <font>
      <b val="1"/>
      <color rgb="00FFFFFF"/>
    </font>
    <font>
      <b val="1"/>
      <color rgb="001F4E78"/>
    </font>
    <font>
      <b val="1"/>
      <sz val="12"/>
    </font>
    <font>
      <b val="1"/>
      <color rgb="00006100"/>
      <sz val="12"/>
    </font>
    <font>
      <i val="1"/>
      <color rgb="0010b981"/>
    </font>
    <font>
      <i val="1"/>
      <color rgb="00ef4444"/>
    </font>
    <font>
      <b val="1"/>
      <color rgb="00006100"/>
    </font>
  </fonts>
  <fills count="5">
    <fill>
      <patternFill/>
    </fill>
    <fill>
      <patternFill patternType="gray125"/>
    </fill>
    <fill>
      <patternFill patternType="solid">
        <fgColor rgb="001F4E78"/>
        <bgColor rgb="001F4E78"/>
      </patternFill>
    </fill>
    <fill>
      <patternFill patternType="solid">
        <fgColor rgb="00DDEBF7"/>
        <bgColor rgb="00DDEBF7"/>
      </patternFill>
    </fill>
    <fill>
      <patternFill patternType="solid">
        <fgColor rgb="00FFF2CC"/>
        <b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7">
    <xf numFmtId="0" fontId="0" fillId="0" borderId="0" pivotButton="0" quotePrefix="0" xfId="0"/>
    <xf numFmtId="0" fontId="1" fillId="0" borderId="0" pivotButton="0" quotePrefix="0" xfId="0"/>
    <xf numFmtId="164" fontId="0" fillId="0" borderId="0" pivotButton="0" quotePrefix="0" xfId="0"/>
    <xf numFmtId="0" fontId="2" fillId="0" borderId="0" pivotButton="0" quotePrefix="0" xfId="0"/>
    <xf numFmtId="0" fontId="3" fillId="2" borderId="1" applyAlignment="1" pivotButton="0" quotePrefix="0" xfId="0">
      <alignment horizontal="center" vertical="center" wrapText="1"/>
    </xf>
    <xf numFmtId="10" fontId="0" fillId="0" borderId="0" pivotButton="0" quotePrefix="0" xfId="0"/>
    <xf numFmtId="0" fontId="4" fillId="0" borderId="0" pivotButton="0" quotePrefix="0" xfId="0"/>
    <xf numFmtId="0" fontId="0" fillId="0" borderId="1" pivotButton="0" quotePrefix="0" xfId="0"/>
    <xf numFmtId="10" fontId="0" fillId="0" borderId="1" pivotButton="0" quotePrefix="0" xfId="0"/>
    <xf numFmtId="164" fontId="0" fillId="0" borderId="1" pivotButton="0" quotePrefix="0" xfId="0"/>
    <xf numFmtId="0" fontId="1" fillId="0" borderId="1" pivotButton="0" quotePrefix="0" xfId="0"/>
    <xf numFmtId="10" fontId="1" fillId="3" borderId="1" pivotButton="0" quotePrefix="0" xfId="0"/>
    <xf numFmtId="0" fontId="5" fillId="0" borderId="0" pivotButton="0" quotePrefix="0" xfId="0"/>
    <xf numFmtId="3" fontId="0" fillId="0" borderId="0" pivotButton="0" quotePrefix="0" xfId="0"/>
    <xf numFmtId="0" fontId="6" fillId="0" borderId="0" pivotButton="0" quotePrefix="0" xfId="0"/>
    <xf numFmtId="165" fontId="0" fillId="0" borderId="0" pivotButton="0" quotePrefix="0" xfId="0"/>
    <xf numFmtId="3" fontId="7" fillId="3" borderId="0" pivotButton="0" quotePrefix="0" xfId="0"/>
    <xf numFmtId="0" fontId="7" fillId="3" borderId="0" pivotButton="0" quotePrefix="0" xfId="0"/>
    <xf numFmtId="0" fontId="8" fillId="0" borderId="0" pivotButton="0" quotePrefix="0" xfId="0"/>
    <xf numFmtId="3" fontId="0" fillId="4" borderId="1" pivotButton="0" quotePrefix="0" xfId="0"/>
    <xf numFmtId="0" fontId="2" fillId="0" borderId="0" applyAlignment="1" pivotButton="0" quotePrefix="0" xfId="0">
      <alignment vertical="top" wrapText="1"/>
    </xf>
    <xf numFmtId="10" fontId="0" fillId="4" borderId="1" pivotButton="0" quotePrefix="0" xfId="0"/>
    <xf numFmtId="165" fontId="0" fillId="4" borderId="1" pivotButton="0" quotePrefix="0" xfId="0"/>
    <xf numFmtId="3" fontId="0" fillId="0" borderId="1" pivotButton="0" quotePrefix="0" xfId="0"/>
    <xf numFmtId="1" fontId="0" fillId="0" borderId="1" pivotButton="0" quotePrefix="0" xfId="0"/>
    <xf numFmtId="1" fontId="0" fillId="4" borderId="1" pivotButton="0" quotePrefix="0" xfId="0"/>
    <xf numFmtId="166" fontId="0" fillId="0" borderId="1" pivotButton="0" quotePrefix="0" xfId="0"/>
    <xf numFmtId="166" fontId="0" fillId="4" borderId="1" pivotButton="0" quotePrefix="0" xfId="0"/>
    <xf numFmtId="0" fontId="9" fillId="0" borderId="0" pivotButton="0" quotePrefix="0" xfId="0"/>
    <xf numFmtId="3" fontId="9" fillId="2" borderId="0" pivotButton="0" quotePrefix="0" xfId="0"/>
    <xf numFmtId="3" fontId="1" fillId="0" borderId="0" pivotButton="0" quotePrefix="0" xfId="0"/>
    <xf numFmtId="0" fontId="6" fillId="0" borderId="1" pivotButton="0" quotePrefix="0" xfId="0"/>
    <xf numFmtId="1" fontId="0" fillId="0" borderId="0" pivotButton="0" quotePrefix="0" xfId="0"/>
    <xf numFmtId="0" fontId="10" fillId="0" borderId="1" pivotButton="0" quotePrefix="0" xfId="0"/>
    <xf numFmtId="165" fontId="0" fillId="0" borderId="1" pivotButton="0" quotePrefix="0" xfId="0"/>
    <xf numFmtId="3" fontId="1" fillId="3" borderId="1" pivotButton="0" quotePrefix="0" xfId="0"/>
    <xf numFmtId="0" fontId="2" fillId="0" borderId="1" pivotButton="0" quotePrefix="0" xfId="0"/>
    <xf numFmtId="3" fontId="2" fillId="0" borderId="1" pivotButton="0" quotePrefix="0" xfId="0"/>
    <xf numFmtId="0" fontId="11" fillId="0" borderId="1" pivotButton="0" quotePrefix="0" xfId="0"/>
    <xf numFmtId="3" fontId="12" fillId="3" borderId="1" pivotButton="0" quotePrefix="0" xfId="0"/>
    <xf numFmtId="0" fontId="13" fillId="0" borderId="1" pivotButton="0" quotePrefix="0" xfId="0"/>
    <xf numFmtId="3" fontId="13" fillId="0" borderId="1" pivotButton="0" quotePrefix="0" xfId="0"/>
    <xf numFmtId="0" fontId="14" fillId="0" borderId="1" pivotButton="0" quotePrefix="0" xfId="0"/>
    <xf numFmtId="3" fontId="14" fillId="0" borderId="1" pivotButton="0" quotePrefix="0" xfId="0"/>
    <xf numFmtId="10" fontId="1" fillId="0" borderId="1" pivotButton="0" quotePrefix="0" xfId="0"/>
    <xf numFmtId="0" fontId="15" fillId="0" borderId="1" pivotButton="0" quotePrefix="0" xfId="0"/>
    <xf numFmtId="10" fontId="15" fillId="0" borderId="1" pivotButton="0" quotePrefix="0" xfId="0"/>
    <xf numFmtId="0" fontId="2" fillId="0" borderId="1" applyAlignment="1" pivotButton="0" quotePrefix="0" xfId="0">
      <alignment wrapText="1"/>
    </xf>
    <xf numFmtId="0" fontId="2" fillId="0"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top" wrapText="1"/>
    </xf>
    <xf numFmtId="0" fontId="8" fillId="0" borderId="1" pivotButton="0" quotePrefix="0" xfId="0"/>
    <xf numFmtId="0" fontId="2" fillId="0" borderId="1" applyAlignment="1" pivotButton="0" quotePrefix="0" xfId="0">
      <alignment vertical="top" wrapText="1"/>
    </xf>
    <xf numFmtId="167" fontId="0" fillId="0" borderId="1" pivotButton="0" quotePrefix="0" xfId="0"/>
    <xf numFmtId="0" fontId="1" fillId="2" borderId="1" pivotButton="0" quotePrefix="0" xfId="0"/>
    <xf numFmtId="165" fontId="1" fillId="2" borderId="1" pivotButton="0" quotePrefix="0" xfId="0"/>
    <xf numFmtId="0" fontId="9"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05"/>
  <sheetViews>
    <sheetView workbookViewId="0">
      <selection activeCell="A1" sqref="A1"/>
    </sheetView>
  </sheetViews>
  <sheetFormatPr baseColWidth="8" defaultRowHeight="15"/>
  <cols>
    <col width="15" customWidth="1" min="1" max="1"/>
    <col width="16" customWidth="1" min="2" max="2"/>
    <col width="22" customWidth="1" min="3" max="3"/>
    <col width="16" customWidth="1" min="4" max="4"/>
    <col width="22" customWidth="1" min="5" max="5"/>
  </cols>
  <sheetData>
    <row r="1">
      <c r="A1" s="1" t="inlineStr">
        <is>
          <t>BẢNG TÍNH HỆ SỐ BETA LỊCH SỬ</t>
        </is>
      </c>
      <c r="B1" s="1" t="inlineStr">
        <is>
          <t>Beta thô (raw):</t>
        </is>
      </c>
      <c r="C1" s="2">
        <f>COVAR(C6:C505,E6:E505)/VAR(E6:E505)</f>
        <v/>
      </c>
      <c r="D1" s="1" t="inlineStr">
        <is>
          <t>Beta Blume (đã điều chỉnh):</t>
        </is>
      </c>
      <c r="E1" s="2">
        <f>0.67*C1+0.33</f>
        <v/>
      </c>
    </row>
    <row r="2">
      <c r="B2" s="3" t="inlineStr">
        <is>
          <t>Số phiên giao dịch:</t>
        </is>
      </c>
      <c r="C2">
        <f>COUNT(C6:C505)</f>
        <v/>
      </c>
    </row>
    <row r="4">
      <c r="A4" s="4" t="inlineStr">
        <is>
          <t>Ngày</t>
        </is>
      </c>
      <c r="B4" s="4" t="inlineStr">
        <is>
          <t>Giá VCI</t>
        </is>
      </c>
      <c r="C4" s="4" t="inlineStr">
        <is>
          <t>Tỷ suất sinh lời VCI</t>
        </is>
      </c>
      <c r="D4" s="4" t="inlineStr">
        <is>
          <t>Giá VNINDEX</t>
        </is>
      </c>
      <c r="E4" s="4" t="inlineStr">
        <is>
          <t>Tỷ suất sinh lời VNINDEX</t>
        </is>
      </c>
    </row>
    <row r="5">
      <c r="A5" t="inlineStr">
        <is>
          <t>2024-07-08</t>
        </is>
      </c>
      <c r="B5" t="n">
        <v>25896</v>
      </c>
      <c r="D5" t="n">
        <v>1283.56</v>
      </c>
    </row>
    <row r="6">
      <c r="A6" t="inlineStr">
        <is>
          <t>2024-07-09</t>
        </is>
      </c>
      <c r="B6" t="n">
        <v>26335</v>
      </c>
      <c r="C6" s="5">
        <f>(B6-B5)/B5</f>
        <v/>
      </c>
      <c r="D6" t="n">
        <v>1293.71</v>
      </c>
      <c r="E6" s="5">
        <f>(D6-D5)/D5</f>
        <v/>
      </c>
    </row>
    <row r="7">
      <c r="A7" t="inlineStr">
        <is>
          <t>2024-07-10</t>
        </is>
      </c>
      <c r="B7" t="n">
        <v>25896</v>
      </c>
      <c r="C7" s="5">
        <f>(B7-B6)/B6</f>
        <v/>
      </c>
      <c r="D7" t="n">
        <v>1285.94</v>
      </c>
      <c r="E7" s="5">
        <f>(D7-D6)/D6</f>
        <v/>
      </c>
    </row>
    <row r="8">
      <c r="A8" t="inlineStr">
        <is>
          <t>2024-07-11</t>
        </is>
      </c>
      <c r="B8" t="n">
        <v>26335</v>
      </c>
      <c r="C8" s="5">
        <f>(B8-B7)/B7</f>
        <v/>
      </c>
      <c r="D8" t="n">
        <v>1283.8</v>
      </c>
      <c r="E8" s="5">
        <f>(D8-D7)/D7</f>
        <v/>
      </c>
    </row>
    <row r="9">
      <c r="A9" t="inlineStr">
        <is>
          <t>2024-07-12</t>
        </is>
      </c>
      <c r="B9" t="n">
        <v>26280</v>
      </c>
      <c r="C9" s="5">
        <f>(B9-B8)/B8</f>
        <v/>
      </c>
      <c r="D9" t="n">
        <v>1280.75</v>
      </c>
      <c r="E9" s="5">
        <f>(D9-D8)/D8</f>
        <v/>
      </c>
    </row>
    <row r="10">
      <c r="A10" t="inlineStr">
        <is>
          <t>2024-07-15</t>
        </is>
      </c>
      <c r="B10" t="n">
        <v>26362</v>
      </c>
      <c r="C10" s="5">
        <f>(B10-B9)/B9</f>
        <v/>
      </c>
      <c r="D10" t="n">
        <v>1279.82</v>
      </c>
      <c r="E10" s="5">
        <f>(D10-D9)/D9</f>
        <v/>
      </c>
    </row>
    <row r="11">
      <c r="A11" t="inlineStr">
        <is>
          <t>2024-07-16</t>
        </is>
      </c>
      <c r="B11" t="n">
        <v>26280</v>
      </c>
      <c r="C11" s="5">
        <f>(B11-B10)/B10</f>
        <v/>
      </c>
      <c r="D11" t="n">
        <v>1281.18</v>
      </c>
      <c r="E11" s="5">
        <f>(D11-D10)/D10</f>
        <v/>
      </c>
    </row>
    <row r="12">
      <c r="A12" t="inlineStr">
        <is>
          <t>2024-07-17</t>
        </is>
      </c>
      <c r="B12" t="n">
        <v>25731</v>
      </c>
      <c r="C12" s="5">
        <f>(B12-B11)/B11</f>
        <v/>
      </c>
      <c r="D12" t="n">
        <v>1268.66</v>
      </c>
      <c r="E12" s="5">
        <f>(D12-D11)/D11</f>
        <v/>
      </c>
    </row>
    <row r="13">
      <c r="A13" t="inlineStr">
        <is>
          <t>2024-07-18</t>
        </is>
      </c>
      <c r="B13" t="n">
        <v>26143</v>
      </c>
      <c r="C13" s="5">
        <f>(B13-B12)/B12</f>
        <v/>
      </c>
      <c r="D13" t="n">
        <v>1274.44</v>
      </c>
      <c r="E13" s="5">
        <f>(D13-D12)/D12</f>
        <v/>
      </c>
    </row>
    <row r="14">
      <c r="A14" t="inlineStr">
        <is>
          <t>2024-07-19</t>
        </is>
      </c>
      <c r="B14" t="n">
        <v>26060</v>
      </c>
      <c r="C14" s="5">
        <f>(B14-B13)/B13</f>
        <v/>
      </c>
      <c r="D14" t="n">
        <v>1264.78</v>
      </c>
      <c r="E14" s="5">
        <f>(D14-D13)/D13</f>
        <v/>
      </c>
    </row>
    <row r="15">
      <c r="A15" t="inlineStr">
        <is>
          <t>2024-07-22</t>
        </is>
      </c>
      <c r="B15" t="n">
        <v>25978</v>
      </c>
      <c r="C15" s="5">
        <f>(B15-B14)/B14</f>
        <v/>
      </c>
      <c r="D15" t="n">
        <v>1254.64</v>
      </c>
      <c r="E15" s="5">
        <f>(D15-D14)/D14</f>
        <v/>
      </c>
    </row>
    <row r="16">
      <c r="A16" t="inlineStr">
        <is>
          <t>2024-07-23</t>
        </is>
      </c>
      <c r="B16" t="n">
        <v>25237</v>
      </c>
      <c r="C16" s="5">
        <f>(B16-B15)/B15</f>
        <v/>
      </c>
      <c r="D16" t="n">
        <v>1231.81</v>
      </c>
      <c r="E16" s="5">
        <f>(D16-D15)/D15</f>
        <v/>
      </c>
    </row>
    <row r="17">
      <c r="A17" t="inlineStr">
        <is>
          <t>2024-07-24</t>
        </is>
      </c>
      <c r="B17" t="n">
        <v>24579</v>
      </c>
      <c r="C17" s="5">
        <f>(B17-B16)/B16</f>
        <v/>
      </c>
      <c r="D17" t="n">
        <v>1238.47</v>
      </c>
      <c r="E17" s="5">
        <f>(D17-D16)/D16</f>
        <v/>
      </c>
    </row>
    <row r="18">
      <c r="A18" t="inlineStr">
        <is>
          <t>2024-07-25</t>
        </is>
      </c>
      <c r="B18" t="n">
        <v>24469</v>
      </c>
      <c r="C18" s="5">
        <f>(B18-B17)/B17</f>
        <v/>
      </c>
      <c r="D18" t="n">
        <v>1233.19</v>
      </c>
      <c r="E18" s="5">
        <f>(D18-D17)/D17</f>
        <v/>
      </c>
    </row>
    <row r="19">
      <c r="A19" t="inlineStr">
        <is>
          <t>2024-07-26</t>
        </is>
      </c>
      <c r="B19" t="n">
        <v>24716</v>
      </c>
      <c r="C19" s="5">
        <f>(B19-B18)/B18</f>
        <v/>
      </c>
      <c r="D19" t="n">
        <v>1242.11</v>
      </c>
      <c r="E19" s="5">
        <f>(D19-D18)/D18</f>
        <v/>
      </c>
    </row>
    <row r="20">
      <c r="A20" t="inlineStr">
        <is>
          <t>2024-07-29</t>
        </is>
      </c>
      <c r="B20" t="n">
        <v>24798</v>
      </c>
      <c r="C20" s="5">
        <f>(B20-B19)/B19</f>
        <v/>
      </c>
      <c r="D20" t="n">
        <v>1246.6</v>
      </c>
      <c r="E20" s="5">
        <f>(D20-D19)/D19</f>
        <v/>
      </c>
    </row>
    <row r="21">
      <c r="A21" t="inlineStr">
        <is>
          <t>2024-07-30</t>
        </is>
      </c>
      <c r="B21" t="n">
        <v>24414</v>
      </c>
      <c r="C21" s="5">
        <f>(B21-B20)/B20</f>
        <v/>
      </c>
      <c r="D21" t="n">
        <v>1245.06</v>
      </c>
      <c r="E21" s="5">
        <f>(D21-D20)/D20</f>
        <v/>
      </c>
    </row>
    <row r="22">
      <c r="A22" t="inlineStr">
        <is>
          <t>2024-07-31</t>
        </is>
      </c>
      <c r="B22" t="n">
        <v>24414</v>
      </c>
      <c r="C22" s="5">
        <f>(B22-B21)/B21</f>
        <v/>
      </c>
      <c r="D22" t="n">
        <v>1251.51</v>
      </c>
      <c r="E22" s="5">
        <f>(D22-D21)/D21</f>
        <v/>
      </c>
    </row>
    <row r="23">
      <c r="A23" t="inlineStr">
        <is>
          <t>2024-08-01</t>
        </is>
      </c>
      <c r="B23" t="n">
        <v>23098</v>
      </c>
      <c r="C23" s="5">
        <f>(B23-B22)/B22</f>
        <v/>
      </c>
      <c r="D23" t="n">
        <v>1226.96</v>
      </c>
      <c r="E23" s="5">
        <f>(D23-D22)/D22</f>
        <v/>
      </c>
    </row>
    <row r="24">
      <c r="A24" t="inlineStr">
        <is>
          <t>2024-08-02</t>
        </is>
      </c>
      <c r="B24" t="n">
        <v>23811</v>
      </c>
      <c r="C24" s="5">
        <f>(B24-B23)/B23</f>
        <v/>
      </c>
      <c r="D24" t="n">
        <v>1236.6</v>
      </c>
      <c r="E24" s="5">
        <f>(D24-D23)/D23</f>
        <v/>
      </c>
    </row>
    <row r="25">
      <c r="A25" t="inlineStr">
        <is>
          <t>2024-08-05</t>
        </is>
      </c>
      <c r="B25" t="n">
        <v>22384</v>
      </c>
      <c r="C25" s="5">
        <f>(B25-B24)/B24</f>
        <v/>
      </c>
      <c r="D25" t="n">
        <v>1188.07</v>
      </c>
      <c r="E25" s="5">
        <f>(D25-D24)/D24</f>
        <v/>
      </c>
    </row>
    <row r="26">
      <c r="A26" t="inlineStr">
        <is>
          <t>2024-08-06</t>
        </is>
      </c>
      <c r="B26" t="n">
        <v>23591</v>
      </c>
      <c r="C26" s="5">
        <f>(B26-B25)/B25</f>
        <v/>
      </c>
      <c r="D26" t="n">
        <v>1210.28</v>
      </c>
      <c r="E26" s="5">
        <f>(D26-D25)/D25</f>
        <v/>
      </c>
    </row>
    <row r="27">
      <c r="A27" t="inlineStr">
        <is>
          <t>2024-08-07</t>
        </is>
      </c>
      <c r="B27" t="n">
        <v>23921</v>
      </c>
      <c r="C27" s="5">
        <f>(B27-B26)/B26</f>
        <v/>
      </c>
      <c r="D27" t="n">
        <v>1215.88</v>
      </c>
      <c r="E27" s="5">
        <f>(D27-D26)/D26</f>
        <v/>
      </c>
    </row>
    <row r="28">
      <c r="A28" t="inlineStr">
        <is>
          <t>2024-08-08</t>
        </is>
      </c>
      <c r="B28" t="n">
        <v>23783</v>
      </c>
      <c r="C28" s="5">
        <f>(B28-B27)/B27</f>
        <v/>
      </c>
      <c r="D28" t="n">
        <v>1208.32</v>
      </c>
      <c r="E28" s="5">
        <f>(D28-D27)/D27</f>
        <v/>
      </c>
    </row>
    <row r="29">
      <c r="A29" t="inlineStr">
        <is>
          <t>2024-08-09</t>
        </is>
      </c>
      <c r="B29" t="n">
        <v>24853</v>
      </c>
      <c r="C29" s="5">
        <f>(B29-B28)/B28</f>
        <v/>
      </c>
      <c r="D29" t="n">
        <v>1223.64</v>
      </c>
      <c r="E29" s="5">
        <f>(D29-D28)/D28</f>
        <v/>
      </c>
    </row>
    <row r="30">
      <c r="A30" t="inlineStr">
        <is>
          <t>2024-08-12</t>
        </is>
      </c>
      <c r="B30" t="n">
        <v>25183</v>
      </c>
      <c r="C30" s="5">
        <f>(B30-B29)/B29</f>
        <v/>
      </c>
      <c r="D30" t="n">
        <v>1230.28</v>
      </c>
      <c r="E30" s="5">
        <f>(D30-D29)/D29</f>
        <v/>
      </c>
    </row>
    <row r="31">
      <c r="A31" t="inlineStr">
        <is>
          <t>2024-08-13</t>
        </is>
      </c>
      <c r="B31" t="n">
        <v>25128</v>
      </c>
      <c r="C31" s="5">
        <f>(B31-B30)/B30</f>
        <v/>
      </c>
      <c r="D31" t="n">
        <v>1230.42</v>
      </c>
      <c r="E31" s="5">
        <f>(D31-D30)/D30</f>
        <v/>
      </c>
    </row>
    <row r="32">
      <c r="A32" t="inlineStr">
        <is>
          <t>2024-08-14</t>
        </is>
      </c>
      <c r="B32" t="n">
        <v>24853</v>
      </c>
      <c r="C32" s="5">
        <f>(B32-B31)/B31</f>
        <v/>
      </c>
      <c r="D32" t="n">
        <v>1230.36</v>
      </c>
      <c r="E32" s="5">
        <f>(D32-D31)/D31</f>
        <v/>
      </c>
    </row>
    <row r="33">
      <c r="A33" t="inlineStr">
        <is>
          <t>2024-08-15</t>
        </is>
      </c>
      <c r="B33" t="n">
        <v>24548</v>
      </c>
      <c r="C33" s="5">
        <f>(B33-B32)/B32</f>
        <v/>
      </c>
      <c r="D33" t="n">
        <v>1223.56</v>
      </c>
      <c r="E33" s="5">
        <f>(D33-D32)/D32</f>
        <v/>
      </c>
    </row>
    <row r="34">
      <c r="A34" t="inlineStr">
        <is>
          <t>2024-08-16</t>
        </is>
      </c>
      <c r="B34" t="n">
        <v>25877</v>
      </c>
      <c r="C34" s="5">
        <f>(B34-B33)/B33</f>
        <v/>
      </c>
      <c r="D34" t="n">
        <v>1252.23</v>
      </c>
      <c r="E34" s="5">
        <f>(D34-D33)/D33</f>
        <v/>
      </c>
    </row>
    <row r="35">
      <c r="A35" t="inlineStr">
        <is>
          <t>2024-08-19</t>
        </is>
      </c>
      <c r="B35" t="n">
        <v>25600</v>
      </c>
      <c r="C35" s="5">
        <f>(B35-B34)/B34</f>
        <v/>
      </c>
      <c r="D35" t="n">
        <v>1261.62</v>
      </c>
      <c r="E35" s="5">
        <f>(D35-D34)/D34</f>
        <v/>
      </c>
    </row>
    <row r="36">
      <c r="A36" t="inlineStr">
        <is>
          <t>2024-08-20</t>
        </is>
      </c>
      <c r="B36" t="n">
        <v>25738</v>
      </c>
      <c r="C36" s="5">
        <f>(B36-B35)/B35</f>
        <v/>
      </c>
      <c r="D36" t="n">
        <v>1272.55</v>
      </c>
      <c r="E36" s="5">
        <f>(D36-D35)/D35</f>
        <v/>
      </c>
    </row>
    <row r="37">
      <c r="A37" t="inlineStr">
        <is>
          <t>2024-08-21</t>
        </is>
      </c>
      <c r="B37" t="n">
        <v>26070</v>
      </c>
      <c r="C37" s="5">
        <f>(B37-B36)/B36</f>
        <v/>
      </c>
      <c r="D37" t="n">
        <v>1284.05</v>
      </c>
      <c r="E37" s="5">
        <f>(D37-D36)/D36</f>
        <v/>
      </c>
    </row>
    <row r="38">
      <c r="A38" t="inlineStr">
        <is>
          <t>2024-08-22</t>
        </is>
      </c>
      <c r="B38" t="n">
        <v>26209</v>
      </c>
      <c r="C38" s="5">
        <f>(B38-B37)/B37</f>
        <v/>
      </c>
      <c r="D38" t="n">
        <v>1282.78</v>
      </c>
      <c r="E38" s="5">
        <f>(D38-D37)/D37</f>
        <v/>
      </c>
    </row>
    <row r="39">
      <c r="A39" t="inlineStr">
        <is>
          <t>2024-08-23</t>
        </is>
      </c>
      <c r="B39" t="n">
        <v>26292</v>
      </c>
      <c r="C39" s="5">
        <f>(B39-B38)/B38</f>
        <v/>
      </c>
      <c r="D39" t="n">
        <v>1285.32</v>
      </c>
      <c r="E39" s="5">
        <f>(D39-D38)/D38</f>
        <v/>
      </c>
    </row>
    <row r="40">
      <c r="A40" t="inlineStr">
        <is>
          <t>2024-08-26</t>
        </is>
      </c>
      <c r="B40" t="n">
        <v>26845</v>
      </c>
      <c r="C40" s="5">
        <f>(B40-B39)/B39</f>
        <v/>
      </c>
      <c r="D40" t="n">
        <v>1280.02</v>
      </c>
      <c r="E40" s="5">
        <f>(D40-D39)/D39</f>
        <v/>
      </c>
    </row>
    <row r="41">
      <c r="A41" t="inlineStr">
        <is>
          <t>2024-08-27</t>
        </is>
      </c>
      <c r="B41" t="n">
        <v>26596</v>
      </c>
      <c r="C41" s="5">
        <f>(B41-B40)/B40</f>
        <v/>
      </c>
      <c r="D41" t="n">
        <v>1280.56</v>
      </c>
      <c r="E41" s="5">
        <f>(D41-D40)/D40</f>
        <v/>
      </c>
    </row>
    <row r="42">
      <c r="A42" t="inlineStr">
        <is>
          <t>2024-08-28</t>
        </is>
      </c>
      <c r="B42" t="n">
        <v>26402</v>
      </c>
      <c r="C42" s="5">
        <f>(B42-B41)/B41</f>
        <v/>
      </c>
      <c r="D42" t="n">
        <v>1281.44</v>
      </c>
      <c r="E42" s="5">
        <f>(D42-D41)/D41</f>
        <v/>
      </c>
    </row>
    <row r="43">
      <c r="A43" t="inlineStr">
        <is>
          <t>2024-08-29</t>
        </is>
      </c>
      <c r="B43" t="n">
        <v>25628</v>
      </c>
      <c r="C43" s="5">
        <f>(B43-B42)/B42</f>
        <v/>
      </c>
      <c r="D43" t="n">
        <v>1281.47</v>
      </c>
      <c r="E43" s="5">
        <f>(D43-D42)/D42</f>
        <v/>
      </c>
    </row>
    <row r="44">
      <c r="A44" t="inlineStr">
        <is>
          <t>2024-08-30</t>
        </is>
      </c>
      <c r="B44" t="n">
        <v>25711</v>
      </c>
      <c r="C44" s="5">
        <f>(B44-B43)/B43</f>
        <v/>
      </c>
      <c r="D44" t="n">
        <v>1283.87</v>
      </c>
      <c r="E44" s="5">
        <f>(D44-D43)/D43</f>
        <v/>
      </c>
    </row>
    <row r="45">
      <c r="A45" t="inlineStr">
        <is>
          <t>2024-09-04</t>
        </is>
      </c>
      <c r="B45" t="n">
        <v>25406</v>
      </c>
      <c r="C45" s="5">
        <f>(B45-B44)/B44</f>
        <v/>
      </c>
      <c r="D45" t="n">
        <v>1275.8</v>
      </c>
      <c r="E45" s="5">
        <f>(D45-D44)/D44</f>
        <v/>
      </c>
    </row>
    <row r="46">
      <c r="A46" t="inlineStr">
        <is>
          <t>2024-09-05</t>
        </is>
      </c>
      <c r="B46" t="n">
        <v>24908</v>
      </c>
      <c r="C46" s="5">
        <f>(B46-B45)/B45</f>
        <v/>
      </c>
      <c r="D46" t="n">
        <v>1268.21</v>
      </c>
      <c r="E46" s="5">
        <f>(D46-D45)/D45</f>
        <v/>
      </c>
    </row>
    <row r="47">
      <c r="A47" t="inlineStr">
        <is>
          <t>2024-09-06</t>
        </is>
      </c>
      <c r="B47" t="n">
        <v>25185</v>
      </c>
      <c r="C47" s="5">
        <f>(B47-B46)/B46</f>
        <v/>
      </c>
      <c r="D47" t="n">
        <v>1273.96</v>
      </c>
      <c r="E47" s="5">
        <f>(D47-D46)/D46</f>
        <v/>
      </c>
    </row>
    <row r="48">
      <c r="A48" t="inlineStr">
        <is>
          <t>2024-09-09</t>
        </is>
      </c>
      <c r="B48" t="n">
        <v>24825</v>
      </c>
      <c r="C48" s="5">
        <f>(B48-B47)/B47</f>
        <v/>
      </c>
      <c r="D48" t="n">
        <v>1267.73</v>
      </c>
      <c r="E48" s="5">
        <f>(D48-D47)/D47</f>
        <v/>
      </c>
    </row>
    <row r="49">
      <c r="A49" t="inlineStr">
        <is>
          <t>2024-09-10</t>
        </is>
      </c>
      <c r="B49" t="n">
        <v>24465</v>
      </c>
      <c r="C49" s="5">
        <f>(B49-B48)/B48</f>
        <v/>
      </c>
      <c r="D49" t="n">
        <v>1255.23</v>
      </c>
      <c r="E49" s="5">
        <f>(D49-D48)/D48</f>
        <v/>
      </c>
    </row>
    <row r="50">
      <c r="A50" t="inlineStr">
        <is>
          <t>2024-09-11</t>
        </is>
      </c>
      <c r="B50" t="n">
        <v>24244</v>
      </c>
      <c r="C50" s="5">
        <f>(B50-B49)/B49</f>
        <v/>
      </c>
      <c r="D50" t="n">
        <v>1253.27</v>
      </c>
      <c r="E50" s="5">
        <f>(D50-D49)/D49</f>
        <v/>
      </c>
    </row>
    <row r="51">
      <c r="A51" t="inlineStr">
        <is>
          <t>2024-09-12</t>
        </is>
      </c>
      <c r="B51" t="n">
        <v>24034</v>
      </c>
      <c r="C51" s="5">
        <f>(B51-B50)/B50</f>
        <v/>
      </c>
      <c r="D51" t="n">
        <v>1256.35</v>
      </c>
      <c r="E51" s="5">
        <f>(D51-D50)/D50</f>
        <v/>
      </c>
    </row>
    <row r="52">
      <c r="A52" t="inlineStr">
        <is>
          <t>2024-09-13</t>
        </is>
      </c>
      <c r="B52" t="n">
        <v>24034</v>
      </c>
      <c r="C52" s="5">
        <f>(B52-B51)/B51</f>
        <v/>
      </c>
      <c r="D52" t="n">
        <v>1251.71</v>
      </c>
      <c r="E52" s="5">
        <f>(D52-D51)/D51</f>
        <v/>
      </c>
    </row>
    <row r="53">
      <c r="A53" t="inlineStr">
        <is>
          <t>2024-09-16</t>
        </is>
      </c>
      <c r="B53" t="n">
        <v>23387</v>
      </c>
      <c r="C53" s="5">
        <f>(B53-B52)/B52</f>
        <v/>
      </c>
      <c r="D53" t="n">
        <v>1239.26</v>
      </c>
      <c r="E53" s="5">
        <f>(D53-D52)/D52</f>
        <v/>
      </c>
    </row>
    <row r="54">
      <c r="A54" t="inlineStr">
        <is>
          <t>2024-09-17</t>
        </is>
      </c>
      <c r="B54" t="n">
        <v>24574</v>
      </c>
      <c r="C54" s="5">
        <f>(B54-B53)/B53</f>
        <v/>
      </c>
      <c r="D54" t="n">
        <v>1258.95</v>
      </c>
      <c r="E54" s="5">
        <f>(D54-D53)/D53</f>
        <v/>
      </c>
    </row>
    <row r="55">
      <c r="A55" t="inlineStr">
        <is>
          <t>2024-09-18</t>
        </is>
      </c>
      <c r="B55" t="n">
        <v>24826</v>
      </c>
      <c r="C55" s="5">
        <f>(B55-B54)/B54</f>
        <v/>
      </c>
      <c r="D55" t="n">
        <v>1264.9</v>
      </c>
      <c r="E55" s="5">
        <f>(D55-D54)/D54</f>
        <v/>
      </c>
    </row>
    <row r="56">
      <c r="A56" t="inlineStr">
        <is>
          <t>2024-09-19</t>
        </is>
      </c>
      <c r="B56" t="n">
        <v>24898</v>
      </c>
      <c r="C56" s="5">
        <f>(B56-B55)/B55</f>
        <v/>
      </c>
      <c r="D56" t="n">
        <v>1271.27</v>
      </c>
      <c r="E56" s="5">
        <f>(D56-D55)/D55</f>
        <v/>
      </c>
    </row>
    <row r="57">
      <c r="A57" t="inlineStr">
        <is>
          <t>2024-09-20</t>
        </is>
      </c>
      <c r="B57" t="n">
        <v>24826</v>
      </c>
      <c r="C57" s="5">
        <f>(B57-B56)/B56</f>
        <v/>
      </c>
      <c r="D57" t="n">
        <v>1272.04</v>
      </c>
      <c r="E57" s="5">
        <f>(D57-D56)/D56</f>
        <v/>
      </c>
    </row>
    <row r="58">
      <c r="A58" t="inlineStr">
        <is>
          <t>2024-09-23</t>
        </is>
      </c>
      <c r="B58" t="n">
        <v>24610</v>
      </c>
      <c r="C58" s="5">
        <f>(B58-B57)/B57</f>
        <v/>
      </c>
      <c r="D58" t="n">
        <v>1268.48</v>
      </c>
      <c r="E58" s="5">
        <f>(D58-D57)/D57</f>
        <v/>
      </c>
    </row>
    <row r="59">
      <c r="A59" t="inlineStr">
        <is>
          <t>2024-09-24</t>
        </is>
      </c>
      <c r="B59" t="n">
        <v>24826</v>
      </c>
      <c r="C59" s="5">
        <f>(B59-B58)/B58</f>
        <v/>
      </c>
      <c r="D59" t="n">
        <v>1276.99</v>
      </c>
      <c r="E59" s="5">
        <f>(D59-D58)/D58</f>
        <v/>
      </c>
    </row>
    <row r="60">
      <c r="A60" t="inlineStr">
        <is>
          <t>2024-09-25</t>
        </is>
      </c>
      <c r="B60" t="n">
        <v>25617</v>
      </c>
      <c r="C60" s="5">
        <f>(B60-B59)/B59</f>
        <v/>
      </c>
      <c r="D60" t="n">
        <v>1287.48</v>
      </c>
      <c r="E60" s="5">
        <f>(D60-D59)/D59</f>
        <v/>
      </c>
    </row>
    <row r="61">
      <c r="A61" t="inlineStr">
        <is>
          <t>2024-09-26</t>
        </is>
      </c>
      <c r="B61" t="n">
        <v>26013</v>
      </c>
      <c r="C61" s="5">
        <f>(B61-B60)/B60</f>
        <v/>
      </c>
      <c r="D61" t="n">
        <v>1291.49</v>
      </c>
      <c r="E61" s="5">
        <f>(D61-D60)/D60</f>
        <v/>
      </c>
    </row>
    <row r="62">
      <c r="A62" t="inlineStr">
        <is>
          <t>2024-09-27</t>
        </is>
      </c>
      <c r="B62" t="n">
        <v>25833</v>
      </c>
      <c r="C62" s="5">
        <f>(B62-B61)/B61</f>
        <v/>
      </c>
      <c r="D62" t="n">
        <v>1290.92</v>
      </c>
      <c r="E62" s="5">
        <f>(D62-D61)/D61</f>
        <v/>
      </c>
    </row>
    <row r="63">
      <c r="A63" t="inlineStr">
        <is>
          <t>2024-09-30</t>
        </is>
      </c>
      <c r="B63" t="n">
        <v>26409</v>
      </c>
      <c r="C63" s="5">
        <f>(B63-B62)/B62</f>
        <v/>
      </c>
      <c r="D63" t="n">
        <v>1287.94</v>
      </c>
      <c r="E63" s="5">
        <f>(D63-D62)/D62</f>
        <v/>
      </c>
    </row>
    <row r="64">
      <c r="A64" t="inlineStr">
        <is>
          <t>2024-10-01</t>
        </is>
      </c>
      <c r="B64" t="n">
        <v>26265</v>
      </c>
      <c r="C64" s="5">
        <f>(B64-B63)/B63</f>
        <v/>
      </c>
      <c r="D64" t="n">
        <v>1292.2</v>
      </c>
      <c r="E64" s="5">
        <f>(D64-D63)/D63</f>
        <v/>
      </c>
    </row>
    <row r="65">
      <c r="A65" t="inlineStr">
        <is>
          <t>2024-10-02</t>
        </is>
      </c>
      <c r="B65" t="n">
        <v>26193</v>
      </c>
      <c r="C65" s="5">
        <f>(B65-B64)/B64</f>
        <v/>
      </c>
      <c r="D65" t="n">
        <v>1287.84</v>
      </c>
      <c r="E65" s="5">
        <f>(D65-D64)/D64</f>
        <v/>
      </c>
    </row>
    <row r="66">
      <c r="A66" t="inlineStr">
        <is>
          <t>2024-10-03</t>
        </is>
      </c>
      <c r="B66" t="n">
        <v>26301</v>
      </c>
      <c r="C66" s="5">
        <f>(B66-B65)/B65</f>
        <v/>
      </c>
      <c r="D66" t="n">
        <v>1278.1</v>
      </c>
      <c r="E66" s="5">
        <f>(D66-D65)/D65</f>
        <v/>
      </c>
    </row>
    <row r="67">
      <c r="A67" t="inlineStr">
        <is>
          <t>2024-10-04</t>
        </is>
      </c>
      <c r="B67" t="n">
        <v>26085</v>
      </c>
      <c r="C67" s="5">
        <f>(B67-B66)/B66</f>
        <v/>
      </c>
      <c r="D67" t="n">
        <v>1270.6</v>
      </c>
      <c r="E67" s="5">
        <f>(D67-D66)/D66</f>
        <v/>
      </c>
    </row>
    <row r="68">
      <c r="A68" t="inlineStr">
        <is>
          <t>2024-10-07</t>
        </is>
      </c>
      <c r="B68" t="n">
        <v>27057</v>
      </c>
      <c r="C68" s="5">
        <f>(B68-B67)/B67</f>
        <v/>
      </c>
      <c r="D68" t="n">
        <v>1269.93</v>
      </c>
      <c r="E68" s="5">
        <f>(D68-D67)/D67</f>
        <v/>
      </c>
    </row>
    <row r="69">
      <c r="A69" t="inlineStr">
        <is>
          <t>2024-10-08</t>
        </is>
      </c>
      <c r="B69" t="n">
        <v>26841</v>
      </c>
      <c r="C69" s="5">
        <f>(B69-B68)/B68</f>
        <v/>
      </c>
      <c r="D69" t="n">
        <v>1271.98</v>
      </c>
      <c r="E69" s="5">
        <f>(D69-D68)/D68</f>
        <v/>
      </c>
    </row>
    <row r="70">
      <c r="A70" t="inlineStr">
        <is>
          <t>2024-10-09</t>
        </is>
      </c>
      <c r="B70" t="n">
        <v>26913</v>
      </c>
      <c r="C70" s="5">
        <f>(B70-B69)/B69</f>
        <v/>
      </c>
      <c r="D70" t="n">
        <v>1281.85</v>
      </c>
      <c r="E70" s="5">
        <f>(D70-D69)/D69</f>
        <v/>
      </c>
    </row>
    <row r="71">
      <c r="A71" t="inlineStr">
        <is>
          <t>2024-10-10</t>
        </is>
      </c>
      <c r="B71" t="n">
        <v>26193</v>
      </c>
      <c r="C71" s="5">
        <f>(B71-B70)/B70</f>
        <v/>
      </c>
      <c r="D71" t="n">
        <v>1286.36</v>
      </c>
      <c r="E71" s="5">
        <f>(D71-D70)/D70</f>
        <v/>
      </c>
    </row>
    <row r="72">
      <c r="A72" t="inlineStr">
        <is>
          <t>2024-10-11</t>
        </is>
      </c>
      <c r="B72" t="n">
        <v>26517</v>
      </c>
      <c r="C72" s="5">
        <f>(B72-B71)/B71</f>
        <v/>
      </c>
      <c r="D72" t="n">
        <v>1288.39</v>
      </c>
      <c r="E72" s="5">
        <f>(D72-D71)/D71</f>
        <v/>
      </c>
    </row>
    <row r="73">
      <c r="A73" t="inlineStr">
        <is>
          <t>2024-10-14</t>
        </is>
      </c>
      <c r="B73" t="n">
        <v>26409</v>
      </c>
      <c r="C73" s="5">
        <f>(B73-B72)/B72</f>
        <v/>
      </c>
      <c r="D73" t="n">
        <v>1286.34</v>
      </c>
      <c r="E73" s="5">
        <f>(D73-D72)/D72</f>
        <v/>
      </c>
    </row>
    <row r="74">
      <c r="A74" t="inlineStr">
        <is>
          <t>2024-10-15</t>
        </is>
      </c>
      <c r="B74" t="n">
        <v>25905</v>
      </c>
      <c r="C74" s="5">
        <f>(B74-B73)/B73</f>
        <v/>
      </c>
      <c r="D74" t="n">
        <v>1281.08</v>
      </c>
      <c r="E74" s="5">
        <f>(D74-D73)/D73</f>
        <v/>
      </c>
    </row>
    <row r="75">
      <c r="A75" t="inlineStr">
        <is>
          <t>2024-10-16</t>
        </is>
      </c>
      <c r="B75" t="n">
        <v>25725</v>
      </c>
      <c r="C75" s="5">
        <f>(B75-B74)/B74</f>
        <v/>
      </c>
      <c r="D75" t="n">
        <v>1279.48</v>
      </c>
      <c r="E75" s="5">
        <f>(D75-D74)/D74</f>
        <v/>
      </c>
    </row>
    <row r="76">
      <c r="A76" t="inlineStr">
        <is>
          <t>2024-10-17</t>
        </is>
      </c>
      <c r="B76" t="n">
        <v>26409</v>
      </c>
      <c r="C76" s="5">
        <f>(B76-B75)/B75</f>
        <v/>
      </c>
      <c r="D76" t="n">
        <v>1286.52</v>
      </c>
      <c r="E76" s="5">
        <f>(D76-D75)/D75</f>
        <v/>
      </c>
    </row>
    <row r="77">
      <c r="A77" t="inlineStr">
        <is>
          <t>2024-10-18</t>
        </is>
      </c>
      <c r="B77" t="n">
        <v>25977</v>
      </c>
      <c r="C77" s="5">
        <f>(B77-B76)/B76</f>
        <v/>
      </c>
      <c r="D77" t="n">
        <v>1285.46</v>
      </c>
      <c r="E77" s="5">
        <f>(D77-D76)/D76</f>
        <v/>
      </c>
    </row>
    <row r="78">
      <c r="A78" t="inlineStr">
        <is>
          <t>2024-10-21</t>
        </is>
      </c>
      <c r="B78" t="n">
        <v>25617</v>
      </c>
      <c r="C78" s="5">
        <f>(B78-B77)/B77</f>
        <v/>
      </c>
      <c r="D78" t="n">
        <v>1279.77</v>
      </c>
      <c r="E78" s="5">
        <f>(D78-D77)/D77</f>
        <v/>
      </c>
    </row>
    <row r="79">
      <c r="A79" t="inlineStr">
        <is>
          <t>2024-10-22</t>
        </is>
      </c>
      <c r="B79" t="n">
        <v>25510</v>
      </c>
      <c r="C79" s="5">
        <f>(B79-B78)/B78</f>
        <v/>
      </c>
      <c r="D79" t="n">
        <v>1269.89</v>
      </c>
      <c r="E79" s="5">
        <f>(D79-D78)/D78</f>
        <v/>
      </c>
    </row>
    <row r="80">
      <c r="A80" t="inlineStr">
        <is>
          <t>2024-10-23</t>
        </is>
      </c>
      <c r="B80" t="n">
        <v>25438</v>
      </c>
      <c r="C80" s="5">
        <f>(B80-B79)/B79</f>
        <v/>
      </c>
      <c r="D80" t="n">
        <v>1270.9</v>
      </c>
      <c r="E80" s="5">
        <f>(D80-D79)/D79</f>
        <v/>
      </c>
    </row>
    <row r="81">
      <c r="A81" t="inlineStr">
        <is>
          <t>2024-10-24</t>
        </is>
      </c>
      <c r="B81" t="n">
        <v>24826</v>
      </c>
      <c r="C81" s="5">
        <f>(B81-B80)/B80</f>
        <v/>
      </c>
      <c r="D81" t="n">
        <v>1257.41</v>
      </c>
      <c r="E81" s="5">
        <f>(D81-D80)/D80</f>
        <v/>
      </c>
    </row>
    <row r="82">
      <c r="A82" t="inlineStr">
        <is>
          <t>2024-10-25</t>
        </is>
      </c>
      <c r="B82" t="n">
        <v>24826</v>
      </c>
      <c r="C82" s="5">
        <f>(B82-B81)/B81</f>
        <v/>
      </c>
      <c r="D82" t="n">
        <v>1252.72</v>
      </c>
      <c r="E82" s="5">
        <f>(D82-D81)/D81</f>
        <v/>
      </c>
    </row>
    <row r="83">
      <c r="A83" t="inlineStr">
        <is>
          <t>2024-10-28</t>
        </is>
      </c>
      <c r="B83" t="n">
        <v>24934</v>
      </c>
      <c r="C83" s="5">
        <f>(B83-B82)/B82</f>
        <v/>
      </c>
      <c r="D83" t="n">
        <v>1254.77</v>
      </c>
      <c r="E83" s="5">
        <f>(D83-D82)/D82</f>
        <v/>
      </c>
    </row>
    <row r="84">
      <c r="A84" t="inlineStr">
        <is>
          <t>2024-10-29</t>
        </is>
      </c>
      <c r="B84" t="n">
        <v>24934</v>
      </c>
      <c r="C84" s="5">
        <f>(B84-B83)/B83</f>
        <v/>
      </c>
      <c r="D84" t="n">
        <v>1261.78</v>
      </c>
      <c r="E84" s="5">
        <f>(D84-D83)/D83</f>
        <v/>
      </c>
    </row>
    <row r="85">
      <c r="A85" t="inlineStr">
        <is>
          <t>2024-10-30</t>
        </is>
      </c>
      <c r="B85" t="n">
        <v>24718</v>
      </c>
      <c r="C85" s="5">
        <f>(B85-B84)/B84</f>
        <v/>
      </c>
      <c r="D85" t="n">
        <v>1258.63</v>
      </c>
      <c r="E85" s="5">
        <f>(D85-D84)/D84</f>
        <v/>
      </c>
    </row>
    <row r="86">
      <c r="A86" t="inlineStr">
        <is>
          <t>2024-10-31</t>
        </is>
      </c>
      <c r="B86" t="n">
        <v>24934</v>
      </c>
      <c r="C86" s="5">
        <f>(B86-B85)/B85</f>
        <v/>
      </c>
      <c r="D86" t="n">
        <v>1264.48</v>
      </c>
      <c r="E86" s="5">
        <f>(D86-D85)/D85</f>
        <v/>
      </c>
    </row>
    <row r="87">
      <c r="A87" t="inlineStr">
        <is>
          <t>2024-11-01</t>
        </is>
      </c>
      <c r="B87" t="n">
        <v>24394</v>
      </c>
      <c r="C87" s="5">
        <f>(B87-B86)/B86</f>
        <v/>
      </c>
      <c r="D87" t="n">
        <v>1254.89</v>
      </c>
      <c r="E87" s="5">
        <f>(D87-D86)/D86</f>
        <v/>
      </c>
    </row>
    <row r="88">
      <c r="A88" t="inlineStr">
        <is>
          <t>2024-11-04</t>
        </is>
      </c>
      <c r="B88" t="n">
        <v>24754</v>
      </c>
      <c r="C88" s="5">
        <f>(B88-B87)/B87</f>
        <v/>
      </c>
      <c r="D88" t="n">
        <v>1244.71</v>
      </c>
      <c r="E88" s="5">
        <f>(D88-D87)/D87</f>
        <v/>
      </c>
    </row>
    <row r="89">
      <c r="A89" t="inlineStr">
        <is>
          <t>2024-11-05</t>
        </is>
      </c>
      <c r="B89" t="n">
        <v>24538</v>
      </c>
      <c r="C89" s="5">
        <f>(B89-B88)/B88</f>
        <v/>
      </c>
      <c r="D89" t="n">
        <v>1245.76</v>
      </c>
      <c r="E89" s="5">
        <f>(D89-D88)/D88</f>
        <v/>
      </c>
    </row>
    <row r="90">
      <c r="A90" t="inlineStr">
        <is>
          <t>2024-11-06</t>
        </is>
      </c>
      <c r="B90" t="n">
        <v>25150</v>
      </c>
      <c r="C90" s="5">
        <f>(B90-B89)/B89</f>
        <v/>
      </c>
      <c r="D90" t="n">
        <v>1261.28</v>
      </c>
      <c r="E90" s="5">
        <f>(D90-D89)/D89</f>
        <v/>
      </c>
    </row>
    <row r="91">
      <c r="A91" t="inlineStr">
        <is>
          <t>2024-11-07</t>
        </is>
      </c>
      <c r="B91" t="n">
        <v>24934</v>
      </c>
      <c r="C91" s="5">
        <f>(B91-B90)/B90</f>
        <v/>
      </c>
      <c r="D91" t="n">
        <v>1259.75</v>
      </c>
      <c r="E91" s="5">
        <f>(D91-D90)/D90</f>
        <v/>
      </c>
    </row>
    <row r="92">
      <c r="A92" t="inlineStr">
        <is>
          <t>2024-11-08</t>
        </is>
      </c>
      <c r="B92" t="n">
        <v>24826</v>
      </c>
      <c r="C92" s="5">
        <f>(B92-B91)/B91</f>
        <v/>
      </c>
      <c r="D92" t="n">
        <v>1252.56</v>
      </c>
      <c r="E92" s="5">
        <f>(D92-D91)/D91</f>
        <v/>
      </c>
    </row>
    <row r="93">
      <c r="A93" t="inlineStr">
        <is>
          <t>2024-11-11</t>
        </is>
      </c>
      <c r="B93" t="n">
        <v>24934</v>
      </c>
      <c r="C93" s="5">
        <f>(B93-B92)/B92</f>
        <v/>
      </c>
      <c r="D93" t="n">
        <v>1250.32</v>
      </c>
      <c r="E93" s="5">
        <f>(D93-D92)/D92</f>
        <v/>
      </c>
    </row>
    <row r="94">
      <c r="A94" t="inlineStr">
        <is>
          <t>2024-11-12</t>
        </is>
      </c>
      <c r="B94" t="n">
        <v>25006</v>
      </c>
      <c r="C94" s="5">
        <f>(B94-B93)/B93</f>
        <v/>
      </c>
      <c r="D94" t="n">
        <v>1244.82</v>
      </c>
      <c r="E94" s="5">
        <f>(D94-D93)/D93</f>
        <v/>
      </c>
    </row>
    <row r="95">
      <c r="A95" t="inlineStr">
        <is>
          <t>2024-11-13</t>
        </is>
      </c>
      <c r="B95" t="n">
        <v>24898</v>
      </c>
      <c r="C95" s="5">
        <f>(B95-B94)/B94</f>
        <v/>
      </c>
      <c r="D95" t="n">
        <v>1246.04</v>
      </c>
      <c r="E95" s="5">
        <f>(D95-D94)/D94</f>
        <v/>
      </c>
    </row>
    <row r="96">
      <c r="A96" t="inlineStr">
        <is>
          <t>2024-11-14</t>
        </is>
      </c>
      <c r="B96" t="n">
        <v>23711</v>
      </c>
      <c r="C96" s="5">
        <f>(B96-B95)/B95</f>
        <v/>
      </c>
      <c r="D96" t="n">
        <v>1231.89</v>
      </c>
      <c r="E96" s="5">
        <f>(D96-D95)/D95</f>
        <v/>
      </c>
    </row>
    <row r="97">
      <c r="A97" t="inlineStr">
        <is>
          <t>2024-11-15</t>
        </is>
      </c>
      <c r="B97" t="n">
        <v>23243</v>
      </c>
      <c r="C97" s="5">
        <f>(B97-B96)/B96</f>
        <v/>
      </c>
      <c r="D97" t="n">
        <v>1218.57</v>
      </c>
      <c r="E97" s="5">
        <f>(D97-D96)/D96</f>
        <v/>
      </c>
    </row>
    <row r="98">
      <c r="A98" t="inlineStr">
        <is>
          <t>2024-11-18</t>
        </is>
      </c>
      <c r="B98" t="n">
        <v>23747</v>
      </c>
      <c r="C98" s="5">
        <f>(B98-B97)/B97</f>
        <v/>
      </c>
      <c r="D98" t="n">
        <v>1217.12</v>
      </c>
      <c r="E98" s="5">
        <f>(D98-D97)/D97</f>
        <v/>
      </c>
    </row>
    <row r="99">
      <c r="A99" t="inlineStr">
        <is>
          <t>2024-11-19</t>
        </is>
      </c>
      <c r="B99" t="n">
        <v>23207</v>
      </c>
      <c r="C99" s="5">
        <f>(B99-B98)/B98</f>
        <v/>
      </c>
      <c r="D99" t="n">
        <v>1205.15</v>
      </c>
      <c r="E99" s="5">
        <f>(D99-D98)/D98</f>
        <v/>
      </c>
    </row>
    <row r="100">
      <c r="A100" t="inlineStr">
        <is>
          <t>2024-11-20</t>
        </is>
      </c>
      <c r="B100" t="n">
        <v>23531</v>
      </c>
      <c r="C100" s="5">
        <f>(B100-B99)/B99</f>
        <v/>
      </c>
      <c r="D100" t="n">
        <v>1216.54</v>
      </c>
      <c r="E100" s="5">
        <f>(D100-D99)/D99</f>
        <v/>
      </c>
    </row>
    <row r="101">
      <c r="A101" t="inlineStr">
        <is>
          <t>2024-11-21</t>
        </is>
      </c>
      <c r="B101" t="n">
        <v>23890</v>
      </c>
      <c r="C101" s="5">
        <f>(B101-B100)/B100</f>
        <v/>
      </c>
      <c r="D101" t="n">
        <v>1228.33</v>
      </c>
      <c r="E101" s="5">
        <f>(D101-D100)/D100</f>
        <v/>
      </c>
    </row>
    <row r="102">
      <c r="A102" t="inlineStr">
        <is>
          <t>2024-11-22</t>
        </is>
      </c>
      <c r="B102" t="n">
        <v>23747</v>
      </c>
      <c r="C102" s="5">
        <f>(B102-B101)/B101</f>
        <v/>
      </c>
      <c r="D102" t="n">
        <v>1228.1</v>
      </c>
      <c r="E102" s="5">
        <f>(D102-D101)/D101</f>
        <v/>
      </c>
    </row>
    <row r="103">
      <c r="A103" t="inlineStr">
        <is>
          <t>2024-11-25</t>
        </is>
      </c>
      <c r="B103" t="n">
        <v>24106</v>
      </c>
      <c r="C103" s="5">
        <f>(B103-B102)/B102</f>
        <v/>
      </c>
      <c r="D103" t="n">
        <v>1234.7</v>
      </c>
      <c r="E103" s="5">
        <f>(D103-D102)/D102</f>
        <v/>
      </c>
    </row>
    <row r="104">
      <c r="A104" t="inlineStr">
        <is>
          <t>2024-11-26</t>
        </is>
      </c>
      <c r="B104" t="n">
        <v>24142</v>
      </c>
      <c r="C104" s="5">
        <f>(B104-B103)/B103</f>
        <v/>
      </c>
      <c r="D104" t="n">
        <v>1242.13</v>
      </c>
      <c r="E104" s="5">
        <f>(D104-D103)/D103</f>
        <v/>
      </c>
    </row>
    <row r="105">
      <c r="A105" t="inlineStr">
        <is>
          <t>2024-11-27</t>
        </is>
      </c>
      <c r="B105" t="n">
        <v>23998</v>
      </c>
      <c r="C105" s="5">
        <f>(B105-B104)/B104</f>
        <v/>
      </c>
      <c r="D105" t="n">
        <v>1241.97</v>
      </c>
      <c r="E105" s="5">
        <f>(D105-D104)/D104</f>
        <v/>
      </c>
    </row>
    <row r="106">
      <c r="A106" t="inlineStr">
        <is>
          <t>2024-11-28</t>
        </is>
      </c>
      <c r="B106" t="n">
        <v>23783</v>
      </c>
      <c r="C106" s="5">
        <f>(B106-B105)/B105</f>
        <v/>
      </c>
      <c r="D106" t="n">
        <v>1242.11</v>
      </c>
      <c r="E106" s="5">
        <f>(D106-D105)/D105</f>
        <v/>
      </c>
    </row>
    <row r="107">
      <c r="A107" t="inlineStr">
        <is>
          <t>2024-11-29</t>
        </is>
      </c>
      <c r="B107" t="n">
        <v>23818</v>
      </c>
      <c r="C107" s="5">
        <f>(B107-B106)/B106</f>
        <v/>
      </c>
      <c r="D107" t="n">
        <v>1250.46</v>
      </c>
      <c r="E107" s="5">
        <f>(D107-D106)/D106</f>
        <v/>
      </c>
    </row>
    <row r="108">
      <c r="A108" t="inlineStr">
        <is>
          <t>2024-12-02</t>
        </is>
      </c>
      <c r="B108" t="n">
        <v>23854</v>
      </c>
      <c r="C108" s="5">
        <f>(B108-B107)/B107</f>
        <v/>
      </c>
      <c r="D108" t="n">
        <v>1251.21</v>
      </c>
      <c r="E108" s="5">
        <f>(D108-D107)/D107</f>
        <v/>
      </c>
    </row>
    <row r="109">
      <c r="A109" t="inlineStr">
        <is>
          <t>2024-12-03</t>
        </is>
      </c>
      <c r="B109" t="n">
        <v>23747</v>
      </c>
      <c r="C109" s="5">
        <f>(B109-B108)/B108</f>
        <v/>
      </c>
      <c r="D109" t="n">
        <v>1249.83</v>
      </c>
      <c r="E109" s="5">
        <f>(D109-D108)/D108</f>
        <v/>
      </c>
    </row>
    <row r="110">
      <c r="A110" t="inlineStr">
        <is>
          <t>2024-12-04</t>
        </is>
      </c>
      <c r="B110" t="n">
        <v>23387</v>
      </c>
      <c r="C110" s="5">
        <f>(B110-B109)/B109</f>
        <v/>
      </c>
      <c r="D110" t="n">
        <v>1240.41</v>
      </c>
      <c r="E110" s="5">
        <f>(D110-D109)/D109</f>
        <v/>
      </c>
    </row>
    <row r="111">
      <c r="A111" t="inlineStr">
        <is>
          <t>2024-12-05</t>
        </is>
      </c>
      <c r="B111" t="n">
        <v>25006</v>
      </c>
      <c r="C111" s="5">
        <f>(B111-B110)/B110</f>
        <v/>
      </c>
      <c r="D111" t="n">
        <v>1267.53</v>
      </c>
      <c r="E111" s="5">
        <f>(D111-D110)/D110</f>
        <v/>
      </c>
    </row>
    <row r="112">
      <c r="A112" t="inlineStr">
        <is>
          <t>2024-12-06</t>
        </is>
      </c>
      <c r="B112" t="n">
        <v>25042</v>
      </c>
      <c r="C112" s="5">
        <f>(B112-B111)/B111</f>
        <v/>
      </c>
      <c r="D112" t="n">
        <v>1270.14</v>
      </c>
      <c r="E112" s="5">
        <f>(D112-D111)/D111</f>
        <v/>
      </c>
    </row>
    <row r="113">
      <c r="A113" t="inlineStr">
        <is>
          <t>2024-12-09</t>
        </is>
      </c>
      <c r="B113" t="n">
        <v>25078</v>
      </c>
      <c r="C113" s="5">
        <f>(B113-B112)/B112</f>
        <v/>
      </c>
      <c r="D113" t="n">
        <v>1273.84</v>
      </c>
      <c r="E113" s="5">
        <f>(D113-D112)/D112</f>
        <v/>
      </c>
    </row>
    <row r="114">
      <c r="A114" t="inlineStr">
        <is>
          <t>2024-12-10</t>
        </is>
      </c>
      <c r="B114" t="n">
        <v>24898</v>
      </c>
      <c r="C114" s="5">
        <f>(B114-B113)/B113</f>
        <v/>
      </c>
      <c r="D114" t="n">
        <v>1272.07</v>
      </c>
      <c r="E114" s="5">
        <f>(D114-D113)/D113</f>
        <v/>
      </c>
    </row>
    <row r="115">
      <c r="A115" t="inlineStr">
        <is>
          <t>2024-12-11</t>
        </is>
      </c>
      <c r="B115" t="n">
        <v>24826</v>
      </c>
      <c r="C115" s="5">
        <f>(B115-B114)/B114</f>
        <v/>
      </c>
      <c r="D115" t="n">
        <v>1268.86</v>
      </c>
      <c r="E115" s="5">
        <f>(D115-D114)/D114</f>
        <v/>
      </c>
    </row>
    <row r="116">
      <c r="A116" t="inlineStr">
        <is>
          <t>2024-12-12</t>
        </is>
      </c>
      <c r="B116" t="n">
        <v>24790</v>
      </c>
      <c r="C116" s="5">
        <f>(B116-B115)/B115</f>
        <v/>
      </c>
      <c r="D116" t="n">
        <v>1267.35</v>
      </c>
      <c r="E116" s="5">
        <f>(D116-D115)/D115</f>
        <v/>
      </c>
    </row>
    <row r="117">
      <c r="A117" t="inlineStr">
        <is>
          <t>2024-12-13</t>
        </is>
      </c>
      <c r="B117" t="n">
        <v>24610</v>
      </c>
      <c r="C117" s="5">
        <f>(B117-B116)/B116</f>
        <v/>
      </c>
      <c r="D117" t="n">
        <v>1262.57</v>
      </c>
      <c r="E117" s="5">
        <f>(D117-D116)/D116</f>
        <v/>
      </c>
    </row>
    <row r="118">
      <c r="A118" t="inlineStr">
        <is>
          <t>2024-12-16</t>
        </is>
      </c>
      <c r="B118" t="n">
        <v>24898</v>
      </c>
      <c r="C118" s="5">
        <f>(B118-B117)/B117</f>
        <v/>
      </c>
      <c r="D118" t="n">
        <v>1263.79</v>
      </c>
      <c r="E118" s="5">
        <f>(D118-D117)/D117</f>
        <v/>
      </c>
    </row>
    <row r="119">
      <c r="A119" t="inlineStr">
        <is>
          <t>2024-12-17</t>
        </is>
      </c>
      <c r="B119" t="n">
        <v>24754</v>
      </c>
      <c r="C119" s="5">
        <f>(B119-B118)/B118</f>
        <v/>
      </c>
      <c r="D119" t="n">
        <v>1261.72</v>
      </c>
      <c r="E119" s="5">
        <f>(D119-D118)/D118</f>
        <v/>
      </c>
    </row>
    <row r="120">
      <c r="A120" t="inlineStr">
        <is>
          <t>2024-12-18</t>
        </is>
      </c>
      <c r="B120" t="n">
        <v>24790</v>
      </c>
      <c r="C120" s="5">
        <f>(B120-B119)/B119</f>
        <v/>
      </c>
      <c r="D120" t="n">
        <v>1266</v>
      </c>
      <c r="E120" s="5">
        <f>(D120-D119)/D119</f>
        <v/>
      </c>
    </row>
    <row r="121">
      <c r="A121" t="inlineStr">
        <is>
          <t>2024-12-19</t>
        </is>
      </c>
      <c r="B121" t="n">
        <v>24754</v>
      </c>
      <c r="C121" s="5">
        <f>(B121-B120)/B120</f>
        <v/>
      </c>
      <c r="D121" t="n">
        <v>1254.67</v>
      </c>
      <c r="E121" s="5">
        <f>(D121-D120)/D120</f>
        <v/>
      </c>
    </row>
    <row r="122">
      <c r="A122" t="inlineStr">
        <is>
          <t>2024-12-20</t>
        </is>
      </c>
      <c r="B122" t="n">
        <v>24574</v>
      </c>
      <c r="C122" s="5">
        <f>(B122-B121)/B121</f>
        <v/>
      </c>
      <c r="D122" t="n">
        <v>1257.5</v>
      </c>
      <c r="E122" s="5">
        <f>(D122-D121)/D121</f>
        <v/>
      </c>
    </row>
    <row r="123">
      <c r="A123" t="inlineStr">
        <is>
          <t>2024-12-23</t>
        </is>
      </c>
      <c r="B123" t="n">
        <v>24682</v>
      </c>
      <c r="C123" s="5">
        <f>(B123-B122)/B122</f>
        <v/>
      </c>
      <c r="D123" t="n">
        <v>1262.76</v>
      </c>
      <c r="E123" s="5">
        <f>(D123-D122)/D122</f>
        <v/>
      </c>
    </row>
    <row r="124">
      <c r="A124" t="inlineStr">
        <is>
          <t>2024-12-24</t>
        </is>
      </c>
      <c r="B124" t="n">
        <v>24250</v>
      </c>
      <c r="C124" s="5">
        <f>(B124-B123)/B123</f>
        <v/>
      </c>
      <c r="D124" t="n">
        <v>1260.36</v>
      </c>
      <c r="E124" s="5">
        <f>(D124-D123)/D123</f>
        <v/>
      </c>
    </row>
    <row r="125">
      <c r="A125" t="inlineStr">
        <is>
          <t>2024-12-25</t>
        </is>
      </c>
      <c r="B125" t="n">
        <v>24538</v>
      </c>
      <c r="C125" s="5">
        <f>(B125-B124)/B124</f>
        <v/>
      </c>
      <c r="D125" t="n">
        <v>1274.04</v>
      </c>
      <c r="E125" s="5">
        <f>(D125-D124)/D124</f>
        <v/>
      </c>
    </row>
    <row r="126">
      <c r="A126" t="inlineStr">
        <is>
          <t>2024-12-26</t>
        </is>
      </c>
      <c r="B126" t="n">
        <v>24322</v>
      </c>
      <c r="C126" s="5">
        <f>(B126-B125)/B125</f>
        <v/>
      </c>
      <c r="D126" t="n">
        <v>1272.87</v>
      </c>
      <c r="E126" s="5">
        <f>(D126-D125)/D125</f>
        <v/>
      </c>
    </row>
    <row r="127">
      <c r="A127" t="inlineStr">
        <is>
          <t>2024-12-27</t>
        </is>
      </c>
      <c r="B127" t="n">
        <v>24286</v>
      </c>
      <c r="C127" s="5">
        <f>(B127-B126)/B126</f>
        <v/>
      </c>
      <c r="D127" t="n">
        <v>1275.14</v>
      </c>
      <c r="E127" s="5">
        <f>(D127-D126)/D126</f>
        <v/>
      </c>
    </row>
    <row r="128">
      <c r="A128" t="inlineStr">
        <is>
          <t>2024-12-30</t>
        </is>
      </c>
      <c r="B128" t="n">
        <v>24178</v>
      </c>
      <c r="C128" s="5">
        <f>(B128-B127)/B127</f>
        <v/>
      </c>
      <c r="D128" t="n">
        <v>1272.02</v>
      </c>
      <c r="E128" s="5">
        <f>(D128-D127)/D127</f>
        <v/>
      </c>
    </row>
    <row r="129">
      <c r="A129" t="inlineStr">
        <is>
          <t>2024-12-31</t>
        </is>
      </c>
      <c r="B129" t="n">
        <v>23890</v>
      </c>
      <c r="C129" s="5">
        <f>(B129-B128)/B128</f>
        <v/>
      </c>
      <c r="D129" t="n">
        <v>1266.78</v>
      </c>
      <c r="E129" s="5">
        <f>(D129-D128)/D128</f>
        <v/>
      </c>
    </row>
    <row r="130">
      <c r="A130" t="inlineStr">
        <is>
          <t>2025-01-02</t>
        </is>
      </c>
      <c r="B130" t="n">
        <v>24178</v>
      </c>
      <c r="C130" s="5">
        <f>(B130-B129)/B129</f>
        <v/>
      </c>
      <c r="D130" t="n">
        <v>1269.71</v>
      </c>
      <c r="E130" s="5">
        <f>(D130-D129)/D129</f>
        <v/>
      </c>
    </row>
    <row r="131">
      <c r="A131" t="inlineStr">
        <is>
          <t>2025-01-03</t>
        </is>
      </c>
      <c r="B131" t="n">
        <v>23603</v>
      </c>
      <c r="C131" s="5">
        <f>(B131-B130)/B130</f>
        <v/>
      </c>
      <c r="D131" t="n">
        <v>1254.59</v>
      </c>
      <c r="E131" s="5">
        <f>(D131-D130)/D130</f>
        <v/>
      </c>
    </row>
    <row r="132">
      <c r="A132" t="inlineStr">
        <is>
          <t>2025-01-06</t>
        </is>
      </c>
      <c r="B132" t="n">
        <v>23243</v>
      </c>
      <c r="C132" s="5">
        <f>(B132-B131)/B131</f>
        <v/>
      </c>
      <c r="D132" t="n">
        <v>1246.35</v>
      </c>
      <c r="E132" s="5">
        <f>(D132-D131)/D131</f>
        <v/>
      </c>
    </row>
    <row r="133">
      <c r="A133" t="inlineStr">
        <is>
          <t>2025-01-07</t>
        </is>
      </c>
      <c r="B133" t="n">
        <v>22883</v>
      </c>
      <c r="C133" s="5">
        <f>(B133-B132)/B132</f>
        <v/>
      </c>
      <c r="D133" t="n">
        <v>1246.95</v>
      </c>
      <c r="E133" s="5">
        <f>(D133-D132)/D132</f>
        <v/>
      </c>
    </row>
    <row r="134">
      <c r="A134" t="inlineStr">
        <is>
          <t>2025-01-08</t>
        </is>
      </c>
      <c r="B134" t="n">
        <v>23135</v>
      </c>
      <c r="C134" s="5">
        <f>(B134-B133)/B133</f>
        <v/>
      </c>
      <c r="D134" t="n">
        <v>1251.02</v>
      </c>
      <c r="E134" s="5">
        <f>(D134-D133)/D133</f>
        <v/>
      </c>
    </row>
    <row r="135">
      <c r="A135" t="inlineStr">
        <is>
          <t>2025-01-09</t>
        </is>
      </c>
      <c r="B135" t="n">
        <v>22883</v>
      </c>
      <c r="C135" s="5">
        <f>(B135-B134)/B134</f>
        <v/>
      </c>
      <c r="D135" t="n">
        <v>1245.77</v>
      </c>
      <c r="E135" s="5">
        <f>(D135-D134)/D134</f>
        <v/>
      </c>
    </row>
    <row r="136">
      <c r="A136" t="inlineStr">
        <is>
          <t>2025-01-10</t>
        </is>
      </c>
      <c r="B136" t="n">
        <v>22667</v>
      </c>
      <c r="C136" s="5">
        <f>(B136-B135)/B135</f>
        <v/>
      </c>
      <c r="D136" t="n">
        <v>1230.48</v>
      </c>
      <c r="E136" s="5">
        <f>(D136-D135)/D135</f>
        <v/>
      </c>
    </row>
    <row r="137">
      <c r="A137" t="inlineStr">
        <is>
          <t>2025-01-13</t>
        </is>
      </c>
      <c r="B137" t="n">
        <v>23135</v>
      </c>
      <c r="C137" s="5">
        <f>(B137-B136)/B136</f>
        <v/>
      </c>
      <c r="D137" t="n">
        <v>1235.65</v>
      </c>
      <c r="E137" s="5">
        <f>(D137-D136)/D136</f>
        <v/>
      </c>
    </row>
    <row r="138">
      <c r="A138" t="inlineStr">
        <is>
          <t>2025-01-14</t>
        </is>
      </c>
      <c r="B138" t="n">
        <v>22919</v>
      </c>
      <c r="C138" s="5">
        <f>(B138-B137)/B137</f>
        <v/>
      </c>
      <c r="D138" t="n">
        <v>1229.07</v>
      </c>
      <c r="E138" s="5">
        <f>(D138-D137)/D137</f>
        <v/>
      </c>
    </row>
    <row r="139">
      <c r="A139" t="inlineStr">
        <is>
          <t>2025-01-15</t>
        </is>
      </c>
      <c r="B139" t="n">
        <v>23063</v>
      </c>
      <c r="C139" s="5">
        <f>(B139-B138)/B138</f>
        <v/>
      </c>
      <c r="D139" t="n">
        <v>1236.18</v>
      </c>
      <c r="E139" s="5">
        <f>(D139-D138)/D138</f>
        <v/>
      </c>
    </row>
    <row r="140">
      <c r="A140" t="inlineStr">
        <is>
          <t>2025-01-16</t>
        </is>
      </c>
      <c r="B140" t="n">
        <v>23315</v>
      </c>
      <c r="C140" s="5">
        <f>(B140-B139)/B139</f>
        <v/>
      </c>
      <c r="D140" t="n">
        <v>1242.36</v>
      </c>
      <c r="E140" s="5">
        <f>(D140-D139)/D139</f>
        <v/>
      </c>
    </row>
    <row r="141">
      <c r="A141" t="inlineStr">
        <is>
          <t>2025-01-17</t>
        </is>
      </c>
      <c r="B141" t="n">
        <v>23351</v>
      </c>
      <c r="C141" s="5">
        <f>(B141-B140)/B140</f>
        <v/>
      </c>
      <c r="D141" t="n">
        <v>1249.11</v>
      </c>
      <c r="E141" s="5">
        <f>(D141-D140)/D140</f>
        <v/>
      </c>
    </row>
    <row r="142">
      <c r="A142" t="inlineStr">
        <is>
          <t>2025-01-20</t>
        </is>
      </c>
      <c r="B142" t="n">
        <v>23207</v>
      </c>
      <c r="C142" s="5">
        <f>(B142-B141)/B141</f>
        <v/>
      </c>
      <c r="D142" t="n">
        <v>1249.55</v>
      </c>
      <c r="E142" s="5">
        <f>(D142-D141)/D141</f>
        <v/>
      </c>
    </row>
    <row r="143">
      <c r="A143" t="inlineStr">
        <is>
          <t>2025-01-21</t>
        </is>
      </c>
      <c r="B143" t="n">
        <v>23567</v>
      </c>
      <c r="C143" s="5">
        <f>(B143-B142)/B142</f>
        <v/>
      </c>
      <c r="D143" t="n">
        <v>1246.09</v>
      </c>
      <c r="E143" s="5">
        <f>(D143-D142)/D142</f>
        <v/>
      </c>
    </row>
    <row r="144">
      <c r="A144" t="inlineStr">
        <is>
          <t>2025-01-22</t>
        </is>
      </c>
      <c r="B144" t="n">
        <v>23531</v>
      </c>
      <c r="C144" s="5">
        <f>(B144-B143)/B143</f>
        <v/>
      </c>
      <c r="D144" t="n">
        <v>1242.53</v>
      </c>
      <c r="E144" s="5">
        <f>(D144-D143)/D143</f>
        <v/>
      </c>
    </row>
    <row r="145">
      <c r="A145" t="inlineStr">
        <is>
          <t>2025-01-23</t>
        </is>
      </c>
      <c r="B145" t="n">
        <v>24826</v>
      </c>
      <c r="C145" s="5">
        <f>(B145-B144)/B144</f>
        <v/>
      </c>
      <c r="D145" t="n">
        <v>1259.63</v>
      </c>
      <c r="E145" s="5">
        <f>(D145-D144)/D144</f>
        <v/>
      </c>
    </row>
    <row r="146">
      <c r="A146" t="inlineStr">
        <is>
          <t>2025-01-24</t>
        </is>
      </c>
      <c r="B146" t="n">
        <v>24754</v>
      </c>
      <c r="C146" s="5">
        <f>(B146-B145)/B145</f>
        <v/>
      </c>
      <c r="D146" t="n">
        <v>1265.05</v>
      </c>
      <c r="E146" s="5">
        <f>(D146-D145)/D145</f>
        <v/>
      </c>
    </row>
    <row r="147">
      <c r="A147" t="inlineStr">
        <is>
          <t>2025-02-03</t>
        </is>
      </c>
      <c r="B147" t="n">
        <v>24970</v>
      </c>
      <c r="C147" s="5">
        <f>(B147-B146)/B146</f>
        <v/>
      </c>
      <c r="D147" t="n">
        <v>1253.03</v>
      </c>
      <c r="E147" s="5">
        <f>(D147-D146)/D146</f>
        <v/>
      </c>
    </row>
    <row r="148">
      <c r="A148" t="inlineStr">
        <is>
          <t>2025-02-04</t>
        </is>
      </c>
      <c r="B148" t="n">
        <v>25042</v>
      </c>
      <c r="C148" s="5">
        <f>(B148-B147)/B147</f>
        <v/>
      </c>
      <c r="D148" t="n">
        <v>1264.68</v>
      </c>
      <c r="E148" s="5">
        <f>(D148-D147)/D147</f>
        <v/>
      </c>
    </row>
    <row r="149">
      <c r="A149" t="inlineStr">
        <is>
          <t>2025-02-05</t>
        </is>
      </c>
      <c r="B149" t="n">
        <v>24970</v>
      </c>
      <c r="C149" s="5">
        <f>(B149-B148)/B148</f>
        <v/>
      </c>
      <c r="D149" t="n">
        <v>1269.61</v>
      </c>
      <c r="E149" s="5">
        <f>(D149-D148)/D148</f>
        <v/>
      </c>
    </row>
    <row r="150">
      <c r="A150" t="inlineStr">
        <is>
          <t>2025-02-06</t>
        </is>
      </c>
      <c r="B150" t="n">
        <v>24861</v>
      </c>
      <c r="C150" s="5">
        <f>(B150-B149)/B149</f>
        <v/>
      </c>
      <c r="D150" t="n">
        <v>1271.48</v>
      </c>
      <c r="E150" s="5">
        <f>(D150-D149)/D149</f>
        <v/>
      </c>
    </row>
    <row r="151">
      <c r="A151" t="inlineStr">
        <is>
          <t>2025-02-07</t>
        </is>
      </c>
      <c r="B151" t="n">
        <v>24933</v>
      </c>
      <c r="C151" s="5">
        <f>(B151-B150)/B150</f>
        <v/>
      </c>
      <c r="D151" t="n">
        <v>1275.2</v>
      </c>
      <c r="E151" s="5">
        <f>(D151-D150)/D150</f>
        <v/>
      </c>
    </row>
    <row r="152">
      <c r="A152" t="inlineStr">
        <is>
          <t>2025-02-10</t>
        </is>
      </c>
      <c r="B152" t="n">
        <v>25078</v>
      </c>
      <c r="C152" s="5">
        <f>(B152-B151)/B151</f>
        <v/>
      </c>
      <c r="D152" t="n">
        <v>1263.26</v>
      </c>
      <c r="E152" s="5">
        <f>(D152-D151)/D151</f>
        <v/>
      </c>
    </row>
    <row r="153">
      <c r="A153" t="inlineStr">
        <is>
          <t>2025-02-11</t>
        </is>
      </c>
      <c r="B153" t="n">
        <v>25078</v>
      </c>
      <c r="C153" s="5">
        <f>(B153-B152)/B152</f>
        <v/>
      </c>
      <c r="D153" t="n">
        <v>1268.45</v>
      </c>
      <c r="E153" s="5">
        <f>(D153-D152)/D152</f>
        <v/>
      </c>
    </row>
    <row r="154">
      <c r="A154" t="inlineStr">
        <is>
          <t>2025-02-12</t>
        </is>
      </c>
      <c r="B154" t="n">
        <v>25078</v>
      </c>
      <c r="C154" s="5">
        <f>(B154-B153)/B153</f>
        <v/>
      </c>
      <c r="D154" t="n">
        <v>1266.91</v>
      </c>
      <c r="E154" s="5">
        <f>(D154-D153)/D153</f>
        <v/>
      </c>
    </row>
    <row r="155">
      <c r="A155" t="inlineStr">
        <is>
          <t>2025-02-13</t>
        </is>
      </c>
      <c r="B155" t="n">
        <v>25296</v>
      </c>
      <c r="C155" s="5">
        <f>(B155-B154)/B154</f>
        <v/>
      </c>
      <c r="D155" t="n">
        <v>1270.35</v>
      </c>
      <c r="E155" s="5">
        <f>(D155-D154)/D154</f>
        <v/>
      </c>
    </row>
    <row r="156">
      <c r="A156" t="inlineStr">
        <is>
          <t>2025-02-14</t>
        </is>
      </c>
      <c r="B156" t="n">
        <v>25622</v>
      </c>
      <c r="C156" s="5">
        <f>(B156-B155)/B155</f>
        <v/>
      </c>
      <c r="D156" t="n">
        <v>1276.08</v>
      </c>
      <c r="E156" s="5">
        <f>(D156-D155)/D155</f>
        <v/>
      </c>
    </row>
    <row r="157">
      <c r="A157" t="inlineStr">
        <is>
          <t>2025-02-17</t>
        </is>
      </c>
      <c r="B157" t="n">
        <v>25767</v>
      </c>
      <c r="C157" s="5">
        <f>(B157-B156)/B156</f>
        <v/>
      </c>
      <c r="D157" t="n">
        <v>1272.72</v>
      </c>
      <c r="E157" s="5">
        <f>(D157-D156)/D156</f>
        <v/>
      </c>
    </row>
    <row r="158">
      <c r="A158" t="inlineStr">
        <is>
          <t>2025-02-18</t>
        </is>
      </c>
      <c r="B158" t="n">
        <v>26021</v>
      </c>
      <c r="C158" s="5">
        <f>(B158-B157)/B157</f>
        <v/>
      </c>
      <c r="D158" t="n">
        <v>1278.14</v>
      </c>
      <c r="E158" s="5">
        <f>(D158-D157)/D157</f>
        <v/>
      </c>
    </row>
    <row r="159">
      <c r="A159" t="inlineStr">
        <is>
          <t>2025-02-19</t>
        </is>
      </c>
      <c r="B159" t="n">
        <v>26311</v>
      </c>
      <c r="C159" s="5">
        <f>(B159-B158)/B158</f>
        <v/>
      </c>
      <c r="D159" t="n">
        <v>1288.56</v>
      </c>
      <c r="E159" s="5">
        <f>(D159-D158)/D158</f>
        <v/>
      </c>
    </row>
    <row r="160">
      <c r="A160" t="inlineStr">
        <is>
          <t>2025-02-20</t>
        </is>
      </c>
      <c r="B160" t="n">
        <v>26311</v>
      </c>
      <c r="C160" s="5">
        <f>(B160-B159)/B159</f>
        <v/>
      </c>
      <c r="D160" t="n">
        <v>1292.98</v>
      </c>
      <c r="E160" s="5">
        <f>(D160-D159)/D159</f>
        <v/>
      </c>
    </row>
    <row r="161">
      <c r="A161" t="inlineStr">
        <is>
          <t>2025-02-21</t>
        </is>
      </c>
      <c r="B161" t="n">
        <v>26274</v>
      </c>
      <c r="C161" s="5">
        <f>(B161-B160)/B160</f>
        <v/>
      </c>
      <c r="D161" t="n">
        <v>1296.75</v>
      </c>
      <c r="E161" s="5">
        <f>(D161-D160)/D160</f>
        <v/>
      </c>
    </row>
    <row r="162">
      <c r="A162" t="inlineStr">
        <is>
          <t>2025-02-24</t>
        </is>
      </c>
      <c r="B162" t="n">
        <v>26637</v>
      </c>
      <c r="C162" s="5">
        <f>(B162-B161)/B161</f>
        <v/>
      </c>
      <c r="D162" t="n">
        <v>1304.56</v>
      </c>
      <c r="E162" s="5">
        <f>(D162-D161)/D161</f>
        <v/>
      </c>
    </row>
    <row r="163">
      <c r="A163" t="inlineStr">
        <is>
          <t>2025-02-25</t>
        </is>
      </c>
      <c r="B163" t="n">
        <v>26673</v>
      </c>
      <c r="C163" s="5">
        <f>(B163-B162)/B162</f>
        <v/>
      </c>
      <c r="D163" t="n">
        <v>1303.16</v>
      </c>
      <c r="E163" s="5">
        <f>(D163-D162)/D162</f>
        <v/>
      </c>
    </row>
    <row r="164">
      <c r="A164" t="inlineStr">
        <is>
          <t>2025-02-26</t>
        </is>
      </c>
      <c r="B164" t="n">
        <v>26528</v>
      </c>
      <c r="C164" s="5">
        <f>(B164-B163)/B163</f>
        <v/>
      </c>
      <c r="D164" t="n">
        <v>1302.96</v>
      </c>
      <c r="E164" s="5">
        <f>(D164-D163)/D163</f>
        <v/>
      </c>
    </row>
    <row r="165">
      <c r="A165" t="inlineStr">
        <is>
          <t>2025-02-27</t>
        </is>
      </c>
      <c r="B165" t="n">
        <v>26673</v>
      </c>
      <c r="C165" s="5">
        <f>(B165-B164)/B164</f>
        <v/>
      </c>
      <c r="D165" t="n">
        <v>1307.8</v>
      </c>
      <c r="E165" s="5">
        <f>(D165-D164)/D164</f>
        <v/>
      </c>
    </row>
    <row r="166">
      <c r="A166" t="inlineStr">
        <is>
          <t>2025-02-28</t>
        </is>
      </c>
      <c r="B166" t="n">
        <v>26419</v>
      </c>
      <c r="C166" s="5">
        <f>(B166-B165)/B165</f>
        <v/>
      </c>
      <c r="D166" t="n">
        <v>1305.36</v>
      </c>
      <c r="E166" s="5">
        <f>(D166-D165)/D165</f>
        <v/>
      </c>
    </row>
    <row r="167">
      <c r="A167" t="inlineStr">
        <is>
          <t>2025-03-03</t>
        </is>
      </c>
      <c r="B167" t="n">
        <v>27035</v>
      </c>
      <c r="C167" s="5">
        <f>(B167-B166)/B166</f>
        <v/>
      </c>
      <c r="D167" t="n">
        <v>1309.37</v>
      </c>
      <c r="E167" s="5">
        <f>(D167-D166)/D166</f>
        <v/>
      </c>
    </row>
    <row r="168">
      <c r="A168" t="inlineStr">
        <is>
          <t>2025-03-04</t>
        </is>
      </c>
      <c r="B168" t="n">
        <v>27144</v>
      </c>
      <c r="C168" s="5">
        <f>(B168-B167)/B167</f>
        <v/>
      </c>
      <c r="D168" t="n">
        <v>1311.91</v>
      </c>
      <c r="E168" s="5">
        <f>(D168-D167)/D167</f>
        <v/>
      </c>
    </row>
    <row r="169">
      <c r="A169" t="inlineStr">
        <is>
          <t>2025-03-05</t>
        </is>
      </c>
      <c r="B169" t="n">
        <v>26890</v>
      </c>
      <c r="C169" s="5">
        <f>(B169-B168)/B168</f>
        <v/>
      </c>
      <c r="D169" t="n">
        <v>1304.71</v>
      </c>
      <c r="E169" s="5">
        <f>(D169-D168)/D168</f>
        <v/>
      </c>
    </row>
    <row r="170">
      <c r="A170" t="inlineStr">
        <is>
          <t>2025-03-06</t>
        </is>
      </c>
      <c r="B170" t="n">
        <v>27905</v>
      </c>
      <c r="C170" s="5">
        <f>(B170-B169)/B169</f>
        <v/>
      </c>
      <c r="D170" t="n">
        <v>1318.22</v>
      </c>
      <c r="E170" s="5">
        <f>(D170-D169)/D169</f>
        <v/>
      </c>
    </row>
    <row r="171">
      <c r="A171" t="inlineStr">
        <is>
          <t>2025-03-07</t>
        </is>
      </c>
      <c r="B171" t="n">
        <v>28231</v>
      </c>
      <c r="C171" s="5">
        <f>(B171-B170)/B170</f>
        <v/>
      </c>
      <c r="D171" t="n">
        <v>1326.05</v>
      </c>
      <c r="E171" s="5">
        <f>(D171-D170)/D170</f>
        <v/>
      </c>
    </row>
    <row r="172">
      <c r="A172" t="inlineStr">
        <is>
          <t>2025-03-10</t>
        </is>
      </c>
      <c r="B172" t="n">
        <v>28449</v>
      </c>
      <c r="C172" s="5">
        <f>(B172-B171)/B171</f>
        <v/>
      </c>
      <c r="D172" t="n">
        <v>1330.28</v>
      </c>
      <c r="E172" s="5">
        <f>(D172-D171)/D171</f>
        <v/>
      </c>
    </row>
    <row r="173">
      <c r="A173" t="inlineStr">
        <is>
          <t>2025-03-11</t>
        </is>
      </c>
      <c r="B173" t="n">
        <v>28594</v>
      </c>
      <c r="C173" s="5">
        <f>(B173-B172)/B172</f>
        <v/>
      </c>
      <c r="D173" t="n">
        <v>1332.54</v>
      </c>
      <c r="E173" s="5">
        <f>(D173-D172)/D172</f>
        <v/>
      </c>
    </row>
    <row r="174">
      <c r="A174" t="inlineStr">
        <is>
          <t>2025-03-12</t>
        </is>
      </c>
      <c r="B174" t="n">
        <v>28449</v>
      </c>
      <c r="C174" s="5">
        <f>(B174-B173)/B173</f>
        <v/>
      </c>
      <c r="D174" t="n">
        <v>1334.41</v>
      </c>
      <c r="E174" s="5">
        <f>(D174-D173)/D173</f>
        <v/>
      </c>
    </row>
    <row r="175">
      <c r="A175" t="inlineStr">
        <is>
          <t>2025-03-13</t>
        </is>
      </c>
      <c r="B175" t="n">
        <v>28159</v>
      </c>
      <c r="C175" s="5">
        <f>(B175-B174)/B174</f>
        <v/>
      </c>
      <c r="D175" t="n">
        <v>1326.27</v>
      </c>
      <c r="E175" s="5">
        <f>(D175-D174)/D174</f>
        <v/>
      </c>
    </row>
    <row r="176">
      <c r="A176" t="inlineStr">
        <is>
          <t>2025-03-14</t>
        </is>
      </c>
      <c r="B176" t="n">
        <v>28195</v>
      </c>
      <c r="C176" s="5">
        <f>(B176-B175)/B175</f>
        <v/>
      </c>
      <c r="D176" t="n">
        <v>1326.15</v>
      </c>
      <c r="E176" s="5">
        <f>(D176-D175)/D175</f>
        <v/>
      </c>
    </row>
    <row r="177">
      <c r="A177" t="inlineStr">
        <is>
          <t>2025-03-17</t>
        </is>
      </c>
      <c r="B177" t="n">
        <v>28594</v>
      </c>
      <c r="C177" s="5">
        <f>(B177-B176)/B176</f>
        <v/>
      </c>
      <c r="D177" t="n">
        <v>1336.26</v>
      </c>
      <c r="E177" s="5">
        <f>(D177-D176)/D176</f>
        <v/>
      </c>
    </row>
    <row r="178">
      <c r="A178" t="inlineStr">
        <is>
          <t>2025-03-18</t>
        </is>
      </c>
      <c r="B178" t="n">
        <v>28340</v>
      </c>
      <c r="C178" s="5">
        <f>(B178-B177)/B177</f>
        <v/>
      </c>
      <c r="D178" t="n">
        <v>1330.97</v>
      </c>
      <c r="E178" s="5">
        <f>(D178-D177)/D177</f>
        <v/>
      </c>
    </row>
    <row r="179">
      <c r="A179" t="inlineStr">
        <is>
          <t>2025-03-19</t>
        </is>
      </c>
      <c r="B179" t="n">
        <v>28086</v>
      </c>
      <c r="C179" s="5">
        <f>(B179-B178)/B178</f>
        <v/>
      </c>
      <c r="D179" t="n">
        <v>1324.63</v>
      </c>
      <c r="E179" s="5">
        <f>(D179-D178)/D178</f>
        <v/>
      </c>
    </row>
    <row r="180">
      <c r="A180" t="inlineStr">
        <is>
          <t>2025-03-20</t>
        </is>
      </c>
      <c r="B180" t="n">
        <v>28413</v>
      </c>
      <c r="C180" s="5">
        <f>(B180-B179)/B179</f>
        <v/>
      </c>
      <c r="D180" t="n">
        <v>1323.93</v>
      </c>
      <c r="E180" s="5">
        <f>(D180-D179)/D179</f>
        <v/>
      </c>
    </row>
    <row r="181">
      <c r="A181" t="inlineStr">
        <is>
          <t>2025-03-21</t>
        </is>
      </c>
      <c r="B181" t="n">
        <v>28340</v>
      </c>
      <c r="C181" s="5">
        <f>(B181-B180)/B180</f>
        <v/>
      </c>
      <c r="D181" t="n">
        <v>1321.88</v>
      </c>
      <c r="E181" s="5">
        <f>(D181-D180)/D180</f>
        <v/>
      </c>
    </row>
    <row r="182">
      <c r="A182" t="inlineStr">
        <is>
          <t>2025-03-24</t>
        </is>
      </c>
      <c r="B182" t="n">
        <v>28594</v>
      </c>
      <c r="C182" s="5">
        <f>(B182-B181)/B181</f>
        <v/>
      </c>
      <c r="D182" t="n">
        <v>1330.32</v>
      </c>
      <c r="E182" s="5">
        <f>(D182-D181)/D181</f>
        <v/>
      </c>
    </row>
    <row r="183">
      <c r="A183" t="inlineStr">
        <is>
          <t>2025-03-25</t>
        </is>
      </c>
      <c r="B183" t="n">
        <v>28304</v>
      </c>
      <c r="C183" s="5">
        <f>(B183-B182)/B182</f>
        <v/>
      </c>
      <c r="D183" t="n">
        <v>1331.92</v>
      </c>
      <c r="E183" s="5">
        <f>(D183-D182)/D182</f>
        <v/>
      </c>
    </row>
    <row r="184">
      <c r="A184" t="inlineStr">
        <is>
          <t>2025-03-26</t>
        </is>
      </c>
      <c r="B184" t="n">
        <v>27833</v>
      </c>
      <c r="C184" s="5">
        <f>(B184-B183)/B183</f>
        <v/>
      </c>
      <c r="D184" t="n">
        <v>1326.09</v>
      </c>
      <c r="E184" s="5">
        <f>(D184-D183)/D183</f>
        <v/>
      </c>
    </row>
    <row r="185">
      <c r="A185" t="inlineStr">
        <is>
          <t>2025-03-27</t>
        </is>
      </c>
      <c r="B185" t="n">
        <v>27760</v>
      </c>
      <c r="C185" s="5">
        <f>(B185-B184)/B184</f>
        <v/>
      </c>
      <c r="D185" t="n">
        <v>1323.81</v>
      </c>
      <c r="E185" s="5">
        <f>(D185-D184)/D184</f>
        <v/>
      </c>
    </row>
    <row r="186">
      <c r="A186" t="inlineStr">
        <is>
          <t>2025-03-28</t>
        </is>
      </c>
      <c r="B186" t="n">
        <v>27615</v>
      </c>
      <c r="C186" s="5">
        <f>(B186-B185)/B185</f>
        <v/>
      </c>
      <c r="D186" t="n">
        <v>1317.46</v>
      </c>
      <c r="E186" s="5">
        <f>(D186-D185)/D185</f>
        <v/>
      </c>
    </row>
    <row r="187">
      <c r="A187" t="inlineStr">
        <is>
          <t>2025-03-31</t>
        </is>
      </c>
      <c r="B187" t="n">
        <v>27760</v>
      </c>
      <c r="C187" s="5">
        <f>(B187-B186)/B186</f>
        <v/>
      </c>
      <c r="D187" t="n">
        <v>1306.86</v>
      </c>
      <c r="E187" s="5">
        <f>(D187-D186)/D186</f>
        <v/>
      </c>
    </row>
    <row r="188">
      <c r="A188" t="inlineStr">
        <is>
          <t>2025-04-01</t>
        </is>
      </c>
      <c r="B188" t="n">
        <v>28268</v>
      </c>
      <c r="C188" s="5">
        <f>(B188-B187)/B187</f>
        <v/>
      </c>
      <c r="D188" t="n">
        <v>1317.33</v>
      </c>
      <c r="E188" s="5">
        <f>(D188-D187)/D187</f>
        <v/>
      </c>
    </row>
    <row r="189">
      <c r="A189" t="inlineStr">
        <is>
          <t>2025-04-02</t>
        </is>
      </c>
      <c r="B189" t="n">
        <v>28268</v>
      </c>
      <c r="C189" s="5">
        <f>(B189-B188)/B188</f>
        <v/>
      </c>
      <c r="D189" t="n">
        <v>1317.83</v>
      </c>
      <c r="E189" s="5">
        <f>(D189-D188)/D188</f>
        <v/>
      </c>
    </row>
    <row r="190">
      <c r="A190" t="inlineStr">
        <is>
          <t>2025-04-03</t>
        </is>
      </c>
      <c r="B190" t="n">
        <v>26311</v>
      </c>
      <c r="C190" s="5">
        <f>(B190-B189)/B189</f>
        <v/>
      </c>
      <c r="D190" t="n">
        <v>1229.84</v>
      </c>
      <c r="E190" s="5">
        <f>(D190-D189)/D189</f>
        <v/>
      </c>
    </row>
    <row r="191">
      <c r="A191" t="inlineStr">
        <is>
          <t>2025-04-04</t>
        </is>
      </c>
      <c r="B191" t="n">
        <v>26818</v>
      </c>
      <c r="C191" s="5">
        <f>(B191-B190)/B190</f>
        <v/>
      </c>
      <c r="D191" t="n">
        <v>1210.67</v>
      </c>
      <c r="E191" s="5">
        <f>(D191-D190)/D190</f>
        <v/>
      </c>
    </row>
    <row r="192">
      <c r="A192" t="inlineStr">
        <is>
          <t>2025-04-08</t>
        </is>
      </c>
      <c r="B192" t="n">
        <v>24970</v>
      </c>
      <c r="C192" s="5">
        <f>(B192-B191)/B191</f>
        <v/>
      </c>
      <c r="D192" t="n">
        <v>1132.79</v>
      </c>
      <c r="E192" s="5">
        <f>(D192-D191)/D191</f>
        <v/>
      </c>
    </row>
    <row r="193">
      <c r="A193" t="inlineStr">
        <is>
          <t>2025-04-09</t>
        </is>
      </c>
      <c r="B193" t="n">
        <v>23230</v>
      </c>
      <c r="C193" s="5">
        <f>(B193-B192)/B192</f>
        <v/>
      </c>
      <c r="D193" t="n">
        <v>1094.3</v>
      </c>
      <c r="E193" s="5">
        <f>(D193-D192)/D192</f>
        <v/>
      </c>
    </row>
    <row r="194">
      <c r="A194" t="inlineStr">
        <is>
          <t>2025-04-10</t>
        </is>
      </c>
      <c r="B194" t="n">
        <v>24825</v>
      </c>
      <c r="C194" s="5">
        <f>(B194-B193)/B193</f>
        <v/>
      </c>
      <c r="D194" t="n">
        <v>1168.34</v>
      </c>
      <c r="E194" s="5">
        <f>(D194-D193)/D193</f>
        <v/>
      </c>
    </row>
    <row r="195">
      <c r="A195" t="inlineStr">
        <is>
          <t>2025-04-11</t>
        </is>
      </c>
      <c r="B195" t="n">
        <v>26311</v>
      </c>
      <c r="C195" s="5">
        <f>(B195-B194)/B194</f>
        <v/>
      </c>
      <c r="D195" t="n">
        <v>1222.46</v>
      </c>
      <c r="E195" s="5">
        <f>(D195-D194)/D194</f>
        <v/>
      </c>
    </row>
    <row r="196">
      <c r="A196" t="inlineStr">
        <is>
          <t>2025-04-14</t>
        </is>
      </c>
      <c r="B196" t="n">
        <v>27035</v>
      </c>
      <c r="C196" s="5">
        <f>(B196-B195)/B195</f>
        <v/>
      </c>
      <c r="D196" t="n">
        <v>1241.44</v>
      </c>
      <c r="E196" s="5">
        <f>(D196-D195)/D195</f>
        <v/>
      </c>
    </row>
    <row r="197">
      <c r="A197" t="inlineStr">
        <is>
          <t>2025-04-15</t>
        </is>
      </c>
      <c r="B197" t="n">
        <v>26456</v>
      </c>
      <c r="C197" s="5">
        <f>(B197-B196)/B196</f>
        <v/>
      </c>
      <c r="D197" t="n">
        <v>1227.79</v>
      </c>
      <c r="E197" s="5">
        <f>(D197-D196)/D196</f>
        <v/>
      </c>
    </row>
    <row r="198">
      <c r="A198" t="inlineStr">
        <is>
          <t>2025-04-16</t>
        </is>
      </c>
      <c r="B198" t="n">
        <v>26673</v>
      </c>
      <c r="C198" s="5">
        <f>(B198-B197)/B197</f>
        <v/>
      </c>
      <c r="D198" t="n">
        <v>1210.3</v>
      </c>
      <c r="E198" s="5">
        <f>(D198-D197)/D197</f>
        <v/>
      </c>
    </row>
    <row r="199">
      <c r="A199" t="inlineStr">
        <is>
          <t>2025-04-17</t>
        </is>
      </c>
      <c r="B199" t="n">
        <v>27253</v>
      </c>
      <c r="C199" s="5">
        <f>(B199-B198)/B198</f>
        <v/>
      </c>
      <c r="D199" t="n">
        <v>1217.25</v>
      </c>
      <c r="E199" s="5">
        <f>(D199-D198)/D198</f>
        <v/>
      </c>
    </row>
    <row r="200">
      <c r="A200" t="inlineStr">
        <is>
          <t>2025-04-18</t>
        </is>
      </c>
      <c r="B200" t="n">
        <v>26854</v>
      </c>
      <c r="C200" s="5">
        <f>(B200-B199)/B199</f>
        <v/>
      </c>
      <c r="D200" t="n">
        <v>1219.12</v>
      </c>
      <c r="E200" s="5">
        <f>(D200-D199)/D199</f>
        <v/>
      </c>
    </row>
    <row r="201">
      <c r="A201" t="inlineStr">
        <is>
          <t>2025-04-21</t>
        </is>
      </c>
      <c r="B201" t="n">
        <v>25876</v>
      </c>
      <c r="C201" s="5">
        <f>(B201-B200)/B200</f>
        <v/>
      </c>
      <c r="D201" t="n">
        <v>1207.07</v>
      </c>
      <c r="E201" s="5">
        <f>(D201-D200)/D200</f>
        <v/>
      </c>
    </row>
    <row r="202">
      <c r="A202" t="inlineStr">
        <is>
          <t>2025-04-22</t>
        </is>
      </c>
      <c r="B202" t="n">
        <v>25948</v>
      </c>
      <c r="C202" s="5">
        <f>(B202-B201)/B201</f>
        <v/>
      </c>
      <c r="D202" t="n">
        <v>1197.13</v>
      </c>
      <c r="E202" s="5">
        <f>(D202-D201)/D201</f>
        <v/>
      </c>
    </row>
    <row r="203">
      <c r="A203" t="inlineStr">
        <is>
          <t>2025-04-23</t>
        </is>
      </c>
      <c r="B203" t="n">
        <v>26311</v>
      </c>
      <c r="C203" s="5">
        <f>(B203-B202)/B202</f>
        <v/>
      </c>
      <c r="D203" t="n">
        <v>1211</v>
      </c>
      <c r="E203" s="5">
        <f>(D203-D202)/D202</f>
        <v/>
      </c>
    </row>
    <row r="204">
      <c r="A204" t="inlineStr">
        <is>
          <t>2025-04-24</t>
        </is>
      </c>
      <c r="B204" t="n">
        <v>26637</v>
      </c>
      <c r="C204" s="5">
        <f>(B204-B203)/B203</f>
        <v/>
      </c>
      <c r="D204" t="n">
        <v>1223.35</v>
      </c>
      <c r="E204" s="5">
        <f>(D204-D203)/D203</f>
        <v/>
      </c>
    </row>
    <row r="205">
      <c r="A205" t="inlineStr">
        <is>
          <t>2025-04-25</t>
        </is>
      </c>
      <c r="B205" t="n">
        <v>26347</v>
      </c>
      <c r="C205" s="5">
        <f>(B205-B204)/B204</f>
        <v/>
      </c>
      <c r="D205" t="n">
        <v>1229.23</v>
      </c>
      <c r="E205" s="5">
        <f>(D205-D204)/D204</f>
        <v/>
      </c>
    </row>
    <row r="206">
      <c r="A206" t="inlineStr">
        <is>
          <t>2025-04-28</t>
        </is>
      </c>
      <c r="B206" t="n">
        <v>26637</v>
      </c>
      <c r="C206" s="5">
        <f>(B206-B205)/B205</f>
        <v/>
      </c>
      <c r="D206" t="n">
        <v>1226.8</v>
      </c>
      <c r="E206" s="5">
        <f>(D206-D205)/D205</f>
        <v/>
      </c>
    </row>
    <row r="207">
      <c r="A207" t="inlineStr">
        <is>
          <t>2025-04-29</t>
        </is>
      </c>
      <c r="B207" t="n">
        <v>26818</v>
      </c>
      <c r="C207" s="5">
        <f>(B207-B206)/B206</f>
        <v/>
      </c>
      <c r="D207" t="n">
        <v>1226.3</v>
      </c>
      <c r="E207" s="5">
        <f>(D207-D206)/D206</f>
        <v/>
      </c>
    </row>
    <row r="208">
      <c r="A208" t="inlineStr">
        <is>
          <t>2025-05-05</t>
        </is>
      </c>
      <c r="B208" t="n">
        <v>26818</v>
      </c>
      <c r="C208" s="5">
        <f>(B208-B207)/B207</f>
        <v/>
      </c>
      <c r="D208" t="n">
        <v>1240.05</v>
      </c>
      <c r="E208" s="5">
        <f>(D208-D207)/D207</f>
        <v/>
      </c>
    </row>
    <row r="209">
      <c r="A209" t="inlineStr">
        <is>
          <t>2025-05-06</t>
        </is>
      </c>
      <c r="B209" t="n">
        <v>26818</v>
      </c>
      <c r="C209" s="5">
        <f>(B209-B208)/B208</f>
        <v/>
      </c>
      <c r="D209" t="n">
        <v>1241.95</v>
      </c>
      <c r="E209" s="5">
        <f>(D209-D208)/D208</f>
        <v/>
      </c>
    </row>
    <row r="210">
      <c r="A210" t="inlineStr">
        <is>
          <t>2025-05-07</t>
        </is>
      </c>
      <c r="B210" t="n">
        <v>26383</v>
      </c>
      <c r="C210" s="5">
        <f>(B210-B209)/B209</f>
        <v/>
      </c>
      <c r="D210" t="n">
        <v>1250.37</v>
      </c>
      <c r="E210" s="5">
        <f>(D210-D209)/D209</f>
        <v/>
      </c>
    </row>
    <row r="211">
      <c r="A211" t="inlineStr">
        <is>
          <t>2025-05-08</t>
        </is>
      </c>
      <c r="B211" t="n">
        <v>26709</v>
      </c>
      <c r="C211" s="5">
        <f>(B211-B210)/B210</f>
        <v/>
      </c>
      <c r="D211" t="n">
        <v>1269.8</v>
      </c>
      <c r="E211" s="5">
        <f>(D211-D210)/D210</f>
        <v/>
      </c>
    </row>
    <row r="212">
      <c r="A212" t="inlineStr">
        <is>
          <t>2025-05-09</t>
        </is>
      </c>
      <c r="B212" t="n">
        <v>26347</v>
      </c>
      <c r="C212" s="5">
        <f>(B212-B211)/B211</f>
        <v/>
      </c>
      <c r="D212" t="n">
        <v>1267.3</v>
      </c>
      <c r="E212" s="5">
        <f>(D212-D211)/D211</f>
        <v/>
      </c>
    </row>
    <row r="213">
      <c r="A213" t="inlineStr">
        <is>
          <t>2025-05-12</t>
        </is>
      </c>
      <c r="B213" t="n">
        <v>26419</v>
      </c>
      <c r="C213" s="5">
        <f>(B213-B212)/B212</f>
        <v/>
      </c>
      <c r="D213" t="n">
        <v>1283.26</v>
      </c>
      <c r="E213" s="5">
        <f>(D213-D212)/D212</f>
        <v/>
      </c>
    </row>
    <row r="214">
      <c r="A214" t="inlineStr">
        <is>
          <t>2025-05-13</t>
        </is>
      </c>
      <c r="B214" t="n">
        <v>26709</v>
      </c>
      <c r="C214" s="5">
        <f>(B214-B213)/B213</f>
        <v/>
      </c>
      <c r="D214" t="n">
        <v>1293.43</v>
      </c>
      <c r="E214" s="5">
        <f>(D214-D213)/D213</f>
        <v/>
      </c>
    </row>
    <row r="215">
      <c r="A215" t="inlineStr">
        <is>
          <t>2025-05-14</t>
        </is>
      </c>
      <c r="B215" t="n">
        <v>27325</v>
      </c>
      <c r="C215" s="5">
        <f>(B215-B214)/B214</f>
        <v/>
      </c>
      <c r="D215" t="n">
        <v>1309.73</v>
      </c>
      <c r="E215" s="5">
        <f>(D215-D214)/D214</f>
        <v/>
      </c>
    </row>
    <row r="216">
      <c r="A216" t="inlineStr">
        <is>
          <t>2025-05-15</t>
        </is>
      </c>
      <c r="B216" t="n">
        <v>27470</v>
      </c>
      <c r="C216" s="5">
        <f>(B216-B215)/B215</f>
        <v/>
      </c>
      <c r="D216" t="n">
        <v>1313.2</v>
      </c>
      <c r="E216" s="5">
        <f>(D216-D215)/D215</f>
        <v/>
      </c>
    </row>
    <row r="217">
      <c r="A217" t="inlineStr">
        <is>
          <t>2025-05-16</t>
        </is>
      </c>
      <c r="B217" t="n">
        <v>27217</v>
      </c>
      <c r="C217" s="5">
        <f>(B217-B216)/B216</f>
        <v/>
      </c>
      <c r="D217" t="n">
        <v>1301.39</v>
      </c>
      <c r="E217" s="5">
        <f>(D217-D216)/D216</f>
        <v/>
      </c>
    </row>
    <row r="218">
      <c r="A218" t="inlineStr">
        <is>
          <t>2025-05-19</t>
        </is>
      </c>
      <c r="B218" t="n">
        <v>26601</v>
      </c>
      <c r="C218" s="5">
        <f>(B218-B217)/B217</f>
        <v/>
      </c>
      <c r="D218" t="n">
        <v>1296.29</v>
      </c>
      <c r="E218" s="5">
        <f>(D218-D217)/D217</f>
        <v/>
      </c>
    </row>
    <row r="219">
      <c r="A219" t="inlineStr">
        <is>
          <t>2025-05-20</t>
        </is>
      </c>
      <c r="B219" t="n">
        <v>26782</v>
      </c>
      <c r="C219" s="5">
        <f>(B219-B218)/B218</f>
        <v/>
      </c>
      <c r="D219" t="n">
        <v>1315.15</v>
      </c>
      <c r="E219" s="5">
        <f>(D219-D218)/D218</f>
        <v/>
      </c>
    </row>
    <row r="220">
      <c r="A220" t="inlineStr">
        <is>
          <t>2025-05-21</t>
        </is>
      </c>
      <c r="B220" t="n">
        <v>26818</v>
      </c>
      <c r="C220" s="5">
        <f>(B220-B219)/B219</f>
        <v/>
      </c>
      <c r="D220" t="n">
        <v>1323.05</v>
      </c>
      <c r="E220" s="5">
        <f>(D220-D219)/D219</f>
        <v/>
      </c>
    </row>
    <row r="221">
      <c r="A221" t="inlineStr">
        <is>
          <t>2025-05-22</t>
        </is>
      </c>
      <c r="B221" t="n">
        <v>26456</v>
      </c>
      <c r="C221" s="5">
        <f>(B221-B220)/B220</f>
        <v/>
      </c>
      <c r="D221" t="n">
        <v>1313.84</v>
      </c>
      <c r="E221" s="5">
        <f>(D221-D220)/D220</f>
        <v/>
      </c>
    </row>
    <row r="222">
      <c r="A222" t="inlineStr">
        <is>
          <t>2025-05-23</t>
        </is>
      </c>
      <c r="B222" t="n">
        <v>26274</v>
      </c>
      <c r="C222" s="5">
        <f>(B222-B221)/B221</f>
        <v/>
      </c>
      <c r="D222" t="n">
        <v>1314.46</v>
      </c>
      <c r="E222" s="5">
        <f>(D222-D221)/D221</f>
        <v/>
      </c>
    </row>
    <row r="223">
      <c r="A223" t="inlineStr">
        <is>
          <t>2025-05-26</t>
        </is>
      </c>
      <c r="B223" t="n">
        <v>26818</v>
      </c>
      <c r="C223" s="5">
        <f>(B223-B222)/B222</f>
        <v/>
      </c>
      <c r="D223" t="n">
        <v>1332.51</v>
      </c>
      <c r="E223" s="5">
        <f>(D223-D222)/D222</f>
        <v/>
      </c>
    </row>
    <row r="224">
      <c r="A224" t="inlineStr">
        <is>
          <t>2025-05-27</t>
        </is>
      </c>
      <c r="B224" t="n">
        <v>26818</v>
      </c>
      <c r="C224" s="5">
        <f>(B224-B223)/B223</f>
        <v/>
      </c>
      <c r="D224" t="n">
        <v>1339.81</v>
      </c>
      <c r="E224" s="5">
        <f>(D224-D223)/D223</f>
        <v/>
      </c>
    </row>
    <row r="225">
      <c r="A225" t="inlineStr">
        <is>
          <t>2025-05-28</t>
        </is>
      </c>
      <c r="B225" t="n">
        <v>26492</v>
      </c>
      <c r="C225" s="5">
        <f>(B225-B224)/B224</f>
        <v/>
      </c>
      <c r="D225" t="n">
        <v>1341.87</v>
      </c>
      <c r="E225" s="5">
        <f>(D225-D224)/D224</f>
        <v/>
      </c>
    </row>
    <row r="226">
      <c r="A226" t="inlineStr">
        <is>
          <t>2025-05-29</t>
        </is>
      </c>
      <c r="B226" t="n">
        <v>26202</v>
      </c>
      <c r="C226" s="5">
        <f>(B226-B225)/B225</f>
        <v/>
      </c>
      <c r="D226" t="n">
        <v>1341.86</v>
      </c>
      <c r="E226" s="5">
        <f>(D226-D225)/D225</f>
        <v/>
      </c>
    </row>
    <row r="227">
      <c r="A227" t="inlineStr">
        <is>
          <t>2025-05-30</t>
        </is>
      </c>
      <c r="B227" t="n">
        <v>26093</v>
      </c>
      <c r="C227" s="5">
        <f>(B227-B226)/B226</f>
        <v/>
      </c>
      <c r="D227" t="n">
        <v>1332.6</v>
      </c>
      <c r="E227" s="5">
        <f>(D227-D226)/D226</f>
        <v/>
      </c>
    </row>
    <row r="228">
      <c r="A228" t="inlineStr">
        <is>
          <t>2025-06-02</t>
        </is>
      </c>
      <c r="B228" t="n">
        <v>26311</v>
      </c>
      <c r="C228" s="5">
        <f>(B228-B227)/B227</f>
        <v/>
      </c>
      <c r="D228" t="n">
        <v>1336.3</v>
      </c>
      <c r="E228" s="5">
        <f>(D228-D227)/D227</f>
        <v/>
      </c>
    </row>
    <row r="229">
      <c r="A229" t="inlineStr">
        <is>
          <t>2025-06-03</t>
        </is>
      </c>
      <c r="B229" t="n">
        <v>26963</v>
      </c>
      <c r="C229" s="5">
        <f>(B229-B228)/B228</f>
        <v/>
      </c>
      <c r="D229" t="n">
        <v>1347.25</v>
      </c>
      <c r="E229" s="5">
        <f>(D229-D228)/D228</f>
        <v/>
      </c>
    </row>
    <row r="230">
      <c r="A230" t="inlineStr">
        <is>
          <t>2025-06-04</t>
        </is>
      </c>
      <c r="B230" t="n">
        <v>26564</v>
      </c>
      <c r="C230" s="5">
        <f>(B230-B229)/B229</f>
        <v/>
      </c>
      <c r="D230" t="n">
        <v>1345.74</v>
      </c>
      <c r="E230" s="5">
        <f>(D230-D229)/D229</f>
        <v/>
      </c>
    </row>
    <row r="231">
      <c r="A231" t="inlineStr">
        <is>
          <t>2025-06-05</t>
        </is>
      </c>
      <c r="B231" t="n">
        <v>26709</v>
      </c>
      <c r="C231" s="5">
        <f>(B231-B230)/B230</f>
        <v/>
      </c>
      <c r="D231" t="n">
        <v>1342.09</v>
      </c>
      <c r="E231" s="5">
        <f>(D231-D230)/D230</f>
        <v/>
      </c>
    </row>
    <row r="232">
      <c r="A232" t="inlineStr">
        <is>
          <t>2025-06-06</t>
        </is>
      </c>
      <c r="B232" t="n">
        <v>26021</v>
      </c>
      <c r="C232" s="5">
        <f>(B232-B231)/B231</f>
        <v/>
      </c>
      <c r="D232" t="n">
        <v>1329.89</v>
      </c>
      <c r="E232" s="5">
        <f>(D232-D231)/D231</f>
        <v/>
      </c>
    </row>
    <row r="233">
      <c r="A233" t="inlineStr">
        <is>
          <t>2025-06-09</t>
        </is>
      </c>
      <c r="B233" t="n">
        <v>25513</v>
      </c>
      <c r="C233" s="5">
        <f>(B233-B232)/B232</f>
        <v/>
      </c>
      <c r="D233" t="n">
        <v>1310.57</v>
      </c>
      <c r="E233" s="5">
        <f>(D233-D232)/D232</f>
        <v/>
      </c>
    </row>
    <row r="234">
      <c r="A234" t="inlineStr">
        <is>
          <t>2025-06-10</t>
        </is>
      </c>
      <c r="B234" t="n">
        <v>25695</v>
      </c>
      <c r="C234" s="5">
        <f>(B234-B233)/B233</f>
        <v/>
      </c>
      <c r="D234" t="n">
        <v>1316.23</v>
      </c>
      <c r="E234" s="5">
        <f>(D234-D233)/D233</f>
        <v/>
      </c>
    </row>
    <row r="235">
      <c r="A235" t="inlineStr">
        <is>
          <t>2025-06-11</t>
        </is>
      </c>
      <c r="B235" t="n">
        <v>25695</v>
      </c>
      <c r="C235" s="5">
        <f>(B235-B234)/B234</f>
        <v/>
      </c>
      <c r="D235" t="n">
        <v>1315.2</v>
      </c>
      <c r="E235" s="5">
        <f>(D235-D234)/D234</f>
        <v/>
      </c>
    </row>
    <row r="236">
      <c r="A236" t="inlineStr">
        <is>
          <t>2025-06-12</t>
        </is>
      </c>
      <c r="B236" t="n">
        <v>26202</v>
      </c>
      <c r="C236" s="5">
        <f>(B236-B235)/B235</f>
        <v/>
      </c>
      <c r="D236" t="n">
        <v>1322.99</v>
      </c>
      <c r="E236" s="5">
        <f>(D236-D235)/D235</f>
        <v/>
      </c>
    </row>
    <row r="237">
      <c r="A237" t="inlineStr">
        <is>
          <t>2025-06-13</t>
        </is>
      </c>
      <c r="B237" t="n">
        <v>25622</v>
      </c>
      <c r="C237" s="5">
        <f>(B237-B236)/B236</f>
        <v/>
      </c>
      <c r="D237" t="n">
        <v>1315.49</v>
      </c>
      <c r="E237" s="5">
        <f>(D237-D236)/D236</f>
        <v/>
      </c>
    </row>
    <row r="238">
      <c r="A238" t="inlineStr">
        <is>
          <t>2025-06-16</t>
        </is>
      </c>
      <c r="B238" t="n">
        <v>26021</v>
      </c>
      <c r="C238" s="5">
        <f>(B238-B237)/B237</f>
        <v/>
      </c>
      <c r="D238" t="n">
        <v>1338.11</v>
      </c>
      <c r="E238" s="5">
        <f>(D238-D237)/D237</f>
        <v/>
      </c>
    </row>
    <row r="239">
      <c r="A239" t="inlineStr">
        <is>
          <t>2025-06-17</t>
        </is>
      </c>
      <c r="B239" t="n">
        <v>26129</v>
      </c>
      <c r="C239" s="5">
        <f>(B239-B238)/B238</f>
        <v/>
      </c>
      <c r="D239" t="n">
        <v>1347.69</v>
      </c>
      <c r="E239" s="5">
        <f>(D239-D238)/D238</f>
        <v/>
      </c>
    </row>
    <row r="240">
      <c r="A240" t="inlineStr">
        <is>
          <t>2025-06-18</t>
        </is>
      </c>
      <c r="B240" t="n">
        <v>25912</v>
      </c>
      <c r="C240" s="5">
        <f>(B240-B239)/B239</f>
        <v/>
      </c>
      <c r="D240" t="n">
        <v>1346.83</v>
      </c>
      <c r="E240" s="5">
        <f>(D240-D239)/D239</f>
        <v/>
      </c>
    </row>
    <row r="241">
      <c r="A241" t="inlineStr">
        <is>
          <t>2025-06-19</t>
        </is>
      </c>
      <c r="B241" t="n">
        <v>25803</v>
      </c>
      <c r="C241" s="5">
        <f>(B241-B240)/B240</f>
        <v/>
      </c>
      <c r="D241" t="n">
        <v>1352.04</v>
      </c>
      <c r="E241" s="5">
        <f>(D241-D240)/D240</f>
        <v/>
      </c>
    </row>
    <row r="242">
      <c r="A242" t="inlineStr">
        <is>
          <t>2025-06-20</t>
        </is>
      </c>
      <c r="B242" t="n">
        <v>25948</v>
      </c>
      <c r="C242" s="5">
        <f>(B242-B241)/B241</f>
        <v/>
      </c>
      <c r="D242" t="n">
        <v>1349.35</v>
      </c>
      <c r="E242" s="5">
        <f>(D242-D241)/D241</f>
        <v/>
      </c>
    </row>
    <row r="243">
      <c r="A243" t="inlineStr">
        <is>
          <t>2025-06-23</t>
        </is>
      </c>
      <c r="B243" t="n">
        <v>25513</v>
      </c>
      <c r="C243" s="5">
        <f>(B243-B242)/B242</f>
        <v/>
      </c>
      <c r="D243" t="n">
        <v>1358.18</v>
      </c>
      <c r="E243" s="5">
        <f>(D243-D242)/D242</f>
        <v/>
      </c>
    </row>
    <row r="244">
      <c r="A244" t="inlineStr">
        <is>
          <t>2025-06-24</t>
        </is>
      </c>
      <c r="B244" t="n">
        <v>25948</v>
      </c>
      <c r="C244" s="5">
        <f>(B244-B243)/B243</f>
        <v/>
      </c>
      <c r="D244" t="n">
        <v>1366.77</v>
      </c>
      <c r="E244" s="5">
        <f>(D244-D243)/D243</f>
        <v/>
      </c>
    </row>
    <row r="245">
      <c r="A245" t="inlineStr">
        <is>
          <t>2025-06-25</t>
        </is>
      </c>
      <c r="B245" t="n">
        <v>25984</v>
      </c>
      <c r="C245" s="5">
        <f>(B245-B244)/B244</f>
        <v/>
      </c>
      <c r="D245" t="n">
        <v>1366.75</v>
      </c>
      <c r="E245" s="5">
        <f>(D245-D244)/D244</f>
        <v/>
      </c>
    </row>
    <row r="246">
      <c r="A246" t="inlineStr">
        <is>
          <t>2025-06-26</t>
        </is>
      </c>
      <c r="B246" t="n">
        <v>25731</v>
      </c>
      <c r="C246" s="5">
        <f>(B246-B245)/B245</f>
        <v/>
      </c>
      <c r="D246" t="n">
        <v>1365.67</v>
      </c>
      <c r="E246" s="5">
        <f>(D246-D245)/D245</f>
        <v/>
      </c>
    </row>
    <row r="247">
      <c r="A247" t="inlineStr">
        <is>
          <t>2025-06-27</t>
        </is>
      </c>
      <c r="B247" t="n">
        <v>25695</v>
      </c>
      <c r="C247" s="5">
        <f>(B247-B246)/B246</f>
        <v/>
      </c>
      <c r="D247" t="n">
        <v>1371.44</v>
      </c>
      <c r="E247" s="5">
        <f>(D247-D246)/D246</f>
        <v/>
      </c>
    </row>
    <row r="248">
      <c r="A248" t="inlineStr">
        <is>
          <t>2025-06-30</t>
        </is>
      </c>
      <c r="B248" t="n">
        <v>25912</v>
      </c>
      <c r="C248" s="5">
        <f>(B248-B247)/B247</f>
        <v/>
      </c>
      <c r="D248" t="n">
        <v>1376.07</v>
      </c>
      <c r="E248" s="5">
        <f>(D248-D247)/D247</f>
        <v/>
      </c>
    </row>
    <row r="249">
      <c r="A249" t="inlineStr">
        <is>
          <t>2025-07-01</t>
        </is>
      </c>
      <c r="B249" t="n">
        <v>25658</v>
      </c>
      <c r="C249" s="5">
        <f>(B249-B248)/B248</f>
        <v/>
      </c>
      <c r="D249" t="n">
        <v>1377.84</v>
      </c>
      <c r="E249" s="5">
        <f>(D249-D248)/D248</f>
        <v/>
      </c>
    </row>
    <row r="250">
      <c r="A250" t="inlineStr">
        <is>
          <t>2025-07-02</t>
        </is>
      </c>
      <c r="B250" t="n">
        <v>26456</v>
      </c>
      <c r="C250" s="5">
        <f>(B250-B249)/B249</f>
        <v/>
      </c>
      <c r="D250" t="n">
        <v>1384.59</v>
      </c>
      <c r="E250" s="5">
        <f>(D250-D249)/D249</f>
        <v/>
      </c>
    </row>
    <row r="251">
      <c r="A251" t="inlineStr">
        <is>
          <t>2025-07-03</t>
        </is>
      </c>
      <c r="B251" t="n">
        <v>26673</v>
      </c>
      <c r="C251" s="5">
        <f>(B251-B250)/B250</f>
        <v/>
      </c>
      <c r="D251" t="n">
        <v>1381.96</v>
      </c>
      <c r="E251" s="5">
        <f>(D251-D250)/D250</f>
        <v/>
      </c>
    </row>
    <row r="252">
      <c r="A252" t="inlineStr">
        <is>
          <t>2025-07-04</t>
        </is>
      </c>
      <c r="B252" t="n">
        <v>26601</v>
      </c>
      <c r="C252" s="5">
        <f>(B252-B251)/B251</f>
        <v/>
      </c>
      <c r="D252" t="n">
        <v>1386.97</v>
      </c>
      <c r="E252" s="5">
        <f>(D252-D251)/D251</f>
        <v/>
      </c>
    </row>
    <row r="253">
      <c r="A253" t="inlineStr">
        <is>
          <t>2025-07-07</t>
        </is>
      </c>
      <c r="B253" t="n">
        <v>26890</v>
      </c>
      <c r="C253" s="5">
        <f>(B253-B252)/B252</f>
        <v/>
      </c>
      <c r="D253" t="n">
        <v>1402.06</v>
      </c>
      <c r="E253" s="5">
        <f>(D253-D252)/D252</f>
        <v/>
      </c>
    </row>
    <row r="254">
      <c r="A254" t="inlineStr">
        <is>
          <t>2025-07-08</t>
        </is>
      </c>
      <c r="B254" t="n">
        <v>27217</v>
      </c>
      <c r="C254" s="5">
        <f>(B254-B253)/B253</f>
        <v/>
      </c>
      <c r="D254" t="n">
        <v>1415.46</v>
      </c>
      <c r="E254" s="5">
        <f>(D254-D253)/D253</f>
        <v/>
      </c>
    </row>
    <row r="255">
      <c r="A255" t="inlineStr">
        <is>
          <t>2025-07-09</t>
        </is>
      </c>
      <c r="B255" t="n">
        <v>27724</v>
      </c>
      <c r="C255" s="5">
        <f>(B255-B254)/B254</f>
        <v/>
      </c>
      <c r="D255" t="n">
        <v>1431.32</v>
      </c>
      <c r="E255" s="5">
        <f>(D255-D254)/D254</f>
        <v/>
      </c>
    </row>
    <row r="256">
      <c r="A256" t="inlineStr">
        <is>
          <t>2025-07-10</t>
        </is>
      </c>
      <c r="B256" t="n">
        <v>27833</v>
      </c>
      <c r="C256" s="5">
        <f>(B256-B255)/B255</f>
        <v/>
      </c>
      <c r="D256" t="n">
        <v>1445.64</v>
      </c>
      <c r="E256" s="5">
        <f>(D256-D255)/D255</f>
        <v/>
      </c>
    </row>
    <row r="257">
      <c r="A257" t="inlineStr">
        <is>
          <t>2025-07-11</t>
        </is>
      </c>
      <c r="B257" t="n">
        <v>29753</v>
      </c>
      <c r="C257" s="5">
        <f>(B257-B256)/B256</f>
        <v/>
      </c>
      <c r="D257" t="n">
        <v>1457.76</v>
      </c>
      <c r="E257" s="5">
        <f>(D257-D256)/D256</f>
        <v/>
      </c>
    </row>
    <row r="258">
      <c r="A258" t="inlineStr">
        <is>
          <t>2025-07-14</t>
        </is>
      </c>
      <c r="B258" t="n">
        <v>30188</v>
      </c>
      <c r="C258" s="5">
        <f>(B258-B257)/B257</f>
        <v/>
      </c>
      <c r="D258" t="n">
        <v>1470.42</v>
      </c>
      <c r="E258" s="5">
        <f>(D258-D257)/D257</f>
        <v/>
      </c>
    </row>
    <row r="259">
      <c r="A259" t="inlineStr">
        <is>
          <t>2025-07-15</t>
        </is>
      </c>
      <c r="B259" t="n">
        <v>29645</v>
      </c>
      <c r="C259" s="5">
        <f>(B259-B258)/B258</f>
        <v/>
      </c>
      <c r="D259" t="n">
        <v>1460.65</v>
      </c>
      <c r="E259" s="5">
        <f>(D259-D258)/D258</f>
        <v/>
      </c>
    </row>
    <row r="260">
      <c r="A260" t="inlineStr">
        <is>
          <t>2025-07-16</t>
        </is>
      </c>
      <c r="B260" t="n">
        <v>30225</v>
      </c>
      <c r="C260" s="5">
        <f>(B260-B259)/B259</f>
        <v/>
      </c>
      <c r="D260" t="n">
        <v>1475.47</v>
      </c>
      <c r="E260" s="5">
        <f>(D260-D259)/D259</f>
        <v/>
      </c>
    </row>
    <row r="261">
      <c r="A261" t="inlineStr">
        <is>
          <t>2025-07-17</t>
        </is>
      </c>
      <c r="B261" t="n">
        <v>29935</v>
      </c>
      <c r="C261" s="5">
        <f>(B261-B260)/B260</f>
        <v/>
      </c>
      <c r="D261" t="n">
        <v>1490.01</v>
      </c>
      <c r="E261" s="5">
        <f>(D261-D260)/D260</f>
        <v/>
      </c>
    </row>
    <row r="262">
      <c r="A262" t="inlineStr">
        <is>
          <t>2025-07-18</t>
        </is>
      </c>
      <c r="B262" t="n">
        <v>30225</v>
      </c>
      <c r="C262" s="5">
        <f>(B262-B261)/B261</f>
        <v/>
      </c>
      <c r="D262" t="n">
        <v>1497.28</v>
      </c>
      <c r="E262" s="5">
        <f>(D262-D261)/D261</f>
        <v/>
      </c>
    </row>
    <row r="263">
      <c r="A263" t="inlineStr">
        <is>
          <t>2025-07-21</t>
        </is>
      </c>
      <c r="B263" t="n">
        <v>29464</v>
      </c>
      <c r="C263" s="5">
        <f>(B263-B262)/B262</f>
        <v/>
      </c>
      <c r="D263" t="n">
        <v>1485.05</v>
      </c>
      <c r="E263" s="5">
        <f>(D263-D262)/D262</f>
        <v/>
      </c>
    </row>
    <row r="264">
      <c r="A264" t="inlineStr">
        <is>
          <t>2025-07-22</t>
        </is>
      </c>
      <c r="B264" t="n">
        <v>30261</v>
      </c>
      <c r="C264" s="5">
        <f>(B264-B263)/B263</f>
        <v/>
      </c>
      <c r="D264" t="n">
        <v>1509.54</v>
      </c>
      <c r="E264" s="5">
        <f>(D264-D263)/D263</f>
        <v/>
      </c>
    </row>
    <row r="265">
      <c r="A265" t="inlineStr">
        <is>
          <t>2025-07-23</t>
        </is>
      </c>
      <c r="B265" t="n">
        <v>30152</v>
      </c>
      <c r="C265" s="5">
        <f>(B265-B264)/B264</f>
        <v/>
      </c>
      <c r="D265" t="n">
        <v>1512.31</v>
      </c>
      <c r="E265" s="5">
        <f>(D265-D264)/D264</f>
        <v/>
      </c>
    </row>
    <row r="266">
      <c r="A266" t="inlineStr">
        <is>
          <t>2025-07-24</t>
        </is>
      </c>
      <c r="B266" t="n">
        <v>30080</v>
      </c>
      <c r="C266" s="5">
        <f>(B266-B265)/B265</f>
        <v/>
      </c>
      <c r="D266" t="n">
        <v>1521.02</v>
      </c>
      <c r="E266" s="5">
        <f>(D266-D265)/D265</f>
        <v/>
      </c>
    </row>
    <row r="267">
      <c r="A267" t="inlineStr">
        <is>
          <t>2025-07-25</t>
        </is>
      </c>
      <c r="B267" t="n">
        <v>31203</v>
      </c>
      <c r="C267" s="5">
        <f>(B267-B266)/B266</f>
        <v/>
      </c>
      <c r="D267" t="n">
        <v>1531.13</v>
      </c>
      <c r="E267" s="5">
        <f>(D267-D266)/D266</f>
        <v/>
      </c>
    </row>
    <row r="268">
      <c r="A268" t="inlineStr">
        <is>
          <t>2025-07-28</t>
        </is>
      </c>
      <c r="B268" t="n">
        <v>32580</v>
      </c>
      <c r="C268" s="5">
        <f>(B268-B267)/B267</f>
        <v/>
      </c>
      <c r="D268" t="n">
        <v>1557.42</v>
      </c>
      <c r="E268" s="5">
        <f>(D268-D267)/D267</f>
        <v/>
      </c>
    </row>
    <row r="269">
      <c r="A269" t="inlineStr">
        <is>
          <t>2025-07-29</t>
        </is>
      </c>
      <c r="B269" t="n">
        <v>30333</v>
      </c>
      <c r="C269" s="5">
        <f>(B269-B268)/B268</f>
        <v/>
      </c>
      <c r="D269" t="n">
        <v>1493.41</v>
      </c>
      <c r="E269" s="5">
        <f>(D269-D268)/D268</f>
        <v/>
      </c>
    </row>
    <row r="270">
      <c r="A270" t="inlineStr">
        <is>
          <t>2025-07-30</t>
        </is>
      </c>
      <c r="B270" t="n">
        <v>30370</v>
      </c>
      <c r="C270" s="5">
        <f>(B270-B269)/B269</f>
        <v/>
      </c>
      <c r="D270" t="n">
        <v>1507.63</v>
      </c>
      <c r="E270" s="5">
        <f>(D270-D269)/D269</f>
        <v/>
      </c>
    </row>
    <row r="271">
      <c r="A271" t="inlineStr">
        <is>
          <t>2025-07-31</t>
        </is>
      </c>
      <c r="B271" t="n">
        <v>31203</v>
      </c>
      <c r="C271" s="5">
        <f>(B271-B270)/B270</f>
        <v/>
      </c>
      <c r="D271" t="n">
        <v>1502.52</v>
      </c>
      <c r="E271" s="5">
        <f>(D271-D270)/D270</f>
        <v/>
      </c>
    </row>
    <row r="272">
      <c r="A272" t="inlineStr">
        <is>
          <t>2025-08-01</t>
        </is>
      </c>
      <c r="B272" t="n">
        <v>32218</v>
      </c>
      <c r="C272" s="5">
        <f>(B272-B271)/B271</f>
        <v/>
      </c>
      <c r="D272" t="n">
        <v>1495.21</v>
      </c>
      <c r="E272" s="5">
        <f>(D272-D271)/D271</f>
        <v/>
      </c>
    </row>
    <row r="273">
      <c r="A273" t="inlineStr">
        <is>
          <t>2025-08-04</t>
        </is>
      </c>
      <c r="B273" t="n">
        <v>32363</v>
      </c>
      <c r="C273" s="5">
        <f>(B273-B272)/B272</f>
        <v/>
      </c>
      <c r="D273" t="n">
        <v>1528.19</v>
      </c>
      <c r="E273" s="5">
        <f>(D273-D272)/D272</f>
        <v/>
      </c>
    </row>
    <row r="274">
      <c r="A274" t="inlineStr">
        <is>
          <t>2025-08-05</t>
        </is>
      </c>
      <c r="B274" t="n">
        <v>33196</v>
      </c>
      <c r="C274" s="5">
        <f>(B274-B273)/B273</f>
        <v/>
      </c>
      <c r="D274" t="n">
        <v>1547.15</v>
      </c>
      <c r="E274" s="5">
        <f>(D274-D273)/D273</f>
        <v/>
      </c>
    </row>
    <row r="275">
      <c r="A275" t="inlineStr">
        <is>
          <t>2025-08-06</t>
        </is>
      </c>
      <c r="B275" t="n">
        <v>33776</v>
      </c>
      <c r="C275" s="5">
        <f>(B275-B274)/B274</f>
        <v/>
      </c>
      <c r="D275" t="n">
        <v>1573.71</v>
      </c>
      <c r="E275" s="5">
        <f>(D275-D274)/D274</f>
        <v/>
      </c>
    </row>
    <row r="276">
      <c r="A276" t="inlineStr">
        <is>
          <t>2025-08-07</t>
        </is>
      </c>
      <c r="B276" t="n">
        <v>33704</v>
      </c>
      <c r="C276" s="5">
        <f>(B276-B275)/B275</f>
        <v/>
      </c>
      <c r="D276" t="n">
        <v>1581.81</v>
      </c>
      <c r="E276" s="5">
        <f>(D276-D275)/D275</f>
        <v/>
      </c>
    </row>
    <row r="277">
      <c r="A277" t="inlineStr">
        <is>
          <t>2025-08-08</t>
        </is>
      </c>
      <c r="B277" t="n">
        <v>32979</v>
      </c>
      <c r="C277" s="5">
        <f>(B277-B276)/B276</f>
        <v/>
      </c>
      <c r="D277" t="n">
        <v>1584.95</v>
      </c>
      <c r="E277" s="5">
        <f>(D277-D276)/D276</f>
        <v/>
      </c>
    </row>
    <row r="278">
      <c r="A278" t="inlineStr">
        <is>
          <t>2025-08-11</t>
        </is>
      </c>
      <c r="B278" t="n">
        <v>33269</v>
      </c>
      <c r="C278" s="5">
        <f>(B278-B277)/B277</f>
        <v/>
      </c>
      <c r="D278" t="n">
        <v>1596.86</v>
      </c>
      <c r="E278" s="5">
        <f>(D278-D277)/D277</f>
        <v/>
      </c>
    </row>
    <row r="279">
      <c r="A279" t="inlineStr">
        <is>
          <t>2025-08-12</t>
        </is>
      </c>
      <c r="B279" t="n">
        <v>32979</v>
      </c>
      <c r="C279" s="5">
        <f>(B279-B278)/B278</f>
        <v/>
      </c>
      <c r="D279" t="n">
        <v>1608.22</v>
      </c>
      <c r="E279" s="5">
        <f>(D279-D278)/D278</f>
        <v/>
      </c>
    </row>
    <row r="280">
      <c r="A280" t="inlineStr">
        <is>
          <t>2025-08-13</t>
        </is>
      </c>
      <c r="B280" t="n">
        <v>34066</v>
      </c>
      <c r="C280" s="5">
        <f>(B280-B279)/B279</f>
        <v/>
      </c>
      <c r="D280" t="n">
        <v>1611.6</v>
      </c>
      <c r="E280" s="5">
        <f>(D280-D279)/D279</f>
        <v/>
      </c>
    </row>
    <row r="281">
      <c r="A281" t="inlineStr">
        <is>
          <t>2025-08-14</t>
        </is>
      </c>
      <c r="B281" t="n">
        <v>33776</v>
      </c>
      <c r="C281" s="5">
        <f>(B281-B280)/B280</f>
        <v/>
      </c>
      <c r="D281" t="n">
        <v>1640.69</v>
      </c>
      <c r="E281" s="5">
        <f>(D281-D280)/D280</f>
        <v/>
      </c>
    </row>
    <row r="282">
      <c r="A282" t="inlineStr">
        <is>
          <t>2025-08-15</t>
        </is>
      </c>
      <c r="B282" t="n">
        <v>32834</v>
      </c>
      <c r="C282" s="5">
        <f>(B282-B281)/B281</f>
        <v/>
      </c>
      <c r="D282" t="n">
        <v>1630</v>
      </c>
      <c r="E282" s="5">
        <f>(D282-D281)/D281</f>
        <v/>
      </c>
    </row>
    <row r="283">
      <c r="A283" t="inlineStr">
        <is>
          <t>2025-08-18</t>
        </is>
      </c>
      <c r="B283" t="n">
        <v>32254</v>
      </c>
      <c r="C283" s="5">
        <f>(B283-B282)/B282</f>
        <v/>
      </c>
      <c r="D283" t="n">
        <v>1636.37</v>
      </c>
      <c r="E283" s="5">
        <f>(D283-D282)/D282</f>
        <v/>
      </c>
    </row>
    <row r="284">
      <c r="A284" t="inlineStr">
        <is>
          <t>2025-08-19</t>
        </is>
      </c>
      <c r="B284" t="n">
        <v>33269</v>
      </c>
      <c r="C284" s="5">
        <f>(B284-B283)/B283</f>
        <v/>
      </c>
      <c r="D284" t="n">
        <v>1654.2</v>
      </c>
      <c r="E284" s="5">
        <f>(D284-D283)/D283</f>
        <v/>
      </c>
    </row>
    <row r="285">
      <c r="A285" t="inlineStr">
        <is>
          <t>2025-08-20</t>
        </is>
      </c>
      <c r="B285" t="n">
        <v>33486</v>
      </c>
      <c r="C285" s="5">
        <f>(B285-B284)/B284</f>
        <v/>
      </c>
      <c r="D285" t="n">
        <v>1664.36</v>
      </c>
      <c r="E285" s="5">
        <f>(D285-D284)/D284</f>
        <v/>
      </c>
    </row>
    <row r="286">
      <c r="A286" t="inlineStr">
        <is>
          <t>2025-08-21</t>
        </is>
      </c>
      <c r="B286" t="n">
        <v>33341</v>
      </c>
      <c r="C286" s="5">
        <f>(B286-B285)/B285</f>
        <v/>
      </c>
      <c r="D286" t="n">
        <v>1688</v>
      </c>
      <c r="E286" s="5">
        <f>(D286-D285)/D285</f>
        <v/>
      </c>
    </row>
    <row r="287">
      <c r="A287" t="inlineStr">
        <is>
          <t>2025-08-22</t>
        </is>
      </c>
      <c r="B287" t="n">
        <v>31384</v>
      </c>
      <c r="C287" s="5">
        <f>(B287-B286)/B286</f>
        <v/>
      </c>
      <c r="D287" t="n">
        <v>1645.47</v>
      </c>
      <c r="E287" s="5">
        <f>(D287-D286)/D286</f>
        <v/>
      </c>
    </row>
    <row r="288">
      <c r="A288" t="inlineStr">
        <is>
          <t>2025-08-25</t>
        </is>
      </c>
      <c r="B288" t="n">
        <v>31022</v>
      </c>
      <c r="C288" s="5">
        <f>(B288-B287)/B287</f>
        <v/>
      </c>
      <c r="D288" t="n">
        <v>1614.03</v>
      </c>
      <c r="E288" s="5">
        <f>(D288-D287)/D287</f>
        <v/>
      </c>
    </row>
    <row r="289">
      <c r="A289" t="inlineStr">
        <is>
          <t>2025-08-26</t>
        </is>
      </c>
      <c r="B289" t="n">
        <v>32544</v>
      </c>
      <c r="C289" s="5">
        <f>(B289-B288)/B288</f>
        <v/>
      </c>
      <c r="D289" t="n">
        <v>1667.63</v>
      </c>
      <c r="E289" s="5">
        <f>(D289-D288)/D288</f>
        <v/>
      </c>
    </row>
    <row r="290">
      <c r="A290" t="inlineStr">
        <is>
          <t>2025-08-27</t>
        </is>
      </c>
      <c r="B290" t="n">
        <v>32399</v>
      </c>
      <c r="C290" s="5">
        <f>(B290-B289)/B289</f>
        <v/>
      </c>
      <c r="D290" t="n">
        <v>1672.78</v>
      </c>
      <c r="E290" s="5">
        <f>(D290-D289)/D289</f>
        <v/>
      </c>
    </row>
    <row r="291">
      <c r="A291" t="inlineStr">
        <is>
          <t>2025-08-28</t>
        </is>
      </c>
      <c r="B291" t="n">
        <v>33522</v>
      </c>
      <c r="C291" s="5">
        <f>(B291-B290)/B290</f>
        <v/>
      </c>
      <c r="D291" t="n">
        <v>1680.86</v>
      </c>
      <c r="E291" s="5">
        <f>(D291-D290)/D290</f>
        <v/>
      </c>
    </row>
    <row r="292">
      <c r="A292" t="inlineStr">
        <is>
          <t>2025-08-29</t>
        </is>
      </c>
      <c r="B292" t="n">
        <v>34972</v>
      </c>
      <c r="C292" s="5">
        <f>(B292-B291)/B291</f>
        <v/>
      </c>
      <c r="D292" t="n">
        <v>1682.21</v>
      </c>
      <c r="E292" s="5">
        <f>(D292-D291)/D291</f>
        <v/>
      </c>
    </row>
    <row r="293">
      <c r="A293" t="inlineStr">
        <is>
          <t>2025-09-03</t>
        </is>
      </c>
      <c r="B293" t="n">
        <v>34646</v>
      </c>
      <c r="C293" s="5">
        <f>(B293-B292)/B292</f>
        <v/>
      </c>
      <c r="D293" t="n">
        <v>1681.3</v>
      </c>
      <c r="E293" s="5">
        <f>(D293-D292)/D292</f>
        <v/>
      </c>
    </row>
    <row r="294">
      <c r="A294" t="inlineStr">
        <is>
          <t>2025-09-04</t>
        </is>
      </c>
      <c r="B294" t="n">
        <v>34936</v>
      </c>
      <c r="C294" s="5">
        <f>(B294-B293)/B293</f>
        <v/>
      </c>
      <c r="D294" t="n">
        <v>1696.29</v>
      </c>
      <c r="E294" s="5">
        <f>(D294-D293)/D293</f>
        <v/>
      </c>
    </row>
    <row r="295">
      <c r="A295" t="inlineStr">
        <is>
          <t>2025-09-05</t>
        </is>
      </c>
      <c r="B295" t="n">
        <v>33341</v>
      </c>
      <c r="C295" s="5">
        <f>(B295-B294)/B294</f>
        <v/>
      </c>
      <c r="D295" t="n">
        <v>1666.97</v>
      </c>
      <c r="E295" s="5">
        <f>(D295-D294)/D294</f>
        <v/>
      </c>
    </row>
    <row r="296">
      <c r="A296" t="inlineStr">
        <is>
          <t>2025-09-08</t>
        </is>
      </c>
      <c r="B296" t="n">
        <v>31203</v>
      </c>
      <c r="C296" s="5">
        <f>(B296-B295)/B295</f>
        <v/>
      </c>
      <c r="D296" t="n">
        <v>1624.53</v>
      </c>
      <c r="E296" s="5">
        <f>(D296-D295)/D295</f>
        <v/>
      </c>
    </row>
    <row r="297">
      <c r="A297" t="inlineStr">
        <is>
          <t>2025-09-09</t>
        </is>
      </c>
      <c r="B297" t="n">
        <v>32544</v>
      </c>
      <c r="C297" s="5">
        <f>(B297-B296)/B296</f>
        <v/>
      </c>
      <c r="D297" t="n">
        <v>1637.32</v>
      </c>
      <c r="E297" s="5">
        <f>(D297-D296)/D296</f>
        <v/>
      </c>
    </row>
    <row r="298">
      <c r="A298" t="inlineStr">
        <is>
          <t>2025-09-10</t>
        </is>
      </c>
      <c r="B298" t="n">
        <v>31819</v>
      </c>
      <c r="C298" s="5">
        <f>(B298-B297)/B297</f>
        <v/>
      </c>
      <c r="D298" t="n">
        <v>1643.26</v>
      </c>
      <c r="E298" s="5">
        <f>(D298-D297)/D297</f>
        <v/>
      </c>
    </row>
    <row r="299">
      <c r="A299" t="inlineStr">
        <is>
          <t>2025-09-11</t>
        </is>
      </c>
      <c r="B299" t="n">
        <v>32254</v>
      </c>
      <c r="C299" s="5">
        <f>(B299-B298)/B298</f>
        <v/>
      </c>
      <c r="D299" t="n">
        <v>1657.75</v>
      </c>
      <c r="E299" s="5">
        <f>(D299-D298)/D298</f>
        <v/>
      </c>
    </row>
    <row r="300">
      <c r="A300" t="inlineStr">
        <is>
          <t>2025-09-12</t>
        </is>
      </c>
      <c r="B300" t="n">
        <v>32109</v>
      </c>
      <c r="C300" s="5">
        <f>(B300-B299)/B299</f>
        <v/>
      </c>
      <c r="D300" t="n">
        <v>1667.26</v>
      </c>
      <c r="E300" s="5">
        <f>(D300-D299)/D299</f>
        <v/>
      </c>
    </row>
    <row r="301">
      <c r="A301" t="inlineStr">
        <is>
          <t>2025-09-15</t>
        </is>
      </c>
      <c r="B301" t="n">
        <v>32725</v>
      </c>
      <c r="C301" s="5">
        <f>(B301-B300)/B300</f>
        <v/>
      </c>
      <c r="D301" t="n">
        <v>1684.9</v>
      </c>
      <c r="E301" s="5">
        <f>(D301-D300)/D300</f>
        <v/>
      </c>
    </row>
    <row r="302">
      <c r="A302" t="inlineStr">
        <is>
          <t>2025-09-16</t>
        </is>
      </c>
      <c r="B302" t="n">
        <v>31964</v>
      </c>
      <c r="C302" s="5">
        <f>(B302-B301)/B301</f>
        <v/>
      </c>
      <c r="D302" t="n">
        <v>1680.9</v>
      </c>
      <c r="E302" s="5">
        <f>(D302-D301)/D301</f>
        <v/>
      </c>
    </row>
    <row r="303">
      <c r="A303" t="inlineStr">
        <is>
          <t>2025-09-17</t>
        </is>
      </c>
      <c r="B303" t="n">
        <v>31312</v>
      </c>
      <c r="C303" s="5">
        <f>(B303-B302)/B302</f>
        <v/>
      </c>
      <c r="D303" t="n">
        <v>1670.97</v>
      </c>
      <c r="E303" s="5">
        <f>(D303-D302)/D302</f>
        <v/>
      </c>
    </row>
    <row r="304">
      <c r="A304" t="inlineStr">
        <is>
          <t>2025-09-18</t>
        </is>
      </c>
      <c r="B304" t="n">
        <v>31348</v>
      </c>
      <c r="C304" s="5">
        <f>(B304-B303)/B303</f>
        <v/>
      </c>
      <c r="D304" t="n">
        <v>1665.18</v>
      </c>
      <c r="E304" s="5">
        <f>(D304-D303)/D303</f>
        <v/>
      </c>
    </row>
    <row r="305">
      <c r="A305" t="inlineStr">
        <is>
          <t>2025-09-19</t>
        </is>
      </c>
      <c r="B305" t="n">
        <v>30877</v>
      </c>
      <c r="C305" s="5">
        <f>(B305-B304)/B304</f>
        <v/>
      </c>
      <c r="D305" t="n">
        <v>1658.62</v>
      </c>
      <c r="E305" s="5">
        <f>(D305-D304)/D304</f>
        <v/>
      </c>
    </row>
    <row r="306">
      <c r="A306" t="inlineStr">
        <is>
          <t>2025-09-22</t>
        </is>
      </c>
      <c r="B306" t="n">
        <v>30080</v>
      </c>
      <c r="C306" s="5">
        <f>(B306-B305)/B305</f>
        <v/>
      </c>
      <c r="D306" t="n">
        <v>1634.45</v>
      </c>
      <c r="E306" s="5">
        <f>(D306-D305)/D305</f>
        <v/>
      </c>
    </row>
    <row r="307">
      <c r="A307" t="inlineStr">
        <is>
          <t>2025-09-23</t>
        </is>
      </c>
      <c r="B307" t="n">
        <v>30370</v>
      </c>
      <c r="C307" s="5">
        <f>(B307-B306)/B306</f>
        <v/>
      </c>
      <c r="D307" t="n">
        <v>1635.26</v>
      </c>
      <c r="E307" s="5">
        <f>(D307-D306)/D306</f>
        <v/>
      </c>
    </row>
    <row r="308">
      <c r="A308" t="inlineStr">
        <is>
          <t>2025-09-24</t>
        </is>
      </c>
      <c r="B308" t="n">
        <v>31638</v>
      </c>
      <c r="C308" s="5">
        <f>(B308-B307)/B307</f>
        <v/>
      </c>
      <c r="D308" t="n">
        <v>1657.46</v>
      </c>
      <c r="E308" s="5">
        <f>(D308-D307)/D307</f>
        <v/>
      </c>
    </row>
    <row r="309">
      <c r="A309" t="inlineStr">
        <is>
          <t>2025-09-25</t>
        </is>
      </c>
      <c r="B309" t="n">
        <v>31855</v>
      </c>
      <c r="C309" s="5">
        <f>(B309-B308)/B308</f>
        <v/>
      </c>
      <c r="D309" t="n">
        <v>1666.09</v>
      </c>
      <c r="E309" s="5">
        <f>(D309-D308)/D308</f>
        <v/>
      </c>
    </row>
    <row r="310">
      <c r="A310" t="inlineStr">
        <is>
          <t>2025-09-26</t>
        </is>
      </c>
      <c r="B310" t="n">
        <v>31167</v>
      </c>
      <c r="C310" s="5">
        <f>(B310-B309)/B309</f>
        <v/>
      </c>
      <c r="D310" t="n">
        <v>1660.7</v>
      </c>
      <c r="E310" s="5">
        <f>(D310-D309)/D309</f>
        <v/>
      </c>
    </row>
    <row r="311">
      <c r="A311" t="inlineStr">
        <is>
          <t>2025-09-29</t>
        </is>
      </c>
      <c r="B311" t="n">
        <v>31529</v>
      </c>
      <c r="C311" s="5">
        <f>(B311-B310)/B310</f>
        <v/>
      </c>
      <c r="D311" t="n">
        <v>1666.48</v>
      </c>
      <c r="E311" s="5">
        <f>(D311-D310)/D310</f>
        <v/>
      </c>
    </row>
    <row r="312">
      <c r="A312" t="inlineStr">
        <is>
          <t>2025-09-30</t>
        </is>
      </c>
      <c r="B312" t="n">
        <v>31493</v>
      </c>
      <c r="C312" s="5">
        <f>(B312-B311)/B311</f>
        <v/>
      </c>
      <c r="D312" t="n">
        <v>1661.7</v>
      </c>
      <c r="E312" s="5">
        <f>(D312-D311)/D311</f>
        <v/>
      </c>
    </row>
    <row r="313">
      <c r="A313" t="inlineStr">
        <is>
          <t>2025-10-01</t>
        </is>
      </c>
      <c r="B313" t="n">
        <v>31058</v>
      </c>
      <c r="C313" s="5">
        <f>(B313-B312)/B312</f>
        <v/>
      </c>
      <c r="D313" t="n">
        <v>1665.05</v>
      </c>
      <c r="E313" s="5">
        <f>(D313-D312)/D312</f>
        <v/>
      </c>
    </row>
    <row r="314">
      <c r="A314" t="inlineStr">
        <is>
          <t>2025-10-02</t>
        </is>
      </c>
      <c r="B314" t="n">
        <v>30515</v>
      </c>
      <c r="C314" s="5">
        <f>(B314-B313)/B313</f>
        <v/>
      </c>
      <c r="D314" t="n">
        <v>1652.71</v>
      </c>
      <c r="E314" s="5">
        <f>(D314-D313)/D313</f>
        <v/>
      </c>
    </row>
    <row r="315">
      <c r="A315" t="inlineStr">
        <is>
          <t>2025-10-03</t>
        </is>
      </c>
      <c r="B315" t="n">
        <v>30152</v>
      </c>
      <c r="C315" s="5">
        <f>(B315-B314)/B314</f>
        <v/>
      </c>
      <c r="D315" t="n">
        <v>1645.82</v>
      </c>
      <c r="E315" s="5">
        <f>(D315-D314)/D314</f>
        <v/>
      </c>
    </row>
    <row r="316">
      <c r="A316" t="inlineStr">
        <is>
          <t>2025-10-06</t>
        </is>
      </c>
      <c r="B316" t="n">
        <v>32254</v>
      </c>
      <c r="C316" s="5">
        <f>(B316-B315)/B315</f>
        <v/>
      </c>
      <c r="D316" t="n">
        <v>1695.5</v>
      </c>
      <c r="E316" s="5">
        <f>(D316-D315)/D315</f>
        <v/>
      </c>
    </row>
    <row r="317">
      <c r="A317" t="inlineStr">
        <is>
          <t>2025-10-07</t>
        </is>
      </c>
      <c r="B317" t="n">
        <v>31565</v>
      </c>
      <c r="C317" s="5">
        <f>(B317-B316)/B316</f>
        <v/>
      </c>
      <c r="D317" t="n">
        <v>1685.3</v>
      </c>
      <c r="E317" s="5">
        <f>(D317-D316)/D316</f>
        <v/>
      </c>
    </row>
    <row r="318">
      <c r="A318" t="inlineStr">
        <is>
          <t>2025-10-08</t>
        </is>
      </c>
      <c r="B318" t="n">
        <v>31747</v>
      </c>
      <c r="C318" s="5">
        <f>(B318-B317)/B317</f>
        <v/>
      </c>
      <c r="D318" t="n">
        <v>1697.83</v>
      </c>
      <c r="E318" s="5">
        <f>(D318-D317)/D317</f>
        <v/>
      </c>
    </row>
    <row r="319">
      <c r="A319" t="inlineStr">
        <is>
          <t>2025-10-09</t>
        </is>
      </c>
      <c r="B319" t="n">
        <v>31167</v>
      </c>
      <c r="C319" s="5">
        <f>(B319-B318)/B318</f>
        <v/>
      </c>
      <c r="D319" t="n">
        <v>1716.47</v>
      </c>
      <c r="E319" s="5">
        <f>(D319-D318)/D318</f>
        <v/>
      </c>
    </row>
    <row r="320">
      <c r="A320" t="inlineStr">
        <is>
          <t>2025-10-10</t>
        </is>
      </c>
      <c r="B320" t="n">
        <v>31565</v>
      </c>
      <c r="C320" s="5">
        <f>(B320-B319)/B319</f>
        <v/>
      </c>
      <c r="D320" t="n">
        <v>1747.55</v>
      </c>
      <c r="E320" s="5">
        <f>(D320-D319)/D319</f>
        <v/>
      </c>
    </row>
    <row r="321">
      <c r="A321" t="inlineStr">
        <is>
          <t>2025-10-13</t>
        </is>
      </c>
      <c r="B321" t="n">
        <v>31892</v>
      </c>
      <c r="C321" s="5">
        <f>(B321-B320)/B320</f>
        <v/>
      </c>
      <c r="D321" t="n">
        <v>1765.12</v>
      </c>
      <c r="E321" s="5">
        <f>(D321-D320)/D320</f>
        <v/>
      </c>
    </row>
    <row r="322">
      <c r="A322" t="inlineStr">
        <is>
          <t>2025-10-14</t>
        </is>
      </c>
      <c r="B322" t="n">
        <v>31167</v>
      </c>
      <c r="C322" s="5">
        <f>(B322-B321)/B321</f>
        <v/>
      </c>
      <c r="D322" t="n">
        <v>1761.06</v>
      </c>
      <c r="E322" s="5">
        <f>(D322-D321)/D321</f>
        <v/>
      </c>
    </row>
    <row r="323">
      <c r="A323" t="inlineStr">
        <is>
          <t>2025-10-15</t>
        </is>
      </c>
      <c r="B323" t="n">
        <v>30986</v>
      </c>
      <c r="C323" s="5">
        <f>(B323-B322)/B322</f>
        <v/>
      </c>
      <c r="D323" t="n">
        <v>1757.95</v>
      </c>
      <c r="E323" s="5">
        <f>(D323-D322)/D322</f>
        <v/>
      </c>
    </row>
    <row r="324">
      <c r="A324" t="inlineStr">
        <is>
          <t>2025-10-16</t>
        </is>
      </c>
      <c r="B324" t="n">
        <v>30913</v>
      </c>
      <c r="C324" s="5">
        <f>(B324-B323)/B323</f>
        <v/>
      </c>
      <c r="D324" t="n">
        <v>1766.85</v>
      </c>
      <c r="E324" s="5">
        <f>(D324-D323)/D323</f>
        <v/>
      </c>
    </row>
    <row r="325">
      <c r="A325" t="inlineStr">
        <is>
          <t>2025-10-17</t>
        </is>
      </c>
      <c r="B325" t="n">
        <v>30406</v>
      </c>
      <c r="C325" s="5">
        <f>(B325-B324)/B324</f>
        <v/>
      </c>
      <c r="D325" t="n">
        <v>1731.19</v>
      </c>
      <c r="E325" s="5">
        <f>(D325-D324)/D324</f>
        <v/>
      </c>
    </row>
    <row r="326">
      <c r="A326" t="inlineStr">
        <is>
          <t>2025-10-20</t>
        </is>
      </c>
      <c r="B326" t="n">
        <v>28304</v>
      </c>
      <c r="C326" s="5">
        <f>(B326-B325)/B325</f>
        <v/>
      </c>
      <c r="D326" t="n">
        <v>1636.43</v>
      </c>
      <c r="E326" s="5">
        <f>(D326-D325)/D325</f>
        <v/>
      </c>
    </row>
    <row r="327">
      <c r="A327" t="inlineStr">
        <is>
          <t>2025-10-21</t>
        </is>
      </c>
      <c r="B327" t="n">
        <v>27325</v>
      </c>
      <c r="C327" s="5">
        <f>(B327-B326)/B326</f>
        <v/>
      </c>
      <c r="D327" t="n">
        <v>1663.43</v>
      </c>
      <c r="E327" s="5">
        <f>(D327-D326)/D326</f>
        <v/>
      </c>
    </row>
    <row r="328">
      <c r="A328" t="inlineStr">
        <is>
          <t>2025-10-22</t>
        </is>
      </c>
      <c r="B328" t="n">
        <v>27180</v>
      </c>
      <c r="C328" s="5">
        <f>(B328-B327)/B327</f>
        <v/>
      </c>
      <c r="D328" t="n">
        <v>1678.5</v>
      </c>
      <c r="E328" s="5">
        <f>(D328-D327)/D327</f>
        <v/>
      </c>
    </row>
    <row r="329">
      <c r="A329" t="inlineStr">
        <is>
          <t>2025-10-23</t>
        </is>
      </c>
      <c r="B329" t="n">
        <v>26673</v>
      </c>
      <c r="C329" s="5">
        <f>(B329-B328)/B328</f>
        <v/>
      </c>
      <c r="D329" t="n">
        <v>1687.06</v>
      </c>
      <c r="E329" s="5">
        <f>(D329-D328)/D328</f>
        <v/>
      </c>
    </row>
    <row r="330">
      <c r="A330" t="inlineStr">
        <is>
          <t>2025-10-24</t>
        </is>
      </c>
      <c r="B330" t="n">
        <v>27108</v>
      </c>
      <c r="C330" s="5">
        <f>(B330-B329)/B329</f>
        <v/>
      </c>
      <c r="D330" t="n">
        <v>1683.18</v>
      </c>
      <c r="E330" s="5">
        <f>(D330-D329)/D329</f>
        <v/>
      </c>
    </row>
    <row r="331">
      <c r="A331" t="inlineStr">
        <is>
          <t>2025-10-27</t>
        </is>
      </c>
      <c r="B331" t="n">
        <v>27108</v>
      </c>
      <c r="C331" s="5">
        <f>(B331-B330)/B330</f>
        <v/>
      </c>
      <c r="D331" t="n">
        <v>1652.54</v>
      </c>
      <c r="E331" s="5">
        <f>(D331-D330)/D330</f>
        <v/>
      </c>
    </row>
    <row r="332">
      <c r="A332" t="inlineStr">
        <is>
          <t>2025-10-28</t>
        </is>
      </c>
      <c r="B332" t="n">
        <v>27688</v>
      </c>
      <c r="C332" s="5">
        <f>(B332-B331)/B331</f>
        <v/>
      </c>
      <c r="D332" t="n">
        <v>1680.5</v>
      </c>
      <c r="E332" s="5">
        <f>(D332-D331)/D331</f>
        <v/>
      </c>
    </row>
    <row r="333">
      <c r="A333" t="inlineStr">
        <is>
          <t>2025-10-29</t>
        </is>
      </c>
      <c r="B333" t="n">
        <v>27434</v>
      </c>
      <c r="C333" s="5">
        <f>(B333-B332)/B332</f>
        <v/>
      </c>
      <c r="D333" t="n">
        <v>1685.83</v>
      </c>
      <c r="E333" s="5">
        <f>(D333-D332)/D332</f>
        <v/>
      </c>
    </row>
    <row r="334">
      <c r="A334" t="inlineStr">
        <is>
          <t>2025-10-30</t>
        </is>
      </c>
      <c r="B334" t="n">
        <v>26890</v>
      </c>
      <c r="C334" s="5">
        <f>(B334-B333)/B333</f>
        <v/>
      </c>
      <c r="D334" t="n">
        <v>1669.57</v>
      </c>
      <c r="E334" s="5">
        <f>(D334-D333)/D333</f>
        <v/>
      </c>
    </row>
    <row r="335">
      <c r="A335" t="inlineStr">
        <is>
          <t>2025-10-31</t>
        </is>
      </c>
      <c r="B335" t="n">
        <v>26890</v>
      </c>
      <c r="C335" s="5">
        <f>(B335-B334)/B334</f>
        <v/>
      </c>
      <c r="D335" t="n">
        <v>1639.65</v>
      </c>
      <c r="E335" s="5">
        <f>(D335-D334)/D334</f>
        <v/>
      </c>
    </row>
    <row r="336">
      <c r="A336" t="inlineStr">
        <is>
          <t>2025-11-03</t>
        </is>
      </c>
      <c r="B336" t="n">
        <v>26093</v>
      </c>
      <c r="C336" s="5">
        <f>(B336-B335)/B335</f>
        <v/>
      </c>
      <c r="D336" t="n">
        <v>1617</v>
      </c>
      <c r="E336" s="5">
        <f>(D336-D335)/D335</f>
        <v/>
      </c>
    </row>
    <row r="337">
      <c r="A337" t="inlineStr">
        <is>
          <t>2025-11-04</t>
        </is>
      </c>
      <c r="B337" t="n">
        <v>27905</v>
      </c>
      <c r="C337" s="5">
        <f>(B337-B336)/B336</f>
        <v/>
      </c>
      <c r="D337" t="n">
        <v>1651.98</v>
      </c>
      <c r="E337" s="5">
        <f>(D337-D336)/D336</f>
        <v/>
      </c>
    </row>
    <row r="338">
      <c r="A338" t="inlineStr">
        <is>
          <t>2025-11-05</t>
        </is>
      </c>
      <c r="B338" t="n">
        <v>27072</v>
      </c>
      <c r="C338" s="5">
        <f>(B338-B337)/B337</f>
        <v/>
      </c>
      <c r="D338" t="n">
        <v>1654.89</v>
      </c>
      <c r="E338" s="5">
        <f>(D338-D337)/D337</f>
        <v/>
      </c>
    </row>
    <row r="339">
      <c r="A339" t="inlineStr">
        <is>
          <t>2025-11-06</t>
        </is>
      </c>
      <c r="B339" t="n">
        <v>26673</v>
      </c>
      <c r="C339" s="5">
        <f>(B339-B338)/B338</f>
        <v/>
      </c>
      <c r="D339" t="n">
        <v>1642.64</v>
      </c>
      <c r="E339" s="5">
        <f>(D339-D338)/D338</f>
        <v/>
      </c>
    </row>
    <row r="340">
      <c r="A340" t="inlineStr">
        <is>
          <t>2025-11-07</t>
        </is>
      </c>
      <c r="B340" t="n">
        <v>26093</v>
      </c>
      <c r="C340" s="5">
        <f>(B340-B339)/B339</f>
        <v/>
      </c>
      <c r="D340" t="n">
        <v>1599.1</v>
      </c>
      <c r="E340" s="5">
        <f>(D340-D339)/D339</f>
        <v/>
      </c>
    </row>
    <row r="341">
      <c r="A341" t="inlineStr">
        <is>
          <t>2025-11-10</t>
        </is>
      </c>
      <c r="B341" t="n">
        <v>25948</v>
      </c>
      <c r="C341" s="5">
        <f>(B341-B340)/B340</f>
        <v/>
      </c>
      <c r="D341" t="n">
        <v>1580.54</v>
      </c>
      <c r="E341" s="5">
        <f>(D341-D340)/D340</f>
        <v/>
      </c>
    </row>
    <row r="342">
      <c r="A342" t="inlineStr">
        <is>
          <t>2025-11-11</t>
        </is>
      </c>
      <c r="B342" t="n">
        <v>26601</v>
      </c>
      <c r="C342" s="5">
        <f>(B342-B341)/B341</f>
        <v/>
      </c>
      <c r="D342" t="n">
        <v>1593.61</v>
      </c>
      <c r="E342" s="5">
        <f>(D342-D341)/D341</f>
        <v/>
      </c>
    </row>
    <row r="343">
      <c r="A343" t="inlineStr">
        <is>
          <t>2025-11-12</t>
        </is>
      </c>
      <c r="B343" t="n">
        <v>26528</v>
      </c>
      <c r="C343" s="5">
        <f>(B343-B342)/B342</f>
        <v/>
      </c>
      <c r="D343" t="n">
        <v>1631.86</v>
      </c>
      <c r="E343" s="5">
        <f>(D343-D342)/D342</f>
        <v/>
      </c>
    </row>
    <row r="344">
      <c r="A344" t="inlineStr">
        <is>
          <t>2025-11-13</t>
        </is>
      </c>
      <c r="B344" t="n">
        <v>26202</v>
      </c>
      <c r="C344" s="5">
        <f>(B344-B343)/B343</f>
        <v/>
      </c>
      <c r="D344" t="n">
        <v>1631.44</v>
      </c>
      <c r="E344" s="5">
        <f>(D344-D343)/D343</f>
        <v/>
      </c>
    </row>
    <row r="345">
      <c r="A345" t="inlineStr">
        <is>
          <t>2025-11-14</t>
        </is>
      </c>
      <c r="B345" t="n">
        <v>25912</v>
      </c>
      <c r="C345" s="5">
        <f>(B345-B344)/B344</f>
        <v/>
      </c>
      <c r="D345" t="n">
        <v>1635.46</v>
      </c>
      <c r="E345" s="5">
        <f>(D345-D344)/D344</f>
        <v/>
      </c>
    </row>
    <row r="346">
      <c r="A346" t="inlineStr">
        <is>
          <t>2025-11-17</t>
        </is>
      </c>
      <c r="B346" t="n">
        <v>26238</v>
      </c>
      <c r="C346" s="5">
        <f>(B346-B345)/B345</f>
        <v/>
      </c>
      <c r="D346" t="n">
        <v>1654.42</v>
      </c>
      <c r="E346" s="5">
        <f>(D346-D345)/D345</f>
        <v/>
      </c>
    </row>
    <row r="347">
      <c r="A347" t="inlineStr">
        <is>
          <t>2025-11-18</t>
        </is>
      </c>
      <c r="B347" t="n">
        <v>26383</v>
      </c>
      <c r="C347" s="5">
        <f>(B347-B346)/B346</f>
        <v/>
      </c>
      <c r="D347" t="n">
        <v>1659.92</v>
      </c>
      <c r="E347" s="5">
        <f>(D347-D346)/D346</f>
        <v/>
      </c>
    </row>
    <row r="348">
      <c r="A348" t="inlineStr">
        <is>
          <t>2025-11-19</t>
        </is>
      </c>
      <c r="B348" t="n">
        <v>25948</v>
      </c>
      <c r="C348" s="5">
        <f>(B348-B347)/B347</f>
        <v/>
      </c>
      <c r="D348" t="n">
        <v>1649</v>
      </c>
      <c r="E348" s="5">
        <f>(D348-D347)/D347</f>
        <v/>
      </c>
    </row>
    <row r="349">
      <c r="A349" t="inlineStr">
        <is>
          <t>2025-11-20</t>
        </is>
      </c>
      <c r="B349" t="n">
        <v>25405</v>
      </c>
      <c r="C349" s="5">
        <f>(B349-B348)/B348</f>
        <v/>
      </c>
      <c r="D349" t="n">
        <v>1655.99</v>
      </c>
      <c r="E349" s="5">
        <f>(D349-D348)/D348</f>
        <v/>
      </c>
    </row>
    <row r="350">
      <c r="A350" t="inlineStr">
        <is>
          <t>2025-11-21</t>
        </is>
      </c>
      <c r="B350" t="n">
        <v>24897</v>
      </c>
      <c r="C350" s="5">
        <f>(B350-B349)/B349</f>
        <v/>
      </c>
      <c r="D350" t="n">
        <v>1654.93</v>
      </c>
      <c r="E350" s="5">
        <f>(D350-D349)/D349</f>
        <v/>
      </c>
    </row>
    <row r="351">
      <c r="A351" t="inlineStr">
        <is>
          <t>2025-11-24</t>
        </is>
      </c>
      <c r="B351" t="n">
        <v>24789</v>
      </c>
      <c r="C351" s="5">
        <f>(B351-B350)/B350</f>
        <v/>
      </c>
      <c r="D351" t="n">
        <v>1667.98</v>
      </c>
      <c r="E351" s="5">
        <f>(D351-D350)/D350</f>
        <v/>
      </c>
    </row>
    <row r="352">
      <c r="A352" t="inlineStr">
        <is>
          <t>2025-11-25</t>
        </is>
      </c>
      <c r="B352" t="n">
        <v>24136</v>
      </c>
      <c r="C352" s="5">
        <f>(B352-B351)/B351</f>
        <v/>
      </c>
      <c r="D352" t="n">
        <v>1660.36</v>
      </c>
      <c r="E352" s="5">
        <f>(D352-D351)/D351</f>
        <v/>
      </c>
    </row>
    <row r="353">
      <c r="A353" t="inlineStr">
        <is>
          <t>2025-11-26</t>
        </is>
      </c>
      <c r="B353" t="n">
        <v>24933</v>
      </c>
      <c r="C353" s="5">
        <f>(B353-B352)/B352</f>
        <v/>
      </c>
      <c r="D353" t="n">
        <v>1680.36</v>
      </c>
      <c r="E353" s="5">
        <f>(D353-D352)/D352</f>
        <v/>
      </c>
    </row>
    <row r="354">
      <c r="A354" t="inlineStr">
        <is>
          <t>2025-11-27</t>
        </is>
      </c>
      <c r="B354" t="n">
        <v>24535</v>
      </c>
      <c r="C354" s="5">
        <f>(B354-B353)/B353</f>
        <v/>
      </c>
      <c r="D354" t="n">
        <v>1684.32</v>
      </c>
      <c r="E354" s="5">
        <f>(D354-D353)/D353</f>
        <v/>
      </c>
    </row>
    <row r="355">
      <c r="A355" t="inlineStr">
        <is>
          <t>2025-11-28</t>
        </is>
      </c>
      <c r="B355" t="n">
        <v>24462</v>
      </c>
      <c r="C355" s="5">
        <f>(B355-B354)/B354</f>
        <v/>
      </c>
      <c r="D355" t="n">
        <v>1690.99</v>
      </c>
      <c r="E355" s="5">
        <f>(D355-D354)/D354</f>
        <v/>
      </c>
    </row>
    <row r="356">
      <c r="A356" t="inlineStr">
        <is>
          <t>2025-12-01</t>
        </is>
      </c>
      <c r="B356" t="n">
        <v>24209</v>
      </c>
      <c r="C356" s="5">
        <f>(B356-B355)/B355</f>
        <v/>
      </c>
      <c r="D356" t="n">
        <v>1701.67</v>
      </c>
      <c r="E356" s="5">
        <f>(D356-D355)/D355</f>
        <v/>
      </c>
    </row>
    <row r="357">
      <c r="A357" t="inlineStr">
        <is>
          <t>2025-12-02</t>
        </is>
      </c>
      <c r="B357" t="n">
        <v>24644</v>
      </c>
      <c r="C357" s="5">
        <f>(B357-B356)/B356</f>
        <v/>
      </c>
      <c r="D357" t="n">
        <v>1717.06</v>
      </c>
      <c r="E357" s="5">
        <f>(D357-D356)/D356</f>
        <v/>
      </c>
    </row>
    <row r="358">
      <c r="A358" t="inlineStr">
        <is>
          <t>2025-12-03</t>
        </is>
      </c>
      <c r="B358" t="n">
        <v>25115</v>
      </c>
      <c r="C358" s="5">
        <f>(B358-B357)/B357</f>
        <v/>
      </c>
      <c r="D358" t="n">
        <v>1731.77</v>
      </c>
      <c r="E358" s="5">
        <f>(D358-D357)/D357</f>
        <v/>
      </c>
    </row>
    <row r="359">
      <c r="A359" t="inlineStr">
        <is>
          <t>2025-12-04</t>
        </is>
      </c>
      <c r="B359" t="n">
        <v>25405</v>
      </c>
      <c r="C359" s="5">
        <f>(B359-B358)/B358</f>
        <v/>
      </c>
      <c r="D359" t="n">
        <v>1737.24</v>
      </c>
      <c r="E359" s="5">
        <f>(D359-D358)/D358</f>
        <v/>
      </c>
    </row>
    <row r="360">
      <c r="A360" t="inlineStr">
        <is>
          <t>2025-12-05</t>
        </is>
      </c>
      <c r="B360" t="n">
        <v>24970</v>
      </c>
      <c r="C360" s="5">
        <f>(B360-B359)/B359</f>
        <v/>
      </c>
      <c r="D360" t="n">
        <v>1741.32</v>
      </c>
      <c r="E360" s="5">
        <f>(D360-D359)/D359</f>
        <v/>
      </c>
    </row>
    <row r="361">
      <c r="A361" t="inlineStr">
        <is>
          <t>2025-12-08</t>
        </is>
      </c>
      <c r="B361" t="n">
        <v>24535</v>
      </c>
      <c r="C361" s="5">
        <f>(B361-B360)/B360</f>
        <v/>
      </c>
      <c r="D361" t="n">
        <v>1753.74</v>
      </c>
      <c r="E361" s="5">
        <f>(D361-D360)/D360</f>
        <v/>
      </c>
    </row>
    <row r="362">
      <c r="A362" t="inlineStr">
        <is>
          <t>2025-12-09</t>
        </is>
      </c>
      <c r="B362" t="n">
        <v>24716</v>
      </c>
      <c r="C362" s="5">
        <f>(B362-B361)/B361</f>
        <v/>
      </c>
      <c r="D362" t="n">
        <v>1747.17</v>
      </c>
      <c r="E362" s="5">
        <f>(D362-D361)/D361</f>
        <v/>
      </c>
    </row>
    <row r="363">
      <c r="A363" t="inlineStr">
        <is>
          <t>2025-12-10</t>
        </is>
      </c>
      <c r="B363" t="n">
        <v>24861</v>
      </c>
      <c r="C363" s="5">
        <f>(B363-B362)/B362</f>
        <v/>
      </c>
      <c r="D363" t="n">
        <v>1718.98</v>
      </c>
      <c r="E363" s="5">
        <f>(D363-D362)/D362</f>
        <v/>
      </c>
    </row>
    <row r="364">
      <c r="A364" t="inlineStr">
        <is>
          <t>2025-12-11</t>
        </is>
      </c>
      <c r="B364" t="n">
        <v>24789</v>
      </c>
      <c r="C364" s="5">
        <f>(B364-B363)/B363</f>
        <v/>
      </c>
      <c r="D364" t="n">
        <v>1698.9</v>
      </c>
      <c r="E364" s="5">
        <f>(D364-D363)/D363</f>
        <v/>
      </c>
    </row>
    <row r="365">
      <c r="A365" t="inlineStr">
        <is>
          <t>2025-12-12</t>
        </is>
      </c>
      <c r="B365" t="n">
        <v>23701</v>
      </c>
      <c r="C365" s="5">
        <f>(B365-B364)/B364</f>
        <v/>
      </c>
      <c r="D365" t="n">
        <v>1646.89</v>
      </c>
      <c r="E365" s="5">
        <f>(D365-D364)/D364</f>
        <v/>
      </c>
    </row>
    <row r="366">
      <c r="A366" t="inlineStr">
        <is>
          <t>2025-12-15</t>
        </is>
      </c>
      <c r="B366" t="n">
        <v>24172</v>
      </c>
      <c r="C366" s="5">
        <f>(B366-B365)/B365</f>
        <v/>
      </c>
      <c r="D366" t="n">
        <v>1646.01</v>
      </c>
      <c r="E366" s="5">
        <f>(D366-D365)/D365</f>
        <v/>
      </c>
    </row>
    <row r="367">
      <c r="A367" t="inlineStr">
        <is>
          <t>2025-12-16</t>
        </is>
      </c>
      <c r="B367" t="n">
        <v>24789</v>
      </c>
      <c r="C367" s="5">
        <f>(B367-B366)/B366</f>
        <v/>
      </c>
      <c r="D367" t="n">
        <v>1679.18</v>
      </c>
      <c r="E367" s="5">
        <f>(D367-D366)/D366</f>
        <v/>
      </c>
    </row>
    <row r="368">
      <c r="A368" t="inlineStr">
        <is>
          <t>2025-12-17</t>
        </is>
      </c>
      <c r="B368" t="n">
        <v>24789</v>
      </c>
      <c r="C368" s="5">
        <f>(B368-B367)/B367</f>
        <v/>
      </c>
      <c r="D368" t="n">
        <v>1673.66</v>
      </c>
      <c r="E368" s="5">
        <f>(D368-D367)/D367</f>
        <v/>
      </c>
    </row>
    <row r="369">
      <c r="A369" t="inlineStr">
        <is>
          <t>2025-12-18</t>
        </is>
      </c>
      <c r="B369" t="n">
        <v>24789</v>
      </c>
      <c r="C369" s="5">
        <f>(B369-B368)/B368</f>
        <v/>
      </c>
      <c r="D369" t="n">
        <v>1676.98</v>
      </c>
      <c r="E369" s="5">
        <f>(D369-D368)/D368</f>
        <v/>
      </c>
    </row>
    <row r="370">
      <c r="A370" t="inlineStr">
        <is>
          <t>2025-12-19</t>
        </is>
      </c>
      <c r="B370" t="n">
        <v>25187</v>
      </c>
      <c r="C370" s="5">
        <f>(B370-B369)/B369</f>
        <v/>
      </c>
      <c r="D370" t="n">
        <v>1704.31</v>
      </c>
      <c r="E370" s="5">
        <f>(D370-D369)/D369</f>
        <v/>
      </c>
    </row>
    <row r="371">
      <c r="A371" t="inlineStr">
        <is>
          <t>2025-12-22</t>
        </is>
      </c>
      <c r="B371" t="n">
        <v>25513</v>
      </c>
      <c r="C371" s="5">
        <f>(B371-B370)/B370</f>
        <v/>
      </c>
      <c r="D371" t="n">
        <v>1751.03</v>
      </c>
      <c r="E371" s="5">
        <f>(D371-D370)/D370</f>
        <v/>
      </c>
    </row>
    <row r="372">
      <c r="A372" t="inlineStr">
        <is>
          <t>2025-12-23</t>
        </is>
      </c>
      <c r="B372" t="n">
        <v>24861</v>
      </c>
      <c r="C372" s="5">
        <f>(B372-B371)/B371</f>
        <v/>
      </c>
      <c r="D372" t="n">
        <v>1772.15</v>
      </c>
      <c r="E372" s="5">
        <f>(D372-D371)/D371</f>
        <v/>
      </c>
    </row>
    <row r="373">
      <c r="A373" t="inlineStr">
        <is>
          <t>2025-12-24</t>
        </is>
      </c>
      <c r="B373" t="n">
        <v>25839</v>
      </c>
      <c r="C373" s="5">
        <f>(B373-B372)/B372</f>
        <v/>
      </c>
      <c r="D373" t="n">
        <v>1782.82</v>
      </c>
      <c r="E373" s="5">
        <f>(D373-D372)/D372</f>
        <v/>
      </c>
    </row>
    <row r="374">
      <c r="A374" t="inlineStr">
        <is>
          <t>2025-12-25</t>
        </is>
      </c>
      <c r="B374" t="n">
        <v>24933</v>
      </c>
      <c r="C374" s="5">
        <f>(B374-B373)/B373</f>
        <v/>
      </c>
      <c r="D374" t="n">
        <v>1742.85</v>
      </c>
      <c r="E374" s="5">
        <f>(D374-D373)/D373</f>
        <v/>
      </c>
    </row>
    <row r="375">
      <c r="A375" t="inlineStr">
        <is>
          <t>2025-12-26</t>
        </is>
      </c>
      <c r="B375" t="n">
        <v>25803</v>
      </c>
      <c r="C375" s="5">
        <f>(B375-B374)/B374</f>
        <v/>
      </c>
      <c r="D375" t="n">
        <v>1729.8</v>
      </c>
      <c r="E375" s="5">
        <f>(D375-D374)/D374</f>
        <v/>
      </c>
    </row>
    <row r="376">
      <c r="A376" t="inlineStr">
        <is>
          <t>2025-12-29</t>
        </is>
      </c>
      <c r="B376" t="n">
        <v>25586</v>
      </c>
      <c r="C376" s="5">
        <f>(B376-B375)/B375</f>
        <v/>
      </c>
      <c r="D376" t="n">
        <v>1754.84</v>
      </c>
      <c r="E376" s="5">
        <f>(D376-D375)/D375</f>
        <v/>
      </c>
    </row>
    <row r="377">
      <c r="A377" t="inlineStr">
        <is>
          <t>2025-12-30</t>
        </is>
      </c>
      <c r="B377" t="n">
        <v>25658</v>
      </c>
      <c r="C377" s="5">
        <f>(B377-B376)/B376</f>
        <v/>
      </c>
      <c r="D377" t="n">
        <v>1766.9</v>
      </c>
      <c r="E377" s="5">
        <f>(D377-D376)/D376</f>
        <v/>
      </c>
    </row>
    <row r="378">
      <c r="A378" t="inlineStr">
        <is>
          <t>2025-12-31</t>
        </is>
      </c>
      <c r="B378" t="n">
        <v>25586</v>
      </c>
      <c r="C378" s="5">
        <f>(B378-B377)/B377</f>
        <v/>
      </c>
      <c r="D378" t="n">
        <v>1784.49</v>
      </c>
      <c r="E378" s="5">
        <f>(D378-D377)/D377</f>
        <v/>
      </c>
    </row>
    <row r="379">
      <c r="A379" t="inlineStr">
        <is>
          <t>2026-01-05</t>
        </is>
      </c>
      <c r="B379" t="n">
        <v>24607</v>
      </c>
      <c r="C379" s="5">
        <f>(B379-B378)/B378</f>
        <v/>
      </c>
      <c r="D379" t="n">
        <v>1788.4</v>
      </c>
      <c r="E379" s="5">
        <f>(D379-D378)/D378</f>
        <v/>
      </c>
    </row>
    <row r="380">
      <c r="A380" t="inlineStr">
        <is>
          <t>2026-01-06</t>
        </is>
      </c>
      <c r="B380" t="n">
        <v>24644</v>
      </c>
      <c r="C380" s="5">
        <f>(B380-B379)/B379</f>
        <v/>
      </c>
      <c r="D380" t="n">
        <v>1816.27</v>
      </c>
      <c r="E380" s="5">
        <f>(D380-D379)/D379</f>
        <v/>
      </c>
    </row>
    <row r="381">
      <c r="A381" t="inlineStr">
        <is>
          <t>2026-01-07</t>
        </is>
      </c>
      <c r="B381" t="n">
        <v>25115</v>
      </c>
      <c r="C381" s="5">
        <f>(B381-B380)/B380</f>
        <v/>
      </c>
      <c r="D381" t="n">
        <v>1861.58</v>
      </c>
      <c r="E381" s="5">
        <f>(D381-D380)/D380</f>
        <v/>
      </c>
    </row>
    <row r="382">
      <c r="A382" t="inlineStr">
        <is>
          <t>2026-01-08</t>
        </is>
      </c>
      <c r="B382" t="n">
        <v>25004</v>
      </c>
      <c r="C382" s="5">
        <f>(B382-B381)/B381</f>
        <v/>
      </c>
      <c r="D382" t="n">
        <v>1855.56</v>
      </c>
      <c r="E382" s="5">
        <f>(D382-D381)/D381</f>
        <v/>
      </c>
    </row>
    <row r="383">
      <c r="A383" t="inlineStr">
        <is>
          <t>2026-01-09</t>
        </is>
      </c>
      <c r="B383" t="n">
        <v>24673</v>
      </c>
      <c r="C383" s="5">
        <f>(B383-B382)/B382</f>
        <v/>
      </c>
      <c r="D383" t="n">
        <v>1867.9</v>
      </c>
      <c r="E383" s="5">
        <f>(D383-D382)/D382</f>
        <v/>
      </c>
    </row>
    <row r="384">
      <c r="A384" t="inlineStr">
        <is>
          <t>2026-01-12</t>
        </is>
      </c>
      <c r="B384" t="n">
        <v>26364</v>
      </c>
      <c r="C384" s="5">
        <f>(B384-B383)/B383</f>
        <v/>
      </c>
      <c r="D384" t="n">
        <v>1877.33</v>
      </c>
      <c r="E384" s="5">
        <f>(D384-D383)/D383</f>
        <v/>
      </c>
    </row>
    <row r="385">
      <c r="A385" t="inlineStr">
        <is>
          <t>2026-01-13</t>
        </is>
      </c>
      <c r="B385" t="n">
        <v>26217</v>
      </c>
      <c r="C385" s="5">
        <f>(B385-B384)/B384</f>
        <v/>
      </c>
      <c r="D385" t="n">
        <v>1902.93</v>
      </c>
      <c r="E385" s="5">
        <f>(D385-D384)/D384</f>
        <v/>
      </c>
    </row>
    <row r="386">
      <c r="A386" t="inlineStr">
        <is>
          <t>2026-01-14</t>
        </is>
      </c>
      <c r="B386" t="n">
        <v>26107</v>
      </c>
      <c r="C386" s="5">
        <f>(B386-B385)/B385</f>
        <v/>
      </c>
      <c r="D386" t="n">
        <v>1894.44</v>
      </c>
      <c r="E386" s="5">
        <f>(D386-D385)/D385</f>
        <v/>
      </c>
    </row>
    <row r="387">
      <c r="A387" t="inlineStr">
        <is>
          <t>2026-01-15</t>
        </is>
      </c>
      <c r="B387" t="n">
        <v>25629</v>
      </c>
      <c r="C387" s="5">
        <f>(B387-B386)/B386</f>
        <v/>
      </c>
      <c r="D387" t="n">
        <v>1864.8</v>
      </c>
      <c r="E387" s="5">
        <f>(D387-D386)/D386</f>
        <v/>
      </c>
    </row>
    <row r="388">
      <c r="A388" t="inlineStr">
        <is>
          <t>2026-01-16</t>
        </is>
      </c>
      <c r="B388" t="n">
        <v>25518</v>
      </c>
      <c r="C388" s="5">
        <f>(B388-B387)/B387</f>
        <v/>
      </c>
      <c r="D388" t="n">
        <v>1879.13</v>
      </c>
      <c r="E388" s="5">
        <f>(D388-D387)/D387</f>
        <v/>
      </c>
    </row>
    <row r="389">
      <c r="A389" t="inlineStr">
        <is>
          <t>2026-01-19</t>
        </is>
      </c>
      <c r="B389" t="n">
        <v>25592</v>
      </c>
      <c r="C389" s="5">
        <f>(B389-B388)/B388</f>
        <v/>
      </c>
      <c r="D389" t="n">
        <v>1896.59</v>
      </c>
      <c r="E389" s="5">
        <f>(D389-D388)/D388</f>
        <v/>
      </c>
    </row>
    <row r="390">
      <c r="A390" t="inlineStr">
        <is>
          <t>2026-01-20</t>
        </is>
      </c>
      <c r="B390" t="n">
        <v>25996</v>
      </c>
      <c r="C390" s="5">
        <f>(B390-B389)/B389</f>
        <v/>
      </c>
      <c r="D390" t="n">
        <v>1893.78</v>
      </c>
      <c r="E390" s="5">
        <f>(D390-D389)/D389</f>
        <v/>
      </c>
    </row>
    <row r="391">
      <c r="A391" t="inlineStr">
        <is>
          <t>2026-01-21</t>
        </is>
      </c>
      <c r="B391" t="n">
        <v>25739</v>
      </c>
      <c r="C391" s="5">
        <f>(B391-B390)/B390</f>
        <v/>
      </c>
      <c r="D391" t="n">
        <v>1885.44</v>
      </c>
      <c r="E391" s="5">
        <f>(D391-D390)/D390</f>
        <v/>
      </c>
    </row>
    <row r="392">
      <c r="A392" t="inlineStr">
        <is>
          <t>2026-01-22</t>
        </is>
      </c>
      <c r="B392" t="n">
        <v>25849</v>
      </c>
      <c r="C392" s="5">
        <f>(B392-B391)/B391</f>
        <v/>
      </c>
      <c r="D392" t="n">
        <v>1882.73</v>
      </c>
      <c r="E392" s="5">
        <f>(D392-D391)/D391</f>
        <v/>
      </c>
    </row>
    <row r="393">
      <c r="A393" t="inlineStr">
        <is>
          <t>2026-01-23</t>
        </is>
      </c>
      <c r="B393" t="n">
        <v>26401</v>
      </c>
      <c r="C393" s="5">
        <f>(B393-B392)/B392</f>
        <v/>
      </c>
      <c r="D393" t="n">
        <v>1870.79</v>
      </c>
      <c r="E393" s="5">
        <f>(D393-D392)/D392</f>
        <v/>
      </c>
    </row>
    <row r="394">
      <c r="A394" t="inlineStr">
        <is>
          <t>2026-01-26</t>
        </is>
      </c>
      <c r="B394" t="n">
        <v>27063</v>
      </c>
      <c r="C394" s="5">
        <f>(B394-B393)/B393</f>
        <v/>
      </c>
      <c r="D394" t="n">
        <v>1843.72</v>
      </c>
      <c r="E394" s="5">
        <f>(D394-D393)/D393</f>
        <v/>
      </c>
    </row>
    <row r="395">
      <c r="A395" t="inlineStr">
        <is>
          <t>2026-01-27</t>
        </is>
      </c>
      <c r="B395" t="n">
        <v>27210</v>
      </c>
      <c r="C395" s="5">
        <f>(B395-B394)/B394</f>
        <v/>
      </c>
      <c r="D395" t="n">
        <v>1830.5</v>
      </c>
      <c r="E395" s="5">
        <f>(D395-D394)/D394</f>
        <v/>
      </c>
    </row>
    <row r="396">
      <c r="A396" t="inlineStr">
        <is>
          <t>2026-01-28</t>
        </is>
      </c>
      <c r="B396" t="n">
        <v>26585</v>
      </c>
      <c r="C396" s="5">
        <f>(B396-B395)/B395</f>
        <v/>
      </c>
      <c r="D396" t="n">
        <v>1802.91</v>
      </c>
      <c r="E396" s="5">
        <f>(D396-D395)/D395</f>
        <v/>
      </c>
    </row>
    <row r="397">
      <c r="A397" t="inlineStr">
        <is>
          <t>2026-01-29</t>
        </is>
      </c>
      <c r="B397" t="n">
        <v>26585</v>
      </c>
      <c r="C397" s="5">
        <f>(B397-B396)/B396</f>
        <v/>
      </c>
      <c r="D397" t="n">
        <v>1814.98</v>
      </c>
      <c r="E397" s="5">
        <f>(D397-D396)/D396</f>
        <v/>
      </c>
    </row>
    <row r="398">
      <c r="A398" t="inlineStr">
        <is>
          <t>2026-01-30</t>
        </is>
      </c>
      <c r="B398" t="n">
        <v>26952</v>
      </c>
      <c r="C398" s="5">
        <f>(B398-B397)/B397</f>
        <v/>
      </c>
      <c r="D398" t="n">
        <v>1829.04</v>
      </c>
      <c r="E398" s="5">
        <f>(D398-D397)/D397</f>
        <v/>
      </c>
    </row>
    <row r="399">
      <c r="A399" t="inlineStr">
        <is>
          <t>2026-02-02</t>
        </is>
      </c>
      <c r="B399" t="n">
        <v>26474</v>
      </c>
      <c r="C399" s="5">
        <f>(B399-B398)/B398</f>
        <v/>
      </c>
      <c r="D399" t="n">
        <v>1806.5</v>
      </c>
      <c r="E399" s="5">
        <f>(D399-D398)/D398</f>
        <v/>
      </c>
    </row>
    <row r="400">
      <c r="A400" t="inlineStr">
        <is>
          <t>2026-02-03</t>
        </is>
      </c>
      <c r="B400" t="n">
        <v>26695</v>
      </c>
      <c r="C400" s="5">
        <f>(B400-B399)/B399</f>
        <v/>
      </c>
      <c r="D400" t="n">
        <v>1813.4</v>
      </c>
      <c r="E400" s="5">
        <f>(D400-D399)/D399</f>
        <v/>
      </c>
    </row>
    <row r="401">
      <c r="A401" t="inlineStr">
        <is>
          <t>2026-02-04</t>
        </is>
      </c>
      <c r="B401" t="n">
        <v>27026</v>
      </c>
      <c r="C401" s="5">
        <f>(B401-B400)/B400</f>
        <v/>
      </c>
      <c r="D401" t="n">
        <v>1791.43</v>
      </c>
      <c r="E401" s="5">
        <f>(D401-D400)/D400</f>
        <v/>
      </c>
    </row>
    <row r="402">
      <c r="A402" t="inlineStr">
        <is>
          <t>2026-02-05</t>
        </is>
      </c>
      <c r="B402" t="n">
        <v>26548</v>
      </c>
      <c r="C402" s="5">
        <f>(B402-B401)/B401</f>
        <v/>
      </c>
      <c r="D402" t="n">
        <v>1782.56</v>
      </c>
      <c r="E402" s="5">
        <f>(D402-D401)/D401</f>
        <v/>
      </c>
    </row>
    <row r="403">
      <c r="A403" t="inlineStr">
        <is>
          <t>2026-02-06</t>
        </is>
      </c>
      <c r="B403" t="n">
        <v>25187</v>
      </c>
      <c r="C403" s="5">
        <f>(B403-B402)/B402</f>
        <v/>
      </c>
      <c r="D403" t="n">
        <v>1755.49</v>
      </c>
      <c r="E403" s="5">
        <f>(D403-D402)/D402</f>
        <v/>
      </c>
    </row>
    <row r="404">
      <c r="A404" t="inlineStr">
        <is>
          <t>2026-02-09</t>
        </is>
      </c>
      <c r="B404" t="n">
        <v>25335</v>
      </c>
      <c r="C404" s="5">
        <f>(B404-B403)/B403</f>
        <v/>
      </c>
      <c r="D404" t="n">
        <v>1754.82</v>
      </c>
      <c r="E404" s="5">
        <f>(D404-D403)/D403</f>
        <v/>
      </c>
    </row>
    <row r="405">
      <c r="A405" t="inlineStr">
        <is>
          <t>2026-02-10</t>
        </is>
      </c>
      <c r="B405" t="n">
        <v>25555</v>
      </c>
      <c r="C405" s="5">
        <f>(B405-B404)/B404</f>
        <v/>
      </c>
      <c r="D405" t="n">
        <v>1754.03</v>
      </c>
      <c r="E405" s="5">
        <f>(D405-D404)/D404</f>
        <v/>
      </c>
    </row>
    <row r="406">
      <c r="A406" t="inlineStr">
        <is>
          <t>2026-02-11</t>
        </is>
      </c>
      <c r="B406" t="n">
        <v>26143</v>
      </c>
      <c r="C406" s="5">
        <f>(B406-B405)/B405</f>
        <v/>
      </c>
      <c r="D406" t="n">
        <v>1796.85</v>
      </c>
      <c r="E406" s="5">
        <f>(D406-D405)/D405</f>
        <v/>
      </c>
    </row>
    <row r="407">
      <c r="A407" t="inlineStr">
        <is>
          <t>2026-02-12</t>
        </is>
      </c>
      <c r="B407" t="n">
        <v>26401</v>
      </c>
      <c r="C407" s="5">
        <f>(B407-B406)/B406</f>
        <v/>
      </c>
      <c r="D407" t="n">
        <v>1814.09</v>
      </c>
      <c r="E407" s="5">
        <f>(D407-D406)/D406</f>
        <v/>
      </c>
    </row>
    <row r="408">
      <c r="A408" t="inlineStr">
        <is>
          <t>2026-02-13</t>
        </is>
      </c>
      <c r="B408" t="n">
        <v>26842</v>
      </c>
      <c r="C408" s="5">
        <f>(B408-B407)/B407</f>
        <v/>
      </c>
      <c r="D408" t="n">
        <v>1824.09</v>
      </c>
      <c r="E408" s="5">
        <f>(D408-D407)/D407</f>
        <v/>
      </c>
    </row>
    <row r="409">
      <c r="A409" t="inlineStr">
        <is>
          <t>2026-02-23</t>
        </is>
      </c>
      <c r="B409" t="n">
        <v>27173</v>
      </c>
      <c r="C409" s="5">
        <f>(B409-B408)/B408</f>
        <v/>
      </c>
      <c r="D409" t="n">
        <v>1860.14</v>
      </c>
      <c r="E409" s="5">
        <f>(D409-D408)/D408</f>
        <v/>
      </c>
    </row>
    <row r="410">
      <c r="A410" t="inlineStr">
        <is>
          <t>2026-02-24</t>
        </is>
      </c>
      <c r="B410" t="n">
        <v>27210</v>
      </c>
      <c r="C410" s="5">
        <f>(B410-B409)/B409</f>
        <v/>
      </c>
      <c r="D410" t="n">
        <v>1867.62</v>
      </c>
      <c r="E410" s="5">
        <f>(D410-D409)/D409</f>
        <v/>
      </c>
    </row>
    <row r="411">
      <c r="A411" t="inlineStr">
        <is>
          <t>2026-02-25</t>
        </is>
      </c>
      <c r="B411" t="n">
        <v>26842</v>
      </c>
      <c r="C411" s="5">
        <f>(B411-B410)/B410</f>
        <v/>
      </c>
      <c r="D411" t="n">
        <v>1860.91</v>
      </c>
      <c r="E411" s="5">
        <f>(D411-D410)/D410</f>
        <v/>
      </c>
    </row>
    <row r="412">
      <c r="A412" t="inlineStr">
        <is>
          <t>2026-02-26</t>
        </is>
      </c>
      <c r="B412" t="n">
        <v>27320</v>
      </c>
      <c r="C412" s="5">
        <f>(B412-B411)/B411</f>
        <v/>
      </c>
      <c r="D412" t="n">
        <v>1879.64</v>
      </c>
      <c r="E412" s="5">
        <f>(D412-D411)/D411</f>
        <v/>
      </c>
    </row>
    <row r="413">
      <c r="A413" t="inlineStr">
        <is>
          <t>2026-02-27</t>
        </is>
      </c>
      <c r="B413" t="n">
        <v>28313</v>
      </c>
      <c r="C413" s="5">
        <f>(B413-B412)/B412</f>
        <v/>
      </c>
      <c r="D413" t="n">
        <v>1880.33</v>
      </c>
      <c r="E413" s="5">
        <f>(D413-D412)/D412</f>
        <v/>
      </c>
    </row>
    <row r="414">
      <c r="A414" t="inlineStr">
        <is>
          <t>2026-03-02</t>
        </is>
      </c>
      <c r="B414" t="n">
        <v>28313</v>
      </c>
      <c r="C414" s="5">
        <f>(B414-B413)/B413</f>
        <v/>
      </c>
      <c r="D414" t="n">
        <v>1846.1</v>
      </c>
      <c r="E414" s="5">
        <f>(D414-D413)/D413</f>
        <v/>
      </c>
    </row>
    <row r="415">
      <c r="A415" t="inlineStr">
        <is>
          <t>2026-03-03</t>
        </is>
      </c>
      <c r="B415" t="n">
        <v>28092</v>
      </c>
      <c r="C415" s="5">
        <f>(B415-B414)/B414</f>
        <v/>
      </c>
      <c r="D415" t="n">
        <v>1813.14</v>
      </c>
      <c r="E415" s="5">
        <f>(D415-D414)/D414</f>
        <v/>
      </c>
    </row>
    <row r="416">
      <c r="A416" t="inlineStr">
        <is>
          <t>2026-03-04</t>
        </is>
      </c>
      <c r="B416" t="n">
        <v>30041</v>
      </c>
      <c r="C416" s="5">
        <f>(B416-B415)/B415</f>
        <v/>
      </c>
      <c r="D416" t="n">
        <v>1818.27</v>
      </c>
      <c r="E416" s="5">
        <f>(D416-D415)/D415</f>
        <v/>
      </c>
    </row>
    <row r="417">
      <c r="A417" t="inlineStr">
        <is>
          <t>2026-03-05</t>
        </is>
      </c>
      <c r="B417" t="n">
        <v>29784</v>
      </c>
      <c r="C417" s="5">
        <f>(B417-B416)/B416</f>
        <v/>
      </c>
      <c r="D417" t="n">
        <v>1808.51</v>
      </c>
      <c r="E417" s="5">
        <f>(D417-D416)/D416</f>
        <v/>
      </c>
    </row>
    <row r="418">
      <c r="A418" t="inlineStr">
        <is>
          <t>2026-03-06</t>
        </is>
      </c>
      <c r="B418" t="n">
        <v>27945</v>
      </c>
      <c r="C418" s="5">
        <f>(B418-B417)/B417</f>
        <v/>
      </c>
      <c r="D418" t="n">
        <v>1767.84</v>
      </c>
      <c r="E418" s="5">
        <f>(D418-D417)/D417</f>
        <v/>
      </c>
    </row>
    <row r="419">
      <c r="A419" t="inlineStr">
        <is>
          <t>2026-03-09</t>
        </is>
      </c>
      <c r="B419" t="n">
        <v>25996</v>
      </c>
      <c r="C419" s="5">
        <f>(B419-B418)/B418</f>
        <v/>
      </c>
      <c r="D419" t="n">
        <v>1652.79</v>
      </c>
      <c r="E419" s="5">
        <f>(D419-D418)/D418</f>
        <v/>
      </c>
    </row>
    <row r="420">
      <c r="A420" t="inlineStr">
        <is>
          <t>2026-03-10</t>
        </is>
      </c>
      <c r="B420" t="n">
        <v>26254</v>
      </c>
      <c r="C420" s="5">
        <f>(B420-B419)/B419</f>
        <v/>
      </c>
      <c r="D420" t="n">
        <v>1676.73</v>
      </c>
      <c r="E420" s="5">
        <f>(D420-D419)/D419</f>
        <v/>
      </c>
    </row>
    <row r="421">
      <c r="A421" t="inlineStr">
        <is>
          <t>2026-03-11</t>
        </is>
      </c>
      <c r="B421" t="n">
        <v>27357</v>
      </c>
      <c r="C421" s="5">
        <f>(B421-B420)/B420</f>
        <v/>
      </c>
      <c r="D421" t="n">
        <v>1728.34</v>
      </c>
      <c r="E421" s="5">
        <f>(D421-D420)/D420</f>
        <v/>
      </c>
    </row>
    <row r="422">
      <c r="A422" t="inlineStr">
        <is>
          <t>2026-03-12</t>
        </is>
      </c>
      <c r="B422" t="n">
        <v>26916</v>
      </c>
      <c r="C422" s="5">
        <f>(B422-B421)/B421</f>
        <v/>
      </c>
      <c r="D422" t="n">
        <v>1709.61</v>
      </c>
      <c r="E422" s="5">
        <f>(D422-D421)/D421</f>
        <v/>
      </c>
    </row>
    <row r="423">
      <c r="A423" t="inlineStr">
        <is>
          <t>2026-03-13</t>
        </is>
      </c>
      <c r="B423" t="n">
        <v>27173</v>
      </c>
      <c r="C423" s="5">
        <f>(B423-B422)/B422</f>
        <v/>
      </c>
      <c r="D423" t="n">
        <v>1696.24</v>
      </c>
      <c r="E423" s="5">
        <f>(D423-D422)/D422</f>
        <v/>
      </c>
    </row>
    <row r="424">
      <c r="A424" t="inlineStr">
        <is>
          <t>2026-03-16</t>
        </is>
      </c>
      <c r="B424" t="n">
        <v>27173</v>
      </c>
      <c r="C424" s="5">
        <f>(B424-B423)/B423</f>
        <v/>
      </c>
      <c r="D424" t="n">
        <v>1693.21</v>
      </c>
      <c r="E424" s="5">
        <f>(D424-D423)/D423</f>
        <v/>
      </c>
    </row>
    <row r="425">
      <c r="A425" t="inlineStr">
        <is>
          <t>2026-03-17</t>
        </is>
      </c>
      <c r="B425" t="n">
        <v>27394</v>
      </c>
      <c r="C425" s="5">
        <f>(B425-B424)/B424</f>
        <v/>
      </c>
      <c r="D425" t="n">
        <v>1710.29</v>
      </c>
      <c r="E425" s="5">
        <f>(D425-D424)/D424</f>
        <v/>
      </c>
    </row>
    <row r="426">
      <c r="A426" t="inlineStr">
        <is>
          <t>2026-03-18</t>
        </is>
      </c>
      <c r="B426" t="n">
        <v>26474</v>
      </c>
      <c r="C426" s="5">
        <f>(B426-B425)/B425</f>
        <v/>
      </c>
      <c r="D426" t="n">
        <v>1713.83</v>
      </c>
      <c r="E426" s="5">
        <f>(D426-D425)/D425</f>
        <v/>
      </c>
    </row>
    <row r="427">
      <c r="A427" t="inlineStr">
        <is>
          <t>2026-03-19</t>
        </is>
      </c>
      <c r="B427" t="n">
        <v>25776</v>
      </c>
      <c r="C427" s="5">
        <f>(B427-B426)/B426</f>
        <v/>
      </c>
      <c r="D427" t="n">
        <v>1699.13</v>
      </c>
      <c r="E427" s="5">
        <f>(D427-D426)/D426</f>
        <v/>
      </c>
    </row>
    <row r="428">
      <c r="A428" t="inlineStr">
        <is>
          <t>2026-03-20</t>
        </is>
      </c>
      <c r="B428" t="n">
        <v>26254</v>
      </c>
      <c r="C428" s="5">
        <f>(B428-B427)/B427</f>
        <v/>
      </c>
      <c r="D428" t="n">
        <v>1647.81</v>
      </c>
      <c r="E428" s="5">
        <f>(D428-D427)/D427</f>
        <v/>
      </c>
    </row>
    <row r="429">
      <c r="A429" t="inlineStr">
        <is>
          <t>2026-03-23</t>
        </is>
      </c>
      <c r="B429" t="n">
        <v>24452</v>
      </c>
      <c r="C429" s="5">
        <f>(B429-B428)/B428</f>
        <v/>
      </c>
      <c r="D429" t="n">
        <v>1591.17</v>
      </c>
      <c r="E429" s="5">
        <f>(D429-D428)/D428</f>
        <v/>
      </c>
    </row>
    <row r="430">
      <c r="A430" t="inlineStr">
        <is>
          <t>2026-03-24</t>
        </is>
      </c>
      <c r="B430" t="n">
        <v>25004</v>
      </c>
      <c r="C430" s="5">
        <f>(B430-B429)/B429</f>
        <v/>
      </c>
      <c r="D430" t="n">
        <v>1614.77</v>
      </c>
      <c r="E430" s="5">
        <f>(D430-D429)/D429</f>
        <v/>
      </c>
    </row>
    <row r="431">
      <c r="A431" t="inlineStr">
        <is>
          <t>2026-03-25</t>
        </is>
      </c>
      <c r="B431" t="n">
        <v>25739</v>
      </c>
      <c r="C431" s="5">
        <f>(B431-B430)/B430</f>
        <v/>
      </c>
      <c r="D431" t="n">
        <v>1658.19</v>
      </c>
      <c r="E431" s="5">
        <f>(D431-D430)/D430</f>
        <v/>
      </c>
    </row>
    <row r="432">
      <c r="A432" t="inlineStr">
        <is>
          <t>2026-03-26</t>
        </is>
      </c>
      <c r="B432" t="n">
        <v>26400</v>
      </c>
      <c r="C432" s="5">
        <f>(B432-B431)/B431</f>
        <v/>
      </c>
      <c r="D432" t="n">
        <v>1644.63</v>
      </c>
      <c r="E432" s="5">
        <f>(D432-D431)/D431</f>
        <v/>
      </c>
    </row>
    <row r="433">
      <c r="A433" t="inlineStr">
        <is>
          <t>2026-03-27</t>
        </is>
      </c>
      <c r="B433" t="n">
        <v>26700</v>
      </c>
      <c r="C433" s="5">
        <f>(B433-B432)/B432</f>
        <v/>
      </c>
      <c r="D433" t="n">
        <v>1672.8</v>
      </c>
      <c r="E433" s="5">
        <f>(D433-D432)/D432</f>
        <v/>
      </c>
    </row>
    <row r="434">
      <c r="A434" t="inlineStr">
        <is>
          <t>2026-03-30</t>
        </is>
      </c>
      <c r="B434" t="n">
        <v>26150</v>
      </c>
      <c r="C434" s="5">
        <f>(B434-B433)/B433</f>
        <v/>
      </c>
      <c r="D434" t="n">
        <v>1662.54</v>
      </c>
      <c r="E434" s="5">
        <f>(D434-D433)/D433</f>
        <v/>
      </c>
    </row>
    <row r="435">
      <c r="A435" t="inlineStr">
        <is>
          <t>2026-03-31</t>
        </is>
      </c>
      <c r="B435" t="n">
        <v>26700</v>
      </c>
      <c r="C435" s="5">
        <f>(B435-B434)/B434</f>
        <v/>
      </c>
      <c r="D435" t="n">
        <v>1674.49</v>
      </c>
      <c r="E435" s="5">
        <f>(D435-D434)/D434</f>
        <v/>
      </c>
    </row>
    <row r="436">
      <c r="A436" t="inlineStr">
        <is>
          <t>2026-04-01</t>
        </is>
      </c>
      <c r="B436" t="n">
        <v>27350</v>
      </c>
      <c r="C436" s="5">
        <f>(B436-B435)/B435</f>
        <v/>
      </c>
      <c r="D436" t="n">
        <v>1702.93</v>
      </c>
      <c r="E436" s="5">
        <f>(D436-D435)/D435</f>
        <v/>
      </c>
    </row>
    <row r="437">
      <c r="A437" t="inlineStr">
        <is>
          <t>2026-04-02</t>
        </is>
      </c>
      <c r="B437" t="n">
        <v>26950</v>
      </c>
      <c r="C437" s="5">
        <f>(B437-B436)/B436</f>
        <v/>
      </c>
      <c r="D437" t="n">
        <v>1694.82</v>
      </c>
      <c r="E437" s="5">
        <f>(D437-D436)/D436</f>
        <v/>
      </c>
    </row>
    <row r="438">
      <c r="A438" t="inlineStr">
        <is>
          <t>2026-04-03</t>
        </is>
      </c>
      <c r="B438" t="n">
        <v>26500</v>
      </c>
      <c r="C438" s="5">
        <f>(B438-B437)/B437</f>
        <v/>
      </c>
      <c r="D438" t="n">
        <v>1684.04</v>
      </c>
      <c r="E438" s="5">
        <f>(D438-D437)/D437</f>
        <v/>
      </c>
    </row>
    <row r="439">
      <c r="A439" t="inlineStr">
        <is>
          <t>2026-04-06</t>
        </is>
      </c>
      <c r="B439" t="n">
        <v>26300</v>
      </c>
      <c r="C439" s="5">
        <f>(B439-B438)/B438</f>
        <v/>
      </c>
      <c r="D439" t="n">
        <v>1674.99</v>
      </c>
      <c r="E439" s="5">
        <f>(D439-D438)/D438</f>
        <v/>
      </c>
    </row>
    <row r="440">
      <c r="A440" t="inlineStr">
        <is>
          <t>2026-04-07</t>
        </is>
      </c>
      <c r="B440" t="n">
        <v>27200</v>
      </c>
      <c r="C440" s="5">
        <f>(B440-B439)/B439</f>
        <v/>
      </c>
      <c r="D440" t="n">
        <v>1677.54</v>
      </c>
      <c r="E440" s="5">
        <f>(D440-D439)/D439</f>
        <v/>
      </c>
    </row>
    <row r="441">
      <c r="A441" t="inlineStr">
        <is>
          <t>2026-04-08</t>
        </is>
      </c>
      <c r="B441" t="n">
        <v>29000</v>
      </c>
      <c r="C441" s="5">
        <f>(B441-B440)/B440</f>
        <v/>
      </c>
      <c r="D441" t="n">
        <v>1756.55</v>
      </c>
      <c r="E441" s="5">
        <f>(D441-D440)/D440</f>
        <v/>
      </c>
    </row>
    <row r="442">
      <c r="A442" t="inlineStr">
        <is>
          <t>2026-04-09</t>
        </is>
      </c>
      <c r="B442" t="n">
        <v>28000</v>
      </c>
      <c r="C442" s="5">
        <f>(B442-B441)/B441</f>
        <v/>
      </c>
      <c r="D442" t="n">
        <v>1736.68</v>
      </c>
      <c r="E442" s="5">
        <f>(D442-D441)/D441</f>
        <v/>
      </c>
    </row>
    <row r="443">
      <c r="A443" t="inlineStr">
        <is>
          <t>2026-04-10</t>
        </is>
      </c>
      <c r="B443" t="n">
        <v>27900</v>
      </c>
      <c r="C443" s="5">
        <f>(B443-B442)/B442</f>
        <v/>
      </c>
      <c r="D443" t="n">
        <v>1750</v>
      </c>
      <c r="E443" s="5">
        <f>(D443-D442)/D442</f>
        <v/>
      </c>
    </row>
    <row r="444">
      <c r="A444" t="inlineStr">
        <is>
          <t>2026-04-13</t>
        </is>
      </c>
      <c r="B444" t="n">
        <v>28100</v>
      </c>
      <c r="C444" s="5">
        <f>(B444-B443)/B443</f>
        <v/>
      </c>
      <c r="D444" t="n">
        <v>1758.96</v>
      </c>
      <c r="E444" s="5">
        <f>(D444-D443)/D443</f>
        <v/>
      </c>
    </row>
    <row r="445">
      <c r="A445" t="inlineStr">
        <is>
          <t>2026-04-14</t>
        </is>
      </c>
      <c r="B445" t="n">
        <v>27950</v>
      </c>
      <c r="C445" s="5">
        <f>(B445-B444)/B444</f>
        <v/>
      </c>
      <c r="D445" t="n">
        <v>1775.65</v>
      </c>
      <c r="E445" s="5">
        <f>(D445-D444)/D444</f>
        <v/>
      </c>
    </row>
    <row r="446">
      <c r="A446" t="inlineStr">
        <is>
          <t>2026-04-15</t>
        </is>
      </c>
      <c r="B446" t="n">
        <v>27700</v>
      </c>
      <c r="C446" s="5">
        <f>(B446-B445)/B445</f>
        <v/>
      </c>
      <c r="D446" t="n">
        <v>1800.65</v>
      </c>
      <c r="E446" s="5">
        <f>(D446-D445)/D445</f>
        <v/>
      </c>
    </row>
    <row r="447">
      <c r="A447" t="inlineStr">
        <is>
          <t>2026-04-16</t>
        </is>
      </c>
      <c r="B447" t="n">
        <v>27600</v>
      </c>
      <c r="C447" s="5">
        <f>(B447-B446)/B446</f>
        <v/>
      </c>
      <c r="D447" t="n">
        <v>1819.83</v>
      </c>
      <c r="E447" s="5">
        <f>(D447-D446)/D446</f>
        <v/>
      </c>
    </row>
    <row r="448">
      <c r="A448" t="inlineStr">
        <is>
          <t>2026-04-17</t>
        </is>
      </c>
      <c r="B448" t="n">
        <v>27300</v>
      </c>
      <c r="C448" s="5">
        <f>(B448-B447)/B447</f>
        <v/>
      </c>
      <c r="D448" t="n">
        <v>1817.17</v>
      </c>
      <c r="E448" s="5">
        <f>(D448-D447)/D447</f>
        <v/>
      </c>
    </row>
    <row r="449">
      <c r="A449" t="inlineStr">
        <is>
          <t>2026-04-20</t>
        </is>
      </c>
      <c r="B449" t="n">
        <v>27400</v>
      </c>
      <c r="C449" s="5">
        <f>(B449-B448)/B448</f>
        <v/>
      </c>
      <c r="D449" t="n">
        <v>1837.11</v>
      </c>
      <c r="E449" s="5">
        <f>(D449-D448)/D448</f>
        <v/>
      </c>
    </row>
    <row r="450">
      <c r="A450" t="inlineStr">
        <is>
          <t>2026-04-21</t>
        </is>
      </c>
      <c r="B450" t="n">
        <v>26800</v>
      </c>
      <c r="C450" s="5">
        <f>(B450-B449)/B449</f>
        <v/>
      </c>
      <c r="D450" t="n">
        <v>1833.48</v>
      </c>
      <c r="E450" s="5">
        <f>(D450-D449)/D449</f>
        <v/>
      </c>
    </row>
    <row r="451">
      <c r="A451" t="inlineStr">
        <is>
          <t>2026-04-22</t>
        </is>
      </c>
      <c r="B451" t="n">
        <v>26550</v>
      </c>
      <c r="C451" s="5">
        <f>(B451-B450)/B450</f>
        <v/>
      </c>
      <c r="D451" t="n">
        <v>1857.3</v>
      </c>
      <c r="E451" s="5">
        <f>(D451-D450)/D450</f>
        <v/>
      </c>
    </row>
    <row r="452">
      <c r="A452" t="inlineStr">
        <is>
          <t>2026-04-23</t>
        </is>
      </c>
      <c r="B452" t="n">
        <v>27150</v>
      </c>
      <c r="C452" s="5">
        <f>(B452-B451)/B451</f>
        <v/>
      </c>
      <c r="D452" t="n">
        <v>1870.36</v>
      </c>
      <c r="E452" s="5">
        <f>(D452-D451)/D451</f>
        <v/>
      </c>
    </row>
    <row r="453">
      <c r="A453" t="inlineStr">
        <is>
          <t>2026-04-24</t>
        </is>
      </c>
      <c r="B453" t="n">
        <v>27000</v>
      </c>
      <c r="C453" s="5">
        <f>(B453-B452)/B452</f>
        <v/>
      </c>
      <c r="D453" t="n">
        <v>1853.29</v>
      </c>
      <c r="E453" s="5">
        <f>(D453-D452)/D452</f>
        <v/>
      </c>
    </row>
    <row r="454">
      <c r="A454" t="inlineStr">
        <is>
          <t>2026-04-28</t>
        </is>
      </c>
      <c r="B454" t="n">
        <v>26250</v>
      </c>
      <c r="C454" s="5">
        <f>(B454-B453)/B453</f>
        <v/>
      </c>
      <c r="D454" t="n">
        <v>1875.84</v>
      </c>
      <c r="E454" s="5">
        <f>(D454-D453)/D453</f>
        <v/>
      </c>
    </row>
    <row r="455">
      <c r="A455" t="inlineStr">
        <is>
          <t>2026-04-29</t>
        </is>
      </c>
      <c r="B455" t="n">
        <v>26200</v>
      </c>
      <c r="C455" s="5">
        <f>(B455-B454)/B454</f>
        <v/>
      </c>
      <c r="D455" t="n">
        <v>1854.1</v>
      </c>
      <c r="E455" s="5">
        <f>(D455-D454)/D454</f>
        <v/>
      </c>
    </row>
    <row r="456">
      <c r="A456" t="inlineStr">
        <is>
          <t>2026-05-04</t>
        </is>
      </c>
      <c r="B456" t="n">
        <v>26150</v>
      </c>
      <c r="C456" s="5">
        <f>(B456-B455)/B455</f>
        <v/>
      </c>
      <c r="D456" t="n">
        <v>1854.06</v>
      </c>
      <c r="E456" s="5">
        <f>(D456-D455)/D455</f>
        <v/>
      </c>
    </row>
    <row r="457">
      <c r="A457" t="inlineStr">
        <is>
          <t>2026-05-05</t>
        </is>
      </c>
      <c r="B457" t="n">
        <v>25600</v>
      </c>
      <c r="C457" s="5">
        <f>(B457-B456)/B456</f>
        <v/>
      </c>
      <c r="D457" t="n">
        <v>1874.85</v>
      </c>
      <c r="E457" s="5">
        <f>(D457-D456)/D456</f>
        <v/>
      </c>
    </row>
    <row r="458">
      <c r="A458" t="inlineStr">
        <is>
          <t>2026-05-06</t>
        </is>
      </c>
      <c r="B458" t="n">
        <v>26500</v>
      </c>
      <c r="C458" s="5">
        <f>(B458-B457)/B457</f>
        <v/>
      </c>
      <c r="D458" t="n">
        <v>1891.2</v>
      </c>
      <c r="E458" s="5">
        <f>(D458-D457)/D457</f>
        <v/>
      </c>
    </row>
    <row r="459">
      <c r="A459" t="inlineStr">
        <is>
          <t>2026-05-07</t>
        </is>
      </c>
      <c r="B459" t="n">
        <v>25900</v>
      </c>
      <c r="C459" s="5">
        <f>(B459-B458)/B458</f>
        <v/>
      </c>
      <c r="D459" t="n">
        <v>1909.01</v>
      </c>
      <c r="E459" s="5">
        <f>(D459-D458)/D458</f>
        <v/>
      </c>
    </row>
    <row r="460">
      <c r="A460" t="inlineStr">
        <is>
          <t>2026-05-08</t>
        </is>
      </c>
      <c r="B460" t="n">
        <v>25950</v>
      </c>
      <c r="C460" s="5">
        <f>(B460-B459)/B459</f>
        <v/>
      </c>
      <c r="D460" t="n">
        <v>1915.37</v>
      </c>
      <c r="E460" s="5">
        <f>(D460-D459)/D459</f>
        <v/>
      </c>
    </row>
    <row r="461">
      <c r="A461" t="inlineStr">
        <is>
          <t>2026-05-11</t>
        </is>
      </c>
      <c r="B461" t="n">
        <v>25700</v>
      </c>
      <c r="C461" s="5">
        <f>(B461-B460)/B460</f>
        <v/>
      </c>
      <c r="D461" t="n">
        <v>1895.5</v>
      </c>
      <c r="E461" s="5">
        <f>(D461-D460)/D460</f>
        <v/>
      </c>
    </row>
    <row r="462">
      <c r="A462" t="inlineStr">
        <is>
          <t>2026-05-12</t>
        </is>
      </c>
      <c r="B462" t="n">
        <v>25500</v>
      </c>
      <c r="C462" s="5">
        <f>(B462-B461)/B461</f>
        <v/>
      </c>
      <c r="D462" t="n">
        <v>1901.1</v>
      </c>
      <c r="E462" s="5">
        <f>(D462-D461)/D461</f>
        <v/>
      </c>
    </row>
    <row r="463">
      <c r="A463" t="inlineStr">
        <is>
          <t>2026-05-13</t>
        </is>
      </c>
      <c r="B463" t="n">
        <v>25700</v>
      </c>
      <c r="C463" s="5">
        <f>(B463-B462)/B462</f>
        <v/>
      </c>
      <c r="D463" t="n">
        <v>1898.37</v>
      </c>
      <c r="E463" s="5">
        <f>(D463-D462)/D462</f>
        <v/>
      </c>
    </row>
    <row r="464">
      <c r="A464" t="inlineStr">
        <is>
          <t>2026-05-14</t>
        </is>
      </c>
      <c r="B464" t="n">
        <v>25950</v>
      </c>
      <c r="C464" s="5">
        <f>(B464-B463)/B463</f>
        <v/>
      </c>
      <c r="D464" t="n">
        <v>1925.46</v>
      </c>
      <c r="E464" s="5">
        <f>(D464-D463)/D463</f>
        <v/>
      </c>
    </row>
    <row r="465">
      <c r="A465" t="inlineStr">
        <is>
          <t>2026-05-15</t>
        </is>
      </c>
      <c r="B465" t="n">
        <v>25600</v>
      </c>
      <c r="C465" s="5">
        <f>(B465-B464)/B464</f>
        <v/>
      </c>
      <c r="D465" t="n">
        <v>1921.6</v>
      </c>
      <c r="E465" s="5">
        <f>(D465-D464)/D464</f>
        <v/>
      </c>
    </row>
    <row r="466">
      <c r="A466" t="inlineStr">
        <is>
          <t>2026-05-18</t>
        </is>
      </c>
      <c r="B466" t="n">
        <v>25750</v>
      </c>
      <c r="C466" s="5">
        <f>(B466-B465)/B465</f>
        <v/>
      </c>
      <c r="D466" t="n">
        <v>1927.94</v>
      </c>
      <c r="E466" s="5">
        <f>(D466-D465)/D465</f>
        <v/>
      </c>
    </row>
    <row r="467">
      <c r="A467" t="inlineStr">
        <is>
          <t>2026-05-19</t>
        </is>
      </c>
      <c r="B467" t="n">
        <v>25600</v>
      </c>
      <c r="C467" s="5">
        <f>(B467-B466)/B466</f>
        <v/>
      </c>
      <c r="D467" t="n">
        <v>1912.93</v>
      </c>
      <c r="E467" s="5">
        <f>(D467-D466)/D466</f>
        <v/>
      </c>
    </row>
    <row r="468">
      <c r="A468" t="inlineStr">
        <is>
          <t>2026-05-20</t>
        </is>
      </c>
      <c r="B468" t="n">
        <v>24950</v>
      </c>
      <c r="C468" s="5">
        <f>(B468-B467)/B467</f>
        <v/>
      </c>
      <c r="D468" t="n">
        <v>1913.23</v>
      </c>
      <c r="E468" s="5">
        <f>(D468-D467)/D467</f>
        <v/>
      </c>
    </row>
    <row r="469">
      <c r="A469" t="inlineStr">
        <is>
          <t>2026-05-21</t>
        </is>
      </c>
      <c r="B469" t="n">
        <v>24600</v>
      </c>
      <c r="C469" s="5">
        <f>(B469-B468)/B468</f>
        <v/>
      </c>
      <c r="D469" t="n">
        <v>1896.89</v>
      </c>
      <c r="E469" s="5">
        <f>(D469-D468)/D468</f>
        <v/>
      </c>
    </row>
    <row r="470">
      <c r="A470" t="inlineStr">
        <is>
          <t>2026-05-22</t>
        </is>
      </c>
      <c r="B470" t="n">
        <v>25000</v>
      </c>
      <c r="C470" s="5">
        <f>(B470-B469)/B469</f>
        <v/>
      </c>
      <c r="D470" t="n">
        <v>1877.13</v>
      </c>
      <c r="E470" s="5">
        <f>(D470-D469)/D469</f>
        <v/>
      </c>
    </row>
    <row r="471">
      <c r="A471" t="inlineStr">
        <is>
          <t>2026-05-25</t>
        </is>
      </c>
      <c r="B471" t="n">
        <v>24750</v>
      </c>
      <c r="C471" s="5">
        <f>(B471-B470)/B470</f>
        <v/>
      </c>
      <c r="D471" t="n">
        <v>1886.03</v>
      </c>
      <c r="E471" s="5">
        <f>(D471-D470)/D470</f>
        <v/>
      </c>
    </row>
    <row r="472">
      <c r="A472" t="inlineStr">
        <is>
          <t>2026-05-26</t>
        </is>
      </c>
      <c r="B472" t="n">
        <v>25100</v>
      </c>
      <c r="C472" s="5">
        <f>(B472-B471)/B471</f>
        <v/>
      </c>
      <c r="D472" t="n">
        <v>1884.18</v>
      </c>
      <c r="E472" s="5">
        <f>(D472-D471)/D471</f>
        <v/>
      </c>
    </row>
    <row r="473">
      <c r="A473" t="inlineStr">
        <is>
          <t>2026-05-27</t>
        </is>
      </c>
      <c r="B473" t="n">
        <v>25100</v>
      </c>
      <c r="C473" s="5">
        <f>(B473-B472)/B472</f>
        <v/>
      </c>
      <c r="D473" t="n">
        <v>1874.43</v>
      </c>
      <c r="E473" s="5">
        <f>(D473-D472)/D472</f>
        <v/>
      </c>
    </row>
    <row r="474">
      <c r="A474" t="inlineStr">
        <is>
          <t>2026-05-28</t>
        </is>
      </c>
      <c r="B474" t="n">
        <v>25000</v>
      </c>
      <c r="C474" s="5">
        <f>(B474-B473)/B473</f>
        <v/>
      </c>
      <c r="D474" t="n">
        <v>1863.67</v>
      </c>
      <c r="E474" s="5">
        <f>(D474-D473)/D473</f>
        <v/>
      </c>
    </row>
    <row r="475">
      <c r="A475" t="inlineStr">
        <is>
          <t>2026-05-29</t>
        </is>
      </c>
      <c r="B475" t="n">
        <v>24650</v>
      </c>
      <c r="C475" s="5">
        <f>(B475-B474)/B474</f>
        <v/>
      </c>
      <c r="D475" t="n">
        <v>1863.49</v>
      </c>
      <c r="E475" s="5">
        <f>(D475-D474)/D474</f>
        <v/>
      </c>
    </row>
    <row r="476">
      <c r="A476" t="inlineStr">
        <is>
          <t>2026-06-01</t>
        </is>
      </c>
      <c r="B476" t="n">
        <v>24700</v>
      </c>
      <c r="C476" s="5">
        <f>(B476-B475)/B475</f>
        <v/>
      </c>
      <c r="D476" t="n">
        <v>1844.54</v>
      </c>
      <c r="E476" s="5">
        <f>(D476-D475)/D475</f>
        <v/>
      </c>
    </row>
    <row r="477">
      <c r="A477" t="inlineStr">
        <is>
          <t>2026-06-02</t>
        </is>
      </c>
      <c r="B477" t="n">
        <v>24350</v>
      </c>
      <c r="C477" s="5">
        <f>(B477-B476)/B476</f>
        <v/>
      </c>
      <c r="D477" t="n">
        <v>1826.47</v>
      </c>
      <c r="E477" s="5">
        <f>(D477-D476)/D476</f>
        <v/>
      </c>
    </row>
    <row r="478">
      <c r="A478" t="inlineStr">
        <is>
          <t>2026-06-03</t>
        </is>
      </c>
      <c r="B478" t="n">
        <v>24500</v>
      </c>
      <c r="C478" s="5">
        <f>(B478-B477)/B477</f>
        <v/>
      </c>
      <c r="D478" t="n">
        <v>1819.01</v>
      </c>
      <c r="E478" s="5">
        <f>(D478-D477)/D477</f>
        <v/>
      </c>
    </row>
    <row r="479">
      <c r="A479" t="inlineStr">
        <is>
          <t>2026-06-04</t>
        </is>
      </c>
      <c r="B479" t="n">
        <v>24350</v>
      </c>
      <c r="C479" s="5">
        <f>(B479-B478)/B478</f>
        <v/>
      </c>
      <c r="D479" t="n">
        <v>1831.55</v>
      </c>
      <c r="E479" s="5">
        <f>(D479-D478)/D478</f>
        <v/>
      </c>
    </row>
    <row r="480">
      <c r="A480" t="inlineStr">
        <is>
          <t>2026-06-05</t>
        </is>
      </c>
      <c r="B480" t="n">
        <v>24150</v>
      </c>
      <c r="C480" s="5">
        <f>(B480-B479)/B479</f>
        <v/>
      </c>
      <c r="D480" t="n">
        <v>1838.9</v>
      </c>
      <c r="E480" s="5">
        <f>(D480-D479)/D479</f>
        <v/>
      </c>
    </row>
    <row r="481">
      <c r="A481" t="inlineStr">
        <is>
          <t>2026-06-08</t>
        </is>
      </c>
      <c r="B481" t="n">
        <v>23400</v>
      </c>
      <c r="C481" s="5">
        <f>(B481-B480)/B480</f>
        <v/>
      </c>
      <c r="D481" t="n">
        <v>1790.53</v>
      </c>
      <c r="E481" s="5">
        <f>(D481-D480)/D480</f>
        <v/>
      </c>
    </row>
    <row r="482">
      <c r="A482" t="inlineStr">
        <is>
          <t>2026-06-09</t>
        </is>
      </c>
      <c r="B482" t="n">
        <v>23400</v>
      </c>
      <c r="C482" s="5">
        <f>(B482-B481)/B481</f>
        <v/>
      </c>
      <c r="D482" t="n">
        <v>1793.05</v>
      </c>
      <c r="E482" s="5">
        <f>(D482-D481)/D481</f>
        <v/>
      </c>
    </row>
    <row r="483">
      <c r="A483" t="inlineStr">
        <is>
          <t>2026-06-10</t>
        </is>
      </c>
      <c r="B483" t="n">
        <v>23500</v>
      </c>
      <c r="C483" s="5">
        <f>(B483-B482)/B482</f>
        <v/>
      </c>
      <c r="D483" t="n">
        <v>1803.71</v>
      </c>
      <c r="E483" s="5">
        <f>(D483-D482)/D482</f>
        <v/>
      </c>
    </row>
    <row r="484">
      <c r="A484" t="inlineStr">
        <is>
          <t>2026-06-11</t>
        </is>
      </c>
      <c r="B484" t="n">
        <v>23400</v>
      </c>
      <c r="C484" s="5">
        <f>(B484-B483)/B483</f>
        <v/>
      </c>
      <c r="D484" t="n">
        <v>1798.61</v>
      </c>
      <c r="E484" s="5">
        <f>(D484-D483)/D483</f>
        <v/>
      </c>
    </row>
    <row r="485">
      <c r="A485" t="inlineStr">
        <is>
          <t>2026-06-12</t>
        </is>
      </c>
      <c r="B485" t="n">
        <v>23600</v>
      </c>
      <c r="C485" s="5">
        <f>(B485-B484)/B484</f>
        <v/>
      </c>
      <c r="D485" t="n">
        <v>1791.65</v>
      </c>
      <c r="E485" s="5">
        <f>(D485-D484)/D484</f>
        <v/>
      </c>
    </row>
    <row r="486">
      <c r="A486" t="inlineStr">
        <is>
          <t>2026-06-15</t>
        </is>
      </c>
      <c r="B486" t="n">
        <v>24450</v>
      </c>
      <c r="C486" s="5">
        <f>(B486-B485)/B485</f>
        <v/>
      </c>
      <c r="D486" t="n">
        <v>1799.31</v>
      </c>
      <c r="E486" s="5">
        <f>(D486-D485)/D485</f>
        <v/>
      </c>
    </row>
    <row r="487">
      <c r="A487" t="inlineStr">
        <is>
          <t>2026-06-16</t>
        </is>
      </c>
      <c r="B487" t="n">
        <v>24850</v>
      </c>
      <c r="C487" s="5">
        <f>(B487-B486)/B486</f>
        <v/>
      </c>
      <c r="D487" t="n">
        <v>1807.94</v>
      </c>
      <c r="E487" s="5">
        <f>(D487-D486)/D486</f>
        <v/>
      </c>
    </row>
    <row r="488">
      <c r="A488" t="inlineStr">
        <is>
          <t>2026-06-17</t>
        </is>
      </c>
      <c r="B488" t="n">
        <v>24650</v>
      </c>
      <c r="C488" s="5">
        <f>(B488-B487)/B487</f>
        <v/>
      </c>
      <c r="D488" t="n">
        <v>1806.2</v>
      </c>
      <c r="E488" s="5">
        <f>(D488-D487)/D487</f>
        <v/>
      </c>
    </row>
    <row r="489">
      <c r="A489" t="inlineStr">
        <is>
          <t>2026-06-18</t>
        </is>
      </c>
      <c r="B489" t="n">
        <v>24500</v>
      </c>
      <c r="C489" s="5">
        <f>(B489-B488)/B488</f>
        <v/>
      </c>
      <c r="D489" t="n">
        <v>1830.47</v>
      </c>
      <c r="E489" s="5">
        <f>(D489-D488)/D488</f>
        <v/>
      </c>
    </row>
    <row r="490">
      <c r="A490" t="inlineStr">
        <is>
          <t>2026-06-19</t>
        </is>
      </c>
      <c r="B490" t="n">
        <v>24600</v>
      </c>
      <c r="C490" s="5">
        <f>(B490-B489)/B489</f>
        <v/>
      </c>
      <c r="D490" t="n">
        <v>1824.53</v>
      </c>
      <c r="E490" s="5">
        <f>(D490-D489)/D489</f>
        <v/>
      </c>
    </row>
    <row r="491">
      <c r="A491" t="inlineStr">
        <is>
          <t>2026-06-22</t>
        </is>
      </c>
      <c r="B491" t="n">
        <v>25000</v>
      </c>
      <c r="C491" s="5">
        <f>(B491-B490)/B490</f>
        <v/>
      </c>
      <c r="D491" t="n">
        <v>1857.91</v>
      </c>
      <c r="E491" s="5">
        <f>(D491-D490)/D490</f>
        <v/>
      </c>
    </row>
    <row r="492">
      <c r="A492" t="inlineStr">
        <is>
          <t>2026-06-23</t>
        </is>
      </c>
      <c r="B492" t="n">
        <v>24500</v>
      </c>
      <c r="C492" s="5">
        <f>(B492-B491)/B491</f>
        <v/>
      </c>
      <c r="D492" t="n">
        <v>1869.04</v>
      </c>
      <c r="E492" s="5">
        <f>(D492-D491)/D491</f>
        <v/>
      </c>
    </row>
    <row r="493">
      <c r="A493" t="inlineStr">
        <is>
          <t>2026-06-24</t>
        </is>
      </c>
      <c r="B493" t="n">
        <v>24150</v>
      </c>
      <c r="C493" s="5">
        <f>(B493-B492)/B492</f>
        <v/>
      </c>
      <c r="D493" t="n">
        <v>1878.02</v>
      </c>
      <c r="E493" s="5">
        <f>(D493-D492)/D492</f>
        <v/>
      </c>
    </row>
    <row r="494">
      <c r="A494" t="inlineStr">
        <is>
          <t>2026-06-25</t>
        </is>
      </c>
      <c r="B494" t="n">
        <v>24050</v>
      </c>
      <c r="C494" s="5">
        <f>(B494-B493)/B493</f>
        <v/>
      </c>
      <c r="D494" t="n">
        <v>1863.07</v>
      </c>
      <c r="E494" s="5">
        <f>(D494-D493)/D493</f>
        <v/>
      </c>
    </row>
    <row r="495">
      <c r="A495" t="inlineStr">
        <is>
          <t>2026-06-26</t>
        </is>
      </c>
      <c r="B495" t="n">
        <v>24050</v>
      </c>
      <c r="C495" s="5">
        <f>(B495-B494)/B494</f>
        <v/>
      </c>
      <c r="D495" t="n">
        <v>1871.91</v>
      </c>
      <c r="E495" s="5">
        <f>(D495-D494)/D494</f>
        <v/>
      </c>
    </row>
    <row r="496">
      <c r="A496" t="inlineStr">
        <is>
          <t>2026-06-29</t>
        </is>
      </c>
      <c r="B496" t="n">
        <v>24350</v>
      </c>
      <c r="C496" s="5">
        <f>(B496-B495)/B495</f>
        <v/>
      </c>
      <c r="D496" t="n">
        <v>1854.97</v>
      </c>
      <c r="E496" s="5">
        <f>(D496-D495)/D495</f>
        <v/>
      </c>
    </row>
    <row r="497">
      <c r="A497" t="inlineStr">
        <is>
          <t>2026-06-30</t>
        </is>
      </c>
      <c r="B497" t="n">
        <v>24350</v>
      </c>
      <c r="C497" s="5">
        <f>(B497-B496)/B496</f>
        <v/>
      </c>
      <c r="D497" t="n">
        <v>1860.01</v>
      </c>
      <c r="E497" s="5">
        <f>(D497-D496)/D496</f>
        <v/>
      </c>
    </row>
    <row r="498">
      <c r="A498" t="inlineStr">
        <is>
          <t>2026-07-01</t>
        </is>
      </c>
      <c r="B498" t="n">
        <v>24900</v>
      </c>
      <c r="C498" s="5">
        <f>(B498-B497)/B497</f>
        <v/>
      </c>
      <c r="D498" t="n">
        <v>1867.21</v>
      </c>
      <c r="E498" s="5">
        <f>(D498-D497)/D497</f>
        <v/>
      </c>
    </row>
    <row r="499">
      <c r="A499" t="inlineStr">
        <is>
          <t>2026-07-02</t>
        </is>
      </c>
      <c r="B499" t="n">
        <v>24850</v>
      </c>
      <c r="C499" s="5">
        <f>(B499-B498)/B498</f>
        <v/>
      </c>
      <c r="D499" t="n">
        <v>1866.35</v>
      </c>
      <c r="E499" s="5">
        <f>(D499-D498)/D498</f>
        <v/>
      </c>
    </row>
    <row r="500">
      <c r="A500" t="inlineStr">
        <is>
          <t>2026-07-03</t>
        </is>
      </c>
      <c r="B500" t="n">
        <v>25100</v>
      </c>
      <c r="C500" s="5">
        <f>(B500-B499)/B499</f>
        <v/>
      </c>
      <c r="D500" t="n">
        <v>1862.08</v>
      </c>
      <c r="E500" s="5">
        <f>(D500-D499)/D499</f>
        <v/>
      </c>
    </row>
    <row r="501">
      <c r="A501" t="inlineStr">
        <is>
          <t>2026-07-06</t>
        </is>
      </c>
      <c r="B501" t="n">
        <v>24450</v>
      </c>
      <c r="C501" s="5">
        <f>(B501-B500)/B500</f>
        <v/>
      </c>
      <c r="D501" t="n">
        <v>1843.5</v>
      </c>
      <c r="E501" s="5">
        <f>(D501-D500)/D500</f>
        <v/>
      </c>
    </row>
    <row r="502">
      <c r="A502" t="inlineStr">
        <is>
          <t>2026-07-07</t>
        </is>
      </c>
      <c r="B502" t="n">
        <v>24900</v>
      </c>
      <c r="C502" s="5">
        <f>(B502-B501)/B501</f>
        <v/>
      </c>
      <c r="D502" t="n">
        <v>1848.25</v>
      </c>
      <c r="E502" s="5">
        <f>(D502-D501)/D501</f>
        <v/>
      </c>
    </row>
    <row r="503">
      <c r="A503" t="inlineStr">
        <is>
          <t>2026-07-08</t>
        </is>
      </c>
      <c r="B503" t="n">
        <v>25400</v>
      </c>
      <c r="C503" s="5">
        <f>(B503-B502)/B502</f>
        <v/>
      </c>
      <c r="D503" t="n">
        <v>1853.7</v>
      </c>
      <c r="E503" s="5">
        <f>(D503-D502)/D502</f>
        <v/>
      </c>
    </row>
    <row r="504">
      <c r="A504" t="inlineStr">
        <is>
          <t>2026-07-09</t>
        </is>
      </c>
      <c r="B504" t="n">
        <v>25100</v>
      </c>
      <c r="C504" s="5">
        <f>(B504-B503)/B503</f>
        <v/>
      </c>
      <c r="D504" t="n">
        <v>1840.7</v>
      </c>
      <c r="E504" s="5">
        <f>(D504-D503)/D503</f>
        <v/>
      </c>
    </row>
    <row r="505">
      <c r="A505" t="inlineStr">
        <is>
          <t>2026-07-10</t>
        </is>
      </c>
      <c r="B505" t="n">
        <v>24450</v>
      </c>
      <c r="C505" s="5">
        <f>(B505-B504)/B504</f>
        <v/>
      </c>
      <c r="D505" t="n">
        <v>1828.34</v>
      </c>
      <c r="E505" s="5">
        <f>(D505-D504)/D504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42" customWidth="1" min="1" max="1"/>
    <col width="16" customWidth="1" min="2" max="2"/>
    <col width="50" customWidth="1" min="3" max="3"/>
  </cols>
  <sheetData>
    <row r="1">
      <c r="A1" s="6" t="inlineStr">
        <is>
          <t>CHI PHÍ VỐN CSH (COE) — MÔ HÌNH CAPM</t>
        </is>
      </c>
    </row>
    <row r="3">
      <c r="A3" s="4" t="inlineStr">
        <is>
          <t>Tham số</t>
        </is>
      </c>
      <c r="B3" s="4" t="inlineStr">
        <is>
          <t>Giá trị</t>
        </is>
      </c>
      <c r="C3" s="4" t="inlineStr">
        <is>
          <t>Ghi chú / Nguồn</t>
        </is>
      </c>
    </row>
    <row r="4">
      <c r="A4" s="7" t="inlineStr">
        <is>
          <t>Rf — Lãi suất phi rủi ro (TPCP 10 năm)</t>
        </is>
      </c>
      <c r="B4" s="8" t="n">
        <v>0.045</v>
      </c>
      <c r="C4" s="7" t="inlineStr">
        <is>
          <t>Fallback (manual)</t>
        </is>
      </c>
    </row>
    <row r="5">
      <c r="A5" s="7" t="inlineStr">
        <is>
          <t>β — Hệ số Beta (Blume-adjusted)</t>
        </is>
      </c>
      <c r="B5" s="9">
        <f>'00_Beta'!E1</f>
        <v/>
      </c>
      <c r="C5" s="7" t="inlineStr">
        <is>
          <t>Tự tính toán (1626 phiên)</t>
        </is>
      </c>
    </row>
    <row r="6">
      <c r="A6" s="7" t="inlineStr">
        <is>
          <t>ERP — Phần bù rủi ro vốn (Damodaran)</t>
        </is>
      </c>
      <c r="B6" s="8" t="n">
        <v>0.07000000000000001</v>
      </c>
      <c r="C6" s="7" t="n"/>
    </row>
    <row r="7">
      <c r="A7" s="7" t="inlineStr">
        <is>
          <t>α — Phần bù rủi ro đặc thù (CTCK: đòn bẩy margin+tự doanh cao hơn TB)</t>
        </is>
      </c>
      <c r="B7" s="8" t="n">
        <v>0.02</v>
      </c>
      <c r="C7" s="7" t="n"/>
    </row>
    <row r="8">
      <c r="A8" s="7" t="n"/>
      <c r="B8" s="7" t="n"/>
      <c r="C8" s="7" t="n"/>
    </row>
    <row r="9">
      <c r="A9" s="10" t="inlineStr">
        <is>
          <t>COE = Rf + β×ERP + α</t>
        </is>
      </c>
      <c r="B9" s="11">
        <f>B4+B5*B6+B7</f>
        <v/>
      </c>
      <c r="C9"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17"/>
  <sheetViews>
    <sheetView workbookViewId="0">
      <selection activeCell="A1" sqref="A1"/>
    </sheetView>
  </sheetViews>
  <sheetFormatPr baseColWidth="8" defaultRowHeight="15"/>
  <cols>
    <col width="4" customWidth="1" min="1" max="1"/>
    <col width="38" customWidth="1" min="2" max="2"/>
    <col width="26" customWidth="1" min="3" max="3"/>
  </cols>
  <sheetData>
    <row r="2">
      <c r="B2" s="6" t="inlineStr">
        <is>
          <t>BÁO CÁO PHÂN TÍCH — Công ty Cổ phần Chứng khoán Vietcap (VCI)</t>
        </is>
      </c>
    </row>
    <row r="3">
      <c r="B3" s="12" t="inlineStr">
        <is>
          <t>Ngành: Dịch vụ tài chính — Chứng khoán (CTCK)</t>
        </is>
      </c>
    </row>
    <row r="4">
      <c r="B4" s="3" t="inlineStr">
        <is>
          <t>Ngày lập báo cáo: 11/07/2026</t>
        </is>
      </c>
    </row>
    <row r="6">
      <c r="B6" s="1" t="inlineStr">
        <is>
          <t>Giá hiện tại (VND)</t>
        </is>
      </c>
      <c r="C6" s="13" t="n">
        <v>24450</v>
      </c>
    </row>
    <row r="7">
      <c r="B7" s="1" t="inlineStr">
        <is>
          <t>Vốn hóa thị trường (tỷ VND)</t>
        </is>
      </c>
      <c r="C7" s="13" t="n">
        <v>28172.07056625</v>
      </c>
    </row>
    <row r="8">
      <c r="B8" s="1" t="inlineStr">
        <is>
          <t>Số cổ phiếu lưu hành</t>
        </is>
      </c>
      <c r="C8" s="13" t="n">
        <v>1152231925</v>
      </c>
    </row>
    <row r="9">
      <c r="B9" s="14" t="inlineStr"/>
    </row>
    <row r="10">
      <c r="B10" s="1" t="inlineStr">
        <is>
          <t>Giá mục tiêu — P/B (VND)</t>
        </is>
      </c>
      <c r="C10" s="13" t="n">
        <v>32119</v>
      </c>
    </row>
    <row r="11">
      <c r="B11" s="1" t="inlineStr">
        <is>
          <t>Giá mục tiêu — P/E (VND)</t>
        </is>
      </c>
      <c r="C11" s="13" t="n">
        <v>18229</v>
      </c>
    </row>
    <row r="12">
      <c r="B12" s="1" t="inlineStr">
        <is>
          <t>P/E trung vị lịch sử</t>
        </is>
      </c>
      <c r="C12" s="15" t="n">
        <v>14.41</v>
      </c>
    </row>
    <row r="13">
      <c r="B13" s="1" t="inlineStr">
        <is>
          <t>P/B trung vị lịch sử</t>
        </is>
      </c>
      <c r="C13" s="15" t="n">
        <v>1.93</v>
      </c>
    </row>
    <row r="14">
      <c r="B14" s="14" t="inlineStr"/>
    </row>
    <row r="15">
      <c r="B15" s="1" t="inlineStr">
        <is>
          <t>GIÁ MỤC TIÊU (bình quân trọng số)</t>
        </is>
      </c>
      <c r="C15" s="16" t="n">
        <v>30730</v>
      </c>
    </row>
    <row r="16">
      <c r="B16" s="1" t="inlineStr">
        <is>
          <t>Tiềm năng tăng giá (upside)</t>
        </is>
      </c>
      <c r="C16" s="5" t="n">
        <v>0.257</v>
      </c>
    </row>
    <row r="17">
      <c r="B17" s="1" t="inlineStr">
        <is>
          <t>KHUYẾN NGHỊ</t>
        </is>
      </c>
      <c r="C17" s="17" t="inlineStr">
        <is>
          <t>MUA</t>
        </is>
      </c>
    </row>
  </sheetData>
  <mergeCells count="1">
    <mergeCell ref="B2:C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8"/>
  <sheetViews>
    <sheetView workbookViewId="0">
      <selection activeCell="A1" sqref="A1"/>
    </sheetView>
  </sheetViews>
  <sheetFormatPr baseColWidth="8" defaultRowHeight="15"/>
  <cols>
    <col width="45"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45" customWidth="1" min="10" max="10"/>
  </cols>
  <sheetData>
    <row r="1">
      <c r="A1" s="4" t="inlineStr">
        <is>
          <t>Chỉ tiêu</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c r="J1" s="4" t="inlineStr">
        <is>
          <t>Ghi chú</t>
        </is>
      </c>
    </row>
    <row r="2">
      <c r="A2" s="18" t="inlineStr">
        <is>
          <t>── GIÁ &amp; VỐN HÓA ──</t>
        </is>
      </c>
    </row>
    <row r="3">
      <c r="A3" s="1" t="inlineStr">
        <is>
          <t>Giá cổ phiếu hiện tại (VND)</t>
        </is>
      </c>
      <c r="B3" s="19" t="n">
        <v>24450</v>
      </c>
      <c r="J3" s="20" t="inlineStr">
        <is>
          <t>Giá đóng cửa gần nhất</t>
        </is>
      </c>
    </row>
    <row r="4">
      <c r="A4" s="1" t="inlineStr">
        <is>
          <t>Số cổ phiếu lưu hành</t>
        </is>
      </c>
      <c r="B4" s="19" t="n">
        <v>1152231925</v>
      </c>
      <c r="J4" s="20" t="inlineStr">
        <is>
          <t>Vốn điều lệ / 10,000</t>
        </is>
      </c>
    </row>
    <row r="5">
      <c r="A5" s="1" t="inlineStr">
        <is>
          <t>Chi phí vốn CSH — COE (%)</t>
        </is>
      </c>
      <c r="B5" s="21">
        <f>'00_COE'!B9</f>
        <v/>
      </c>
      <c r="J5" s="20" t="inlineStr">
        <is>
          <t>Xem chi tiết CAPM tại sheet 00_COE/00_Beta</t>
        </is>
      </c>
    </row>
    <row r="6">
      <c r="A6" s="1" t="inlineStr">
        <is>
          <t>P/E Trung vị lịch sử (x)</t>
        </is>
      </c>
      <c r="B6" s="22">
        <f>'13_PE_PB_History'!B35</f>
        <v/>
      </c>
      <c r="J6" s="20" t="inlineStr">
        <is>
          <t>Link sống tới MEDIAN sheet 13_PE_PB_History</t>
        </is>
      </c>
    </row>
    <row r="7">
      <c r="A7" s="1" t="inlineStr">
        <is>
          <t>P/B Trung vị lịch sử (x)</t>
        </is>
      </c>
      <c r="B7" s="22">
        <f>'13_PE_PB_History'!C35</f>
        <v/>
      </c>
      <c r="J7" s="20" t="inlineStr">
        <is>
          <t>Link sống tới MEDIAN sheet 13_PE_PB_History</t>
        </is>
      </c>
    </row>
    <row r="8">
      <c r="A8" s="1" t="inlineStr">
        <is>
          <t>P/B Trung vị Nửa Dưới (Hấp dẫn) (x)</t>
        </is>
      </c>
      <c r="B8" s="22">
        <f>'13_PE_PB_History'!D35</f>
        <v/>
      </c>
      <c r="J8" s="20" t="inlineStr">
        <is>
          <t>Link sống tới MEDIAN sheet 13_PE_PB_History (nửa dưới)</t>
        </is>
      </c>
    </row>
    <row r="9">
      <c r="A9" s="1" t="inlineStr">
        <is>
          <t>P/B Trung vị Nửa Trên (Đắt) (x)</t>
        </is>
      </c>
      <c r="B9" s="22">
        <f>'13_PE_PB_History'!E35</f>
        <v/>
      </c>
      <c r="J9" s="20" t="inlineStr">
        <is>
          <t>Link sống tới MEDIAN sheet 13_PE_PB_History (nửa trên)</t>
        </is>
      </c>
    </row>
    <row r="10">
      <c r="A10" s="18" t="inlineStr">
        <is>
          <t>── (1) MÔI GIỚI: DT = GTGD/phiên × Số phiên × Thị phần × Phí(bps)/10,000 ──</t>
        </is>
      </c>
    </row>
    <row r="11">
      <c r="A11" s="1" t="inlineStr">
        <is>
          <t>GTGD toàn TT bình quân/phiên (tỷ VND)</t>
        </is>
      </c>
      <c r="B11" s="23" t="n">
        <v>23500</v>
      </c>
      <c r="C11" s="23" t="n">
        <v>16800</v>
      </c>
      <c r="D11" s="23" t="n">
        <v>14800</v>
      </c>
      <c r="E11" s="23" t="n">
        <v>20500</v>
      </c>
      <c r="F11" s="23" t="n">
        <v>28500</v>
      </c>
      <c r="G11" s="19" t="n">
        <v>30780</v>
      </c>
      <c r="H11" s="19" t="n">
        <v>32627</v>
      </c>
      <c r="I11" s="19" t="n">
        <v>34258</v>
      </c>
      <c r="J11" s="20" t="inlineStr">
        <is>
          <t>⚠ GIẢ ĐỊNH THỦ CÔNG, KHÔNG dựa trên dữ liệu vĩ mô thực (mặc định template chỉ là ước lượng xu hướng chung). BẮT BUỘC đối chiếu với bảng 'Diễn biến GTGD thực tế' + khung đánh giá vĩ mô/thanh khoản tại sheet 09_PESTLE trước khi chấp nhận — tốc độ tăng trưởng máy móc dễ gây bias nếu thanh khoản đang hạ nhiệt/tăng nóng bất thường</t>
        </is>
      </c>
    </row>
    <row r="12">
      <c r="A12" s="1" t="inlineStr">
        <is>
          <t>Số phiên giao dịch/năm</t>
        </is>
      </c>
      <c r="B12" s="24" t="n">
        <v>250</v>
      </c>
      <c r="C12" s="24" t="n">
        <v>250</v>
      </c>
      <c r="D12" s="24" t="n">
        <v>250</v>
      </c>
      <c r="E12" s="24" t="n">
        <v>250</v>
      </c>
      <c r="F12" s="24" t="n">
        <v>250</v>
      </c>
      <c r="G12" s="25" t="n">
        <v>250</v>
      </c>
      <c r="H12" s="25" t="n">
        <v>250</v>
      </c>
      <c r="I12" s="25" t="n">
        <v>250</v>
      </c>
      <c r="J12" s="20" t="inlineStr">
        <is>
          <t>~250 phiên/năm</t>
        </is>
      </c>
    </row>
    <row r="13">
      <c r="A13" s="1" t="inlineStr">
        <is>
          <t>Phí môi giới bình quân (bps)</t>
        </is>
      </c>
      <c r="B13" s="26" t="n">
        <v>15</v>
      </c>
      <c r="C13" s="26" t="n">
        <v>15</v>
      </c>
      <c r="D13" s="26" t="n">
        <v>15</v>
      </c>
      <c r="E13" s="26" t="n">
        <v>15</v>
      </c>
      <c r="F13" s="26" t="n">
        <v>15</v>
      </c>
      <c r="G13" s="27" t="n">
        <v>15</v>
      </c>
      <c r="H13" s="27" t="n">
        <v>15</v>
      </c>
      <c r="I13" s="27" t="n">
        <v>15</v>
      </c>
      <c r="J13" s="20" t="inlineStr">
        <is>
          <t>Đơn vị: bps (1 bps = 0,01%) — 15 bps = 0,15%/GTGD (1 chiều), mức phí phổ biến hiện nay (0,15%-0,35% tùy CTCK, KHÔNG phải 15%)</t>
        </is>
      </c>
    </row>
    <row r="14">
      <c r="A14" s="1" t="inlineStr">
        <is>
          <t>Thị phần môi giới (%)</t>
        </is>
      </c>
      <c r="B14" s="8">
        <f>'03_Revenue_Model'!B12/(B11*B12*B13/10000)</f>
        <v/>
      </c>
      <c r="C14" s="8">
        <f>'03_Revenue_Model'!C12/(C11*C12*C13/10000)</f>
        <v/>
      </c>
      <c r="D14" s="8">
        <f>'03_Revenue_Model'!D12/(D11*D12*D13/10000)</f>
        <v/>
      </c>
      <c r="E14" s="8">
        <f>'03_Revenue_Model'!E12/(E11*E12*E13/10000)</f>
        <v/>
      </c>
      <c r="F14" s="8">
        <f>'03_Revenue_Model'!F12/(F11*F12*F13/10000)</f>
        <v/>
      </c>
      <c r="G14" s="21">
        <f>AVERAGE(E14:F14)</f>
        <v/>
      </c>
      <c r="H14" s="21">
        <f>AVERAGE(E14:F14)</f>
        <v/>
      </c>
      <c r="I14" s="21">
        <f>AVERAGE(E14:F14)</f>
        <v/>
      </c>
      <c r="J14" s="20" t="inlineStr">
        <is>
          <t>Lịch sử = DT môi giới ('03_Revenue_Model') / (GTGD×Số phiên×Phí/10,000) — suy ngược SỐNG từ DT thực tế; Dự phóng = TB 2 năm gần nhất (công thức AVERAGE sống)</t>
        </is>
      </c>
    </row>
    <row r="15">
      <c r="A15" s="18" t="inlineStr">
        <is>
          <t>── (2) CHO VAY MARGIN: DT = Dư nợ bình quân × NIM (annualized) ──</t>
        </is>
      </c>
    </row>
    <row r="16">
      <c r="A16" s="1" t="inlineStr">
        <is>
          <t>NIM cho vay Margin (%/năm)</t>
        </is>
      </c>
      <c r="B16" s="8">
        <f>'03_Revenue_Model'!B13/'03_Revenue_Model'!B4</f>
        <v/>
      </c>
      <c r="C16" s="8">
        <f>'03_Revenue_Model'!C13/'03_Revenue_Model'!C4</f>
        <v/>
      </c>
      <c r="D16" s="8">
        <f>'03_Revenue_Model'!D13/'03_Revenue_Model'!D4</f>
        <v/>
      </c>
      <c r="E16" s="8">
        <f>'03_Revenue_Model'!E13/'03_Revenue_Model'!E4</f>
        <v/>
      </c>
      <c r="F16" s="8">
        <f>'03_Revenue_Model'!F13/'03_Revenue_Model'!F4</f>
        <v/>
      </c>
      <c r="G16" s="21">
        <f>AVERAGE(E16:F16)</f>
        <v/>
      </c>
      <c r="H16" s="21">
        <f>AVERAGE(E16:F16)</f>
        <v/>
      </c>
      <c r="I16" s="21">
        <f>AVERAGE(E16:F16)</f>
        <v/>
      </c>
      <c r="J16" s="20" t="inlineStr">
        <is>
          <t>Công thức: Lãi cho vay Margin ('03_Revenue_Model') / Dư nợ bình quân — công thức sống, đã net chi phí vốn ngầm định qua chính biên độ quan sát lịch sử; Dự phóng = TB 2 năm gần nhất</t>
        </is>
      </c>
    </row>
    <row r="17">
      <c r="A17" s="1" t="inlineStr">
        <is>
          <t>Tăng trưởng dư nợ Margin (%/năm)</t>
        </is>
      </c>
      <c r="B17" s="8" t="n"/>
      <c r="C17" s="8" t="n"/>
      <c r="D17" s="8" t="n"/>
      <c r="E17" s="8" t="n"/>
      <c r="F17" s="8" t="n"/>
      <c r="G17" s="21" t="n">
        <v>0.15</v>
      </c>
      <c r="H17" s="21" t="n">
        <v>0.1</v>
      </c>
      <c r="I17" s="21" t="n">
        <v>0.08</v>
      </c>
      <c r="J17" s="20" t="inlineStr">
        <is>
          <t>⚠ GIẢ ĐỊNH THỦ CÔNG, GIẢM DẦN theo năm (thận trọng cho năm xa, tránh cộng dồn tăng trưởng cao liên tục — đặc biệt khi dư nợ margin có trần pháp lý 2,0x VCSH). Điều chỉnh theo kế hoạch tăng vốn/room margin thực tế của CTCK nếu có công bố</t>
        </is>
      </c>
    </row>
    <row r="18">
      <c r="A18" s="18" t="inlineStr">
        <is>
          <t>── (3) TỰ DOANH (FVTPL): DT = Danh mục × (%CDs×R_CDs + %TP×R_TP + %CP×R_VNI) ──</t>
        </is>
      </c>
    </row>
    <row r="19">
      <c r="A19" s="1" t="inlineStr">
        <is>
          <t>Tỷ trọng CDs (Chứng chỉ tiền gửi) trong danh mục</t>
        </is>
      </c>
      <c r="B19" s="8" t="n"/>
      <c r="C19" s="8" t="n"/>
      <c r="D19" s="8" t="n"/>
      <c r="E19" s="8" t="n"/>
      <c r="F19" s="8" t="n"/>
      <c r="G19" s="21" t="n">
        <v>0.5</v>
      </c>
      <c r="H19" s="21" t="n">
        <v>0.5</v>
      </c>
      <c r="I19" s="21" t="n">
        <v>0.5</v>
      </c>
      <c r="J19" s="20" t="inlineStr">
        <is>
          <t>⚠ GIẢ ĐỊNH THỦ CÔNG — chưa có data/fvtpl_holdings/VCI.json (thuyết minh cơ cấu danh mục FVTPL chi tiết theo loại tài sản), nên dùng bảng giả định chung theo ticker/ngành. Mặc định chỉ mang tính khởi điểm — BẮT BUỘC điều chỉnh theo thuyết minh BCTC thực tế nếu có. Đối chiếu với dòng 'Hiệu suất Tự doanh THỰC TẾ lịch sử' bên dưới để hiệu chỉnh.</t>
        </is>
      </c>
    </row>
    <row r="20">
      <c r="A20" s="1" t="inlineStr">
        <is>
          <t>Tỷ trọng TP (Trái phiếu) trong danh mục</t>
        </is>
      </c>
      <c r="B20" s="8" t="n"/>
      <c r="C20" s="8" t="n"/>
      <c r="D20" s="8" t="n"/>
      <c r="E20" s="8" t="n"/>
      <c r="F20" s="8" t="n"/>
      <c r="G20" s="21" t="n">
        <v>0.35</v>
      </c>
      <c r="H20" s="21" t="n">
        <v>0.35</v>
      </c>
      <c r="I20" s="21" t="n">
        <v>0.35</v>
      </c>
      <c r="J20" s="20" t="inlineStr">
        <is>
          <t>⚠ GIẢ ĐỊNH THỦ CÔNG — chưa có data/fvtpl_holdings/VCI.json (thuyết minh cơ cấu danh mục FVTPL chi tiết theo loại tài sản), nên dùng bảng giả định chung theo ticker/ngành. Mặc định chỉ mang tính khởi điểm — BẮT BUỘC điều chỉnh theo thuyết minh BCTC thực tế nếu có. Đối chiếu với dòng 'Hiệu suất Tự doanh THỰC TẾ lịch sử' bên dưới để hiệu chỉnh.</t>
        </is>
      </c>
    </row>
    <row r="21">
      <c r="A21" s="1" t="inlineStr">
        <is>
          <t>Tỷ trọng CP (Cổ phiếu + Chứng chỉ quỹ) trong danh mục</t>
        </is>
      </c>
      <c r="B21" s="8" t="n"/>
      <c r="C21" s="8" t="n"/>
      <c r="D21" s="8" t="n"/>
      <c r="E21" s="8" t="n"/>
      <c r="F21" s="8" t="n"/>
      <c r="G21" s="21" t="n">
        <v>0.15</v>
      </c>
      <c r="H21" s="21" t="n">
        <v>0.15</v>
      </c>
      <c r="I21" s="21" t="n">
        <v>0.15</v>
      </c>
      <c r="J21" s="20" t="inlineStr">
        <is>
          <t>⚠ GIẢ ĐỊNH THỦ CÔNG — chưa có data/fvtpl_holdings/VCI.json (thuyết minh cơ cấu danh mục FVTPL chi tiết theo loại tài sản), nên dùng bảng giả định chung theo ticker/ngành. Mặc định chỉ mang tính khởi điểm — BẮT BUỘC điều chỉnh theo thuyết minh BCTC thực tế nếu có. Đối chiếu với dòng 'Hiệu suất Tự doanh THỰC TẾ lịch sử' bên dưới để hiệu chỉnh.</t>
        </is>
      </c>
    </row>
    <row r="22">
      <c r="A22" s="1" t="inlineStr">
        <is>
          <t>R_CDs — Lãi suất kỳ vọng CDs (%/năm)</t>
        </is>
      </c>
      <c r="B22" s="8" t="n"/>
      <c r="C22" s="8" t="n"/>
      <c r="D22" s="8" t="n"/>
      <c r="E22" s="8" t="n"/>
      <c r="F22" s="8" t="n"/>
      <c r="G22" s="21" t="n">
        <v>0.07000000000000001</v>
      </c>
      <c r="H22" s="21" t="n">
        <v>0.07000000000000001</v>
      </c>
      <c r="I22" s="21" t="n">
        <v>0.07000000000000001</v>
      </c>
      <c r="J22" s="20" t="inlineStr">
        <is>
          <t>✓ Đã đối chiếu (2026-07): lãi suất CDs 12 tháng thực tế 5.5%-7.9% tùy NH (Vietcombank ~7.4-7.9%, BVBank 7.2%) — 7.0% là mức trung bình-thận trọng. Cần cập nhật lại theo mặt bằng lãi suất tại thời điểm phân tích</t>
        </is>
      </c>
    </row>
    <row r="23">
      <c r="A23" s="1" t="inlineStr">
        <is>
          <t>R_TP — Lợi suất kỳ vọng Trái phiếu (%/năm)</t>
        </is>
      </c>
      <c r="B23" s="8" t="n"/>
      <c r="C23" s="8" t="n"/>
      <c r="D23" s="8" t="n"/>
      <c r="E23" s="8" t="n"/>
      <c r="F23" s="8" t="n"/>
      <c r="G23" s="21" t="n">
        <v>0.07000000000000001</v>
      </c>
      <c r="H23" s="21" t="n">
        <v>0.07000000000000001</v>
      </c>
      <c r="I23" s="21" t="n">
        <v>0.07000000000000001</v>
      </c>
      <c r="J23" s="20" t="inlineStr">
        <is>
          <t>✓ Đã đối chiếu (2026-07): coupon trái phiếu NH bình quân phát hành 2026 ~6.4-6.5%, một số NH phát hành 8-8.9% — 7.0% nằm trong dải hợp lý (đây là lợi suất coupon+lãi, KHÔNG dùng chênh lệch đánh giá lại trong thuyết minh FVTPL vì con số đó chỉ là lãi/lỗ giá thị trường, không gồm lãi coupon)</t>
        </is>
      </c>
    </row>
    <row r="24">
      <c r="A24" s="1" t="inlineStr">
        <is>
          <t>R_VNI — Biến động kỳ vọng VN-Index (%/năm)</t>
        </is>
      </c>
      <c r="B24" s="8" t="n"/>
      <c r="C24" s="8" t="n"/>
      <c r="D24" s="8" t="n"/>
      <c r="E24" s="8" t="n"/>
      <c r="F24" s="8" t="n"/>
      <c r="G24" s="21" t="n">
        <v>0.1</v>
      </c>
      <c r="H24" s="21" t="n">
        <v>0.1</v>
      </c>
      <c r="I24" s="21" t="n">
        <v>0.1</v>
      </c>
      <c r="J24" s="20" t="inlineStr">
        <is>
          <t>⚠ KHÔNG kiểm chứng được — kỳ vọng lợi suất tương lai mang tính chủ quan, không có "đúng/sai". Đối chiếu với COE (sheet 00_COE) hoặc quan điểm thị trường riêng khi điều chỉnh</t>
        </is>
      </c>
    </row>
    <row r="25">
      <c r="A25" s="1" t="inlineStr">
        <is>
          <t>Tăng trưởng danh mục Tự doanh (%/năm)</t>
        </is>
      </c>
      <c r="B25" s="8" t="n"/>
      <c r="C25" s="8" t="n"/>
      <c r="D25" s="8" t="n"/>
      <c r="E25" s="8" t="n"/>
      <c r="F25" s="8" t="n"/>
      <c r="G25" s="21" t="n">
        <v>0.1</v>
      </c>
      <c r="H25" s="21" t="n">
        <v>0.08</v>
      </c>
      <c r="I25" s="21" t="n">
        <v>0.06</v>
      </c>
      <c r="J25" s="20" t="inlineStr">
        <is>
          <t>⚠ GIẢ ĐỊNH THỦ CÔNG, GIẢM DẦN theo năm (thận trọng cho năm xa) — điều chỉnh theo kế hoạch phân bổ vốn tự doanh của CTCK (BCTN/ĐHĐCĐ) nếu có công bố</t>
        </is>
      </c>
    </row>
    <row r="26">
      <c r="A26" s="1" t="inlineStr">
        <is>
          <t xml:space="preserve">  ↳ Hiệu suất Tự doanh THỰC TẾ lịch sử (%, tham chiếu)</t>
        </is>
      </c>
      <c r="B26" s="8">
        <f>'03_Revenue_Model'!B14/'03_Revenue_Model'!B7</f>
        <v/>
      </c>
      <c r="C26" s="8">
        <f>'03_Revenue_Model'!C14/'03_Revenue_Model'!C7</f>
        <v/>
      </c>
      <c r="D26" s="8">
        <f>'03_Revenue_Model'!D14/'03_Revenue_Model'!D7</f>
        <v/>
      </c>
      <c r="E26" s="8">
        <f>'03_Revenue_Model'!E14/'03_Revenue_Model'!E7</f>
        <v/>
      </c>
      <c r="F26" s="8">
        <f>'03_Revenue_Model'!F14/'03_Revenue_Model'!F7</f>
        <v/>
      </c>
      <c r="J26" s="20" t="inlineStr">
        <is>
          <t>Công thức: Lãi/lỗ FVTPL thực tế / Danh mục bình quân (công thức sống) — ĐỐI CHIẾU với giả định %CDs×R_CDs+%TP×R_TP+%CP×R_VNI ở trên; nếu lệch nhiều so với dải lịch sử này, cần xem lại R_VNI/cơ cấu danh mục giả định cho hợp lý hơn</t>
        </is>
      </c>
    </row>
    <row r="27">
      <c r="A27" s="18" t="inlineStr">
        <is>
          <t>── (4) IB + LƯU KÝ: DT = Pipeline IB × Fee% + AUM lưu ký × Fee lưu ký% ──</t>
        </is>
      </c>
    </row>
    <row r="28">
      <c r="A28" s="1" t="inlineStr">
        <is>
          <t>Pipeline IB (giá trị deal dự kiến/năm, tỷ VND)</t>
        </is>
      </c>
      <c r="B28" s="23" t="n"/>
      <c r="C28" s="23" t="n"/>
      <c r="D28" s="23" t="n"/>
      <c r="E28" s="23" t="n"/>
      <c r="F28" s="23" t="n"/>
      <c r="G28" s="19" t="n">
        <v>3324.1</v>
      </c>
      <c r="H28" s="19" t="n">
        <v>3324.1</v>
      </c>
      <c r="I28" s="19" t="n">
        <v>3324.1</v>
      </c>
      <c r="J28" s="20" t="inlineStr">
        <is>
          <t>Tư vấn niêm yết, M&amp;A, phát hành vốn — ước tính từ DT IB lịch sử/phí BQ</t>
        </is>
      </c>
    </row>
    <row r="29">
      <c r="A29" s="1" t="inlineStr">
        <is>
          <t>Phí IB bình quân trên giá trị deal (%)</t>
        </is>
      </c>
      <c r="B29" s="8" t="n"/>
      <c r="C29" s="8" t="n"/>
      <c r="D29" s="8" t="n"/>
      <c r="E29" s="8" t="n"/>
      <c r="F29" s="8" t="n"/>
      <c r="G29" s="21" t="n">
        <v>0.02</v>
      </c>
      <c r="H29" s="21" t="n">
        <v>0.02</v>
      </c>
      <c r="I29" s="21" t="n">
        <v>0.02</v>
      </c>
      <c r="J29" s="20" t="inlineStr">
        <is>
          <t>⚠ GIẢ ĐỊNH THỦ CÔNG — phí tư vấn/bảo lãnh phát hành bình quân, điều chỉnh theo cơ cấu deal thực tế (IPO/M&amp;A/trái phiếu có phí khác nhau)</t>
        </is>
      </c>
    </row>
    <row r="30">
      <c r="A30" s="1" t="inlineStr">
        <is>
          <t>Tăng trưởng DT Lưu ký (%/năm)</t>
        </is>
      </c>
      <c r="B30" s="8" t="n"/>
      <c r="C30" s="8" t="n"/>
      <c r="D30" s="8" t="n"/>
      <c r="E30" s="8" t="n"/>
      <c r="F30" s="8" t="n"/>
      <c r="G30" s="21" t="n">
        <v>0.1004</v>
      </c>
      <c r="H30" s="21" t="n">
        <v>0.1004</v>
      </c>
      <c r="I30" s="21" t="n">
        <v>0.1004</v>
      </c>
      <c r="J30" s="20" t="inlineStr">
        <is>
          <t>TB tăng trưởng lịch sử — điều chỉnh theo kế hoạch mở rộng khách hàng lưu ký của CTCK nếu có công bố</t>
        </is>
      </c>
    </row>
    <row r="31">
      <c r="A31" s="18" t="inlineStr">
        <is>
          <t>── (5) QUẢN LÝ QUỸ (QLQ): DT = AUM quản lý × Fee rate (~0.75%/năm) ──</t>
        </is>
      </c>
    </row>
    <row r="32">
      <c r="A32" s="1" t="inlineStr">
        <is>
          <t>AUM quản lý quỹ đầu kỳ dự phóng (tỷ VND)</t>
        </is>
      </c>
      <c r="B32" s="23" t="n"/>
      <c r="C32" s="23" t="n"/>
      <c r="D32" s="23" t="n"/>
      <c r="E32" s="23" t="n"/>
      <c r="F32" s="23" t="n"/>
      <c r="G32" s="19" t="n">
        <v>73.3</v>
      </c>
      <c r="H32" s="19" t="n"/>
      <c r="I32" s="19" t="n"/>
      <c r="J32" s="20" t="inlineStr">
        <is>
          <t>Suy ngược từ DT QLQ lịch sử / Fee rate (nếu CTCK không tách riêng dòng QLQ, đây là ước tính)</t>
        </is>
      </c>
    </row>
    <row r="33">
      <c r="A33" s="1" t="inlineStr">
        <is>
          <t>Fee rate quản lý quỹ (%/năm)</t>
        </is>
      </c>
      <c r="B33" s="8" t="n"/>
      <c r="C33" s="8" t="n"/>
      <c r="D33" s="8" t="n"/>
      <c r="E33" s="8" t="n"/>
      <c r="F33" s="8" t="n"/>
      <c r="G33" s="21" t="n">
        <v>0.0075</v>
      </c>
      <c r="H33" s="21" t="n">
        <v>0.0075</v>
      </c>
      <c r="I33" s="21" t="n">
        <v>0.0075</v>
      </c>
      <c r="J33" s="20" t="inlineStr">
        <is>
          <t>⚠ GIẢ ĐỊNH THỦ CÔNG — mức phí quản lý quỹ phổ biến ~0,75%/năm, điều chỉnh theo biểu phí thực tế của công ty quản lý quỹ trực thuộc CTCK nếu có</t>
        </is>
      </c>
    </row>
    <row r="34">
      <c r="A34" s="1" t="inlineStr">
        <is>
          <t>Tăng trưởng AUM quản lý quỹ (%/năm)</t>
        </is>
      </c>
      <c r="B34" s="8" t="n"/>
      <c r="C34" s="8" t="n"/>
      <c r="D34" s="8" t="n"/>
      <c r="E34" s="8" t="n"/>
      <c r="F34" s="8" t="n"/>
      <c r="G34" s="21" t="n">
        <v>0.2</v>
      </c>
      <c r="H34" s="21" t="n">
        <v>0.15</v>
      </c>
      <c r="I34" s="21" t="n">
        <v>0.12</v>
      </c>
      <c r="J34" s="20" t="inlineStr">
        <is>
          <t>⚠ GIẢ ĐỊNH THỦ CÔNG, GIẢM DẦN theo năm (thận trọng cho năm xa) — điều chỉnh theo kế hoạch huy động AUM thực tế nếu CTCK có công bố</t>
        </is>
      </c>
    </row>
    <row r="35">
      <c r="A35" s="18" t="inlineStr">
        <is>
          <t>── CHI PHÍ &amp; THUẾ ──</t>
        </is>
      </c>
    </row>
    <row r="36">
      <c r="A36" s="1" t="inlineStr">
        <is>
          <t>Chi phí hoạt động / DT hoạt động (%)</t>
        </is>
      </c>
      <c r="B36" s="8" t="n"/>
      <c r="C36" s="8" t="n"/>
      <c r="D36" s="8" t="n"/>
      <c r="E36" s="8" t="n"/>
      <c r="F36" s="8" t="n"/>
      <c r="G36" s="21" t="n">
        <v>0.4724</v>
      </c>
      <c r="H36" s="21" t="n">
        <v>0.4724</v>
      </c>
      <c r="I36" s="21" t="n">
        <v>0.4724</v>
      </c>
      <c r="J36" s="20" t="inlineStr">
        <is>
          <t>TB 2 năm gần nhất (chi phí môi giới, lưu ký, tự doanh...) — số derive từ lịch sử, có thể điều chỉnh nếu dự kiến thay đổi cơ cấu chi phí</t>
        </is>
      </c>
    </row>
    <row r="37">
      <c r="A37" s="1" t="inlineStr">
        <is>
          <t>CP Quản lý CTCK / DT hoạt động (%)</t>
        </is>
      </c>
      <c r="B37" s="8" t="n"/>
      <c r="C37" s="8" t="n"/>
      <c r="D37" s="8" t="n"/>
      <c r="E37" s="8" t="n"/>
      <c r="F37" s="8" t="n"/>
      <c r="G37" s="21" t="n">
        <v>0.0341</v>
      </c>
      <c r="H37" s="21" t="n">
        <v>0.0341</v>
      </c>
      <c r="I37" s="21" t="n">
        <v>0.0341</v>
      </c>
      <c r="J37" s="20" t="inlineStr">
        <is>
          <t>TB 2 năm gần nhất — số derive từ lịch sử, điều chỉnh nếu công ty có kế hoạch mở rộng/thu hẹp bộ máy</t>
        </is>
      </c>
    </row>
    <row r="38">
      <c r="A38" s="1" t="inlineStr">
        <is>
          <t>Thuế suất TNDN hiệu dụng (%)</t>
        </is>
      </c>
      <c r="B38" s="8" t="n"/>
      <c r="C38" s="8" t="n"/>
      <c r="D38" s="8" t="n"/>
      <c r="E38" s="8" t="n"/>
      <c r="F38" s="8" t="n"/>
      <c r="G38" s="21" t="n">
        <v>0.1695</v>
      </c>
      <c r="H38" s="21" t="n">
        <v>0.1695</v>
      </c>
      <c r="I38" s="21" t="n">
        <v>0.1695</v>
      </c>
      <c r="J38" s="20" t="inlineStr">
        <is>
          <t>TB thuế suất hiệu dụng lịch sử (giới hạn 15%-22%) — điều chỉnh nếu công ty có ưu đãi thuế đặc biệt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Mảng kinh doanh</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3">
      <c r="A3" s="1" t="inlineStr">
        <is>
          <t>Dư nợ cho vay Margin (cuối kỳ)</t>
        </is>
      </c>
      <c r="B3" s="13" t="n">
        <v>7701.2</v>
      </c>
      <c r="C3" s="13" t="n">
        <v>5279.3</v>
      </c>
      <c r="D3" s="13" t="n">
        <v>7992.5</v>
      </c>
      <c r="E3" s="13" t="n">
        <v>11221.7</v>
      </c>
      <c r="F3" s="13" t="n">
        <v>16167.2</v>
      </c>
      <c r="G3" s="13">
        <f>F3*(1+'02_Assumptions'!G17)</f>
        <v/>
      </c>
      <c r="H3" s="13">
        <f>G3*(1+'02_Assumptions'!H17)</f>
        <v/>
      </c>
      <c r="I3" s="13">
        <f>H3*(1+'02_Assumptions'!I17)</f>
        <v/>
      </c>
    </row>
    <row r="4">
      <c r="A4" s="3" t="inlineStr">
        <is>
          <t xml:space="preserve">  Dư nợ Margin bình quân</t>
        </is>
      </c>
      <c r="B4" s="13">
        <f>AVERAGE(B3:B3)</f>
        <v/>
      </c>
      <c r="C4" s="13">
        <f>AVERAGE(B3:C3)</f>
        <v/>
      </c>
      <c r="D4" s="13">
        <f>AVERAGE(C3:D3)</f>
        <v/>
      </c>
      <c r="E4" s="13">
        <f>AVERAGE(D3:E3)</f>
        <v/>
      </c>
      <c r="F4" s="13">
        <f>AVERAGE(E3:F3)</f>
        <v/>
      </c>
      <c r="G4" s="13">
        <f>AVERAGE(F3:G3)</f>
        <v/>
      </c>
      <c r="H4" s="13">
        <f>AVERAGE(G3:H3)</f>
        <v/>
      </c>
      <c r="I4" s="13">
        <f>AVERAGE(H3:I3)</f>
        <v/>
      </c>
    </row>
    <row r="6">
      <c r="A6" s="1" t="inlineStr">
        <is>
          <t>Danh mục Tự doanh - FVTPL (cuối kỳ)</t>
        </is>
      </c>
      <c r="B6" s="13" t="n">
        <v>1221.5</v>
      </c>
      <c r="C6" s="13" t="n">
        <v>665.3</v>
      </c>
      <c r="D6" s="13" t="n">
        <v>122.1</v>
      </c>
      <c r="E6" s="13" t="n">
        <v>846.3</v>
      </c>
      <c r="F6" s="13" t="n">
        <v>2237.9</v>
      </c>
      <c r="G6" s="13">
        <f>F6*(1+'02_Assumptions'!G25)</f>
        <v/>
      </c>
      <c r="H6" s="13">
        <f>G6*(1+'02_Assumptions'!H25)</f>
        <v/>
      </c>
      <c r="I6" s="13">
        <f>H6*(1+'02_Assumptions'!I25)</f>
        <v/>
      </c>
    </row>
    <row r="7">
      <c r="A7" s="3" t="inlineStr">
        <is>
          <t xml:space="preserve">  Danh mục Tự doanh bình quân</t>
        </is>
      </c>
      <c r="B7" s="13">
        <f>AVERAGE(B6:B6)</f>
        <v/>
      </c>
      <c r="C7" s="13">
        <f>AVERAGE(B6:C6)</f>
        <v/>
      </c>
      <c r="D7" s="13">
        <f>AVERAGE(C6:D6)</f>
        <v/>
      </c>
      <c r="E7" s="13">
        <f>AVERAGE(D6:E6)</f>
        <v/>
      </c>
      <c r="F7" s="13">
        <f>AVERAGE(E6:F6)</f>
        <v/>
      </c>
      <c r="G7" s="13">
        <f>AVERAGE(F6:G6)</f>
        <v/>
      </c>
      <c r="H7" s="13">
        <f>AVERAGE(G6:H6)</f>
        <v/>
      </c>
      <c r="I7" s="13">
        <f>AVERAGE(H6:I6)</f>
        <v/>
      </c>
    </row>
    <row r="9">
      <c r="A9" s="1" t="inlineStr">
        <is>
          <t>AUM Quản lý quỹ (cuối kỳ)</t>
        </is>
      </c>
      <c r="G9" s="13">
        <f>'02_Assumptions'!G32</f>
        <v/>
      </c>
      <c r="H9" s="13">
        <f>G9*(1+'02_Assumptions'!H34)</f>
        <v/>
      </c>
      <c r="I9" s="13">
        <f>H9*(1+'02_Assumptions'!I34)</f>
        <v/>
      </c>
    </row>
    <row r="11">
      <c r="A11" s="18" t="inlineStr">
        <is>
          <t>── DOANH THU THEO MẢNG (tỷ VND) ──</t>
        </is>
      </c>
    </row>
    <row r="12">
      <c r="A12" s="1" t="inlineStr">
        <is>
          <t>(1) DT Môi giới</t>
        </is>
      </c>
      <c r="B12" s="13" t="n">
        <v>857.3</v>
      </c>
      <c r="C12" s="13" t="n">
        <v>1011.2</v>
      </c>
      <c r="D12" s="13" t="n">
        <v>535.4</v>
      </c>
      <c r="E12" s="13" t="n">
        <v>729.6</v>
      </c>
      <c r="F12" s="13" t="n">
        <v>1000.2</v>
      </c>
      <c r="G12" s="13">
        <f>'02_Assumptions'!G11*'02_Assumptions'!G12*'02_Assumptions'!G14*'02_Assumptions'!G13/10000</f>
        <v/>
      </c>
      <c r="H12" s="13">
        <f>'02_Assumptions'!H11*'02_Assumptions'!H12*'02_Assumptions'!H14*'02_Assumptions'!H13/10000</f>
        <v/>
      </c>
      <c r="I12" s="13">
        <f>'02_Assumptions'!I11*'02_Assumptions'!I12*'02_Assumptions'!I14*'02_Assumptions'!I13/10000</f>
        <v/>
      </c>
    </row>
    <row r="13">
      <c r="A13" s="1" t="inlineStr">
        <is>
          <t>(2) DT Cho vay Margin</t>
        </is>
      </c>
      <c r="B13" s="13" t="n">
        <v>576.9</v>
      </c>
      <c r="C13" s="13" t="n">
        <v>708.2</v>
      </c>
      <c r="D13" s="13" t="n">
        <v>689</v>
      </c>
      <c r="E13" s="13" t="n">
        <v>872.9</v>
      </c>
      <c r="F13" s="13" t="n">
        <v>1204.8</v>
      </c>
      <c r="G13" s="13">
        <f>G4*'02_Assumptions'!G16</f>
        <v/>
      </c>
      <c r="H13" s="13">
        <f>H4*'02_Assumptions'!H16</f>
        <v/>
      </c>
      <c r="I13" s="13">
        <f>I4*'02_Assumptions'!I16</f>
        <v/>
      </c>
    </row>
    <row r="14">
      <c r="A14" s="1" t="inlineStr">
        <is>
          <t>(3) DT Tự doanh (FVTPL)</t>
        </is>
      </c>
      <c r="B14" s="13" t="n">
        <v>1214.2</v>
      </c>
      <c r="C14" s="13" t="n">
        <v>301.3</v>
      </c>
      <c r="D14" s="13" t="n">
        <v>446.7</v>
      </c>
      <c r="E14" s="13" t="n">
        <v>786.9</v>
      </c>
      <c r="F14" s="13" t="n">
        <v>820</v>
      </c>
      <c r="G14" s="13">
        <f>G7*('02_Assumptions'!G19*'02_Assumptions'!G22+'02_Assumptions'!G20*'02_Assumptions'!G23+'02_Assumptions'!G21*'02_Assumptions'!G24)</f>
        <v/>
      </c>
      <c r="H14" s="13">
        <f>H7*('02_Assumptions'!H19*'02_Assumptions'!H22+'02_Assumptions'!H20*'02_Assumptions'!H23+'02_Assumptions'!H21*'02_Assumptions'!H24)</f>
        <v/>
      </c>
      <c r="I14" s="13">
        <f>I7*('02_Assumptions'!I19*'02_Assumptions'!I22+'02_Assumptions'!I20*'02_Assumptions'!I23+'02_Assumptions'!I21*'02_Assumptions'!I24)</f>
        <v/>
      </c>
    </row>
    <row r="15">
      <c r="A15" s="3" t="inlineStr">
        <is>
          <t xml:space="preserve">  IB (bảo lãnh/tư vấn)</t>
        </is>
      </c>
      <c r="B15" s="13" t="n">
        <v>285.6</v>
      </c>
      <c r="C15" s="13" t="n">
        <v>52.1</v>
      </c>
      <c r="D15" s="13" t="n">
        <v>39.3</v>
      </c>
      <c r="E15" s="13" t="n">
        <v>50.6</v>
      </c>
      <c r="F15" s="13" t="n">
        <v>82.40000000000001</v>
      </c>
      <c r="G15" s="13">
        <f>'02_Assumptions'!G28*'02_Assumptions'!G29</f>
        <v/>
      </c>
      <c r="H15" s="13">
        <f>'02_Assumptions'!H28*'02_Assumptions'!H29</f>
        <v/>
      </c>
      <c r="I15" s="13">
        <f>'02_Assumptions'!I28*'02_Assumptions'!I29</f>
        <v/>
      </c>
    </row>
    <row r="16">
      <c r="A16" s="3" t="inlineStr">
        <is>
          <t xml:space="preserve">  Lưu ký</t>
        </is>
      </c>
      <c r="B16" s="13" t="n">
        <v>9.6</v>
      </c>
      <c r="C16" s="13" t="n">
        <v>11</v>
      </c>
      <c r="D16" s="13" t="n">
        <v>12</v>
      </c>
      <c r="E16" s="13" t="n">
        <v>14.3</v>
      </c>
      <c r="F16" s="13" t="n">
        <v>13.9</v>
      </c>
      <c r="G16" s="13">
        <f>F16*(1+'02_Assumptions'!G30)</f>
        <v/>
      </c>
      <c r="H16" s="13">
        <f>G16*(1+'02_Assumptions'!H30)</f>
        <v/>
      </c>
      <c r="I16" s="13">
        <f>H16*(1+'02_Assumptions'!I30)</f>
        <v/>
      </c>
    </row>
    <row r="17">
      <c r="A17" s="1" t="inlineStr">
        <is>
          <t>(4) DT IB + Lưu ký</t>
        </is>
      </c>
      <c r="B17" s="13">
        <f>B15+B16</f>
        <v/>
      </c>
      <c r="C17" s="13">
        <f>C15+C16</f>
        <v/>
      </c>
      <c r="D17" s="13">
        <f>D15+D16</f>
        <v/>
      </c>
      <c r="E17" s="13">
        <f>E15+E16</f>
        <v/>
      </c>
      <c r="F17" s="13">
        <f>F15+F16</f>
        <v/>
      </c>
      <c r="G17" s="13">
        <f>G15+G16</f>
        <v/>
      </c>
      <c r="H17" s="13">
        <f>H15+H16</f>
        <v/>
      </c>
      <c r="I17" s="13">
        <f>I15+I16</f>
        <v/>
      </c>
    </row>
    <row r="18">
      <c r="A18" s="1" t="inlineStr">
        <is>
          <t>(5) DT Quản lý quỹ (QLQ)</t>
        </is>
      </c>
      <c r="B18" s="13" t="n">
        <v>6.2</v>
      </c>
      <c r="C18" s="13" t="n">
        <v>0.1</v>
      </c>
      <c r="D18" s="13" t="n">
        <v>0.5</v>
      </c>
      <c r="E18" s="13" t="n">
        <v>0.5</v>
      </c>
      <c r="F18" s="13" t="n">
        <v>0.6</v>
      </c>
      <c r="G18" s="13">
        <f>G9*'02_Assumptions'!G33</f>
        <v/>
      </c>
      <c r="H18" s="13">
        <f>H9*'02_Assumptions'!H33</f>
        <v/>
      </c>
      <c r="I18" s="13">
        <f>I9*'02_Assumptions'!I33</f>
        <v/>
      </c>
    </row>
    <row r="19">
      <c r="A19" s="3" t="inlineStr">
        <is>
          <t xml:space="preserve">  Điều chỉnh theo KQKD thực tế đã công bố</t>
        </is>
      </c>
      <c r="G19" s="13">
        <f>'04b_Dien_Bien_Quy'!B12</f>
        <v/>
      </c>
      <c r="H19" s="13" t="n">
        <v>0</v>
      </c>
      <c r="I19" s="13" t="n">
        <v>0</v>
      </c>
    </row>
    <row r="20">
      <c r="A20" s="28" t="inlineStr">
        <is>
          <t>TỔNG DOANH THU HOẠT ĐỘNG</t>
        </is>
      </c>
      <c r="B20" s="29">
        <f>B12+B13+B14+B17+B18+B19</f>
        <v/>
      </c>
      <c r="C20" s="29">
        <f>C12+C13+C14+C17+C18+C19</f>
        <v/>
      </c>
      <c r="D20" s="29">
        <f>D12+D13+D14+D17+D18+D19</f>
        <v/>
      </c>
      <c r="E20" s="29">
        <f>E12+E13+E14+E17+E18+E19</f>
        <v/>
      </c>
      <c r="F20" s="29">
        <f>F12+F13+F14+F17+F18+F19</f>
        <v/>
      </c>
      <c r="G20" s="29">
        <f>G12+G13+G14+G17+G18+G19</f>
        <v/>
      </c>
      <c r="H20" s="29">
        <f>H12+H13+H14+H17+H18+H19</f>
        <v/>
      </c>
      <c r="I20" s="29">
        <f>I12+I13+I14+I17+I18+I19</f>
        <v/>
      </c>
    </row>
    <row r="21">
      <c r="A21" s="18" t="inlineStr">
        <is>
          <t>── TỶ TRỌNG ĐÓNG GÓP THEO MẢNG (%) ──</t>
        </is>
      </c>
    </row>
    <row r="22">
      <c r="A22" s="14" t="inlineStr">
        <is>
          <t xml:space="preserve">  % Môi giới / Tổng DT</t>
        </is>
      </c>
      <c r="B22" s="5">
        <f>B12/B20</f>
        <v/>
      </c>
      <c r="C22" s="5">
        <f>C12/C20</f>
        <v/>
      </c>
      <c r="D22" s="5">
        <f>D12/D20</f>
        <v/>
      </c>
      <c r="E22" s="5">
        <f>E12/E20</f>
        <v/>
      </c>
      <c r="F22" s="5">
        <f>F12/F20</f>
        <v/>
      </c>
      <c r="G22" s="5">
        <f>G12/G20</f>
        <v/>
      </c>
      <c r="H22" s="5">
        <f>H12/H20</f>
        <v/>
      </c>
      <c r="I22" s="5">
        <f>I12/I20</f>
        <v/>
      </c>
    </row>
    <row r="23">
      <c r="A23" s="14" t="inlineStr">
        <is>
          <t xml:space="preserve">  % Cho vay Margin / Tổng DT</t>
        </is>
      </c>
      <c r="B23" s="5">
        <f>B13/B20</f>
        <v/>
      </c>
      <c r="C23" s="5">
        <f>C13/C20</f>
        <v/>
      </c>
      <c r="D23" s="5">
        <f>D13/D20</f>
        <v/>
      </c>
      <c r="E23" s="5">
        <f>E13/E20</f>
        <v/>
      </c>
      <c r="F23" s="5">
        <f>F13/F20</f>
        <v/>
      </c>
      <c r="G23" s="5">
        <f>G13/G20</f>
        <v/>
      </c>
      <c r="H23" s="5">
        <f>H13/H20</f>
        <v/>
      </c>
      <c r="I23" s="5">
        <f>I13/I20</f>
        <v/>
      </c>
    </row>
    <row r="24">
      <c r="A24" s="14" t="inlineStr">
        <is>
          <t xml:space="preserve">  % Tự doanh (FVTPL) / Tổng DT</t>
        </is>
      </c>
      <c r="B24" s="5">
        <f>B14/B20</f>
        <v/>
      </c>
      <c r="C24" s="5">
        <f>C14/C20</f>
        <v/>
      </c>
      <c r="D24" s="5">
        <f>D14/D20</f>
        <v/>
      </c>
      <c r="E24" s="5">
        <f>E14/E20</f>
        <v/>
      </c>
      <c r="F24" s="5">
        <f>F14/F20</f>
        <v/>
      </c>
      <c r="G24" s="5">
        <f>G14/G20</f>
        <v/>
      </c>
      <c r="H24" s="5">
        <f>H14/H20</f>
        <v/>
      </c>
      <c r="I24" s="5">
        <f>I14/I20</f>
        <v/>
      </c>
    </row>
    <row r="25">
      <c r="A25" s="14" t="inlineStr">
        <is>
          <t xml:space="preserve">  % IB + Lưu ký / Tổng DT</t>
        </is>
      </c>
      <c r="B25" s="5">
        <f>B17/B20</f>
        <v/>
      </c>
      <c r="C25" s="5">
        <f>C17/C20</f>
        <v/>
      </c>
      <c r="D25" s="5">
        <f>D17/D20</f>
        <v/>
      </c>
      <c r="E25" s="5">
        <f>E17/E20</f>
        <v/>
      </c>
      <c r="F25" s="5">
        <f>F17/F20</f>
        <v/>
      </c>
      <c r="G25" s="5">
        <f>G17/G20</f>
        <v/>
      </c>
      <c r="H25" s="5">
        <f>H17/H20</f>
        <v/>
      </c>
      <c r="I25" s="5">
        <f>I17/I20</f>
        <v/>
      </c>
    </row>
    <row r="26">
      <c r="A26" s="14" t="inlineStr">
        <is>
          <t xml:space="preserve">  % Quản lý quỹ / Tổng DT</t>
        </is>
      </c>
      <c r="B26" s="5">
        <f>B18/B20</f>
        <v/>
      </c>
      <c r="C26" s="5">
        <f>C18/C20</f>
        <v/>
      </c>
      <c r="D26" s="5">
        <f>D18/D20</f>
        <v/>
      </c>
      <c r="E26" s="5">
        <f>E18/E20</f>
        <v/>
      </c>
      <c r="F26" s="5">
        <f>F18/F20</f>
        <v/>
      </c>
      <c r="G26" s="5">
        <f>G18/G20</f>
        <v/>
      </c>
      <c r="H26" s="5">
        <f>H18/H20</f>
        <v/>
      </c>
      <c r="I26" s="5">
        <f>I18/I20</f>
        <v/>
      </c>
    </row>
  </sheetData>
  <mergeCells count="1">
    <mergeCell ref="A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Chỉ tiêu (tỷ VND)</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2">
      <c r="A2" s="1" t="inlineStr">
        <is>
          <t>Doanh thu hoạt động</t>
        </is>
      </c>
      <c r="B2" s="13" t="n">
        <v>3707.1</v>
      </c>
      <c r="C2" s="13" t="n">
        <v>3156.2</v>
      </c>
      <c r="D2" s="13" t="n">
        <v>2472.5</v>
      </c>
      <c r="E2" s="13" t="n">
        <v>3695.5</v>
      </c>
      <c r="F2" s="13" t="n">
        <v>4980.2</v>
      </c>
      <c r="G2" s="13">
        <f>'03_Revenue_Model'!G20</f>
        <v/>
      </c>
      <c r="H2" s="13">
        <f>'03_Revenue_Model'!H20</f>
        <v/>
      </c>
      <c r="I2" s="13">
        <f>'03_Revenue_Model'!I20</f>
        <v/>
      </c>
    </row>
    <row r="3">
      <c r="A3" s="14" t="inlineStr">
        <is>
          <t>Chi phí hoạt động</t>
        </is>
      </c>
      <c r="B3" s="13" t="n">
        <v>-1326.1</v>
      </c>
      <c r="C3" s="13" t="n">
        <v>-1398.5</v>
      </c>
      <c r="D3" s="13" t="n">
        <v>-1063.6</v>
      </c>
      <c r="E3" s="13" t="n">
        <v>-1717.4</v>
      </c>
      <c r="F3" s="13" t="n">
        <v>-2391</v>
      </c>
      <c r="G3" s="13">
        <f>-G2*'02_Assumptions'!G36</f>
        <v/>
      </c>
      <c r="H3" s="13">
        <f>-H2*'02_Assumptions'!H36</f>
        <v/>
      </c>
      <c r="I3" s="13">
        <f>-I2*'02_Assumptions'!I36</f>
        <v/>
      </c>
    </row>
    <row r="4">
      <c r="A4" s="1" t="inlineStr">
        <is>
          <t>LỢI NHUẬN GỘP</t>
        </is>
      </c>
      <c r="B4" s="30">
        <f>B2+B3</f>
        <v/>
      </c>
      <c r="C4" s="30">
        <f>C2+C3</f>
        <v/>
      </c>
      <c r="D4" s="30">
        <f>D2+D3</f>
        <v/>
      </c>
      <c r="E4" s="30">
        <f>E2+E3</f>
        <v/>
      </c>
      <c r="F4" s="30">
        <f>F2+F3</f>
        <v/>
      </c>
      <c r="G4" s="30">
        <f>G2+G3</f>
        <v/>
      </c>
      <c r="H4" s="30">
        <f>H2+H3</f>
        <v/>
      </c>
      <c r="I4" s="30">
        <f>I2+I3</f>
        <v/>
      </c>
    </row>
    <row r="5">
      <c r="A5" s="14" t="inlineStr">
        <is>
          <t>Chi phí quản lý CTCK</t>
        </is>
      </c>
      <c r="B5" s="13" t="n">
        <v>-187.9</v>
      </c>
      <c r="C5" s="13" t="n">
        <v>-76.8</v>
      </c>
      <c r="D5" s="13" t="n">
        <v>-122.4</v>
      </c>
      <c r="E5" s="13" t="n">
        <v>-144.7</v>
      </c>
      <c r="F5" s="13" t="n">
        <v>-144.9</v>
      </c>
      <c r="G5" s="13">
        <f>-G2*'02_Assumptions'!G37</f>
        <v/>
      </c>
      <c r="H5" s="13">
        <f>-H2*'02_Assumptions'!H37</f>
        <v/>
      </c>
      <c r="I5" s="13">
        <f>-I2*'02_Assumptions'!I37</f>
        <v/>
      </c>
    </row>
    <row r="6">
      <c r="A6" s="1" t="inlineStr">
        <is>
          <t>LỢI NHUẬN TRƯỚC THUẾ (LNTT)</t>
        </is>
      </c>
      <c r="B6" s="30" t="n">
        <v>1850.6</v>
      </c>
      <c r="C6" s="30" t="n">
        <v>1059.7</v>
      </c>
      <c r="D6" s="30" t="n">
        <v>570.1</v>
      </c>
      <c r="E6" s="30" t="n">
        <v>1089.3</v>
      </c>
      <c r="F6" s="30" t="n">
        <v>1629.2</v>
      </c>
      <c r="G6" s="30">
        <f>G4+G5</f>
        <v/>
      </c>
      <c r="H6" s="30">
        <f>H4+H5</f>
        <v/>
      </c>
      <c r="I6" s="30">
        <f>I4+I5</f>
        <v/>
      </c>
    </row>
    <row r="7">
      <c r="A7" s="14" t="inlineStr">
        <is>
          <t>Thuế TNDN</t>
        </is>
      </c>
      <c r="B7" s="13" t="n">
        <v>-351.9</v>
      </c>
      <c r="C7" s="13" t="n">
        <v>-190.8</v>
      </c>
      <c r="D7" s="13" t="n">
        <v>-78.2</v>
      </c>
      <c r="E7" s="13" t="n">
        <v>-178.6</v>
      </c>
      <c r="F7" s="13" t="n">
        <v>-287.3</v>
      </c>
      <c r="G7" s="13">
        <f>-MAX(G6,0)*'02_Assumptions'!G38</f>
        <v/>
      </c>
      <c r="H7" s="13">
        <f>-MAX(H6,0)*'02_Assumptions'!H38</f>
        <v/>
      </c>
      <c r="I7" s="13">
        <f>-MAX(I6,0)*'02_Assumptions'!I38</f>
        <v/>
      </c>
    </row>
    <row r="8">
      <c r="A8" s="3" t="inlineStr">
        <is>
          <t xml:space="preserve">  Điều chỉnh theo KQKD thực tế đã công bố</t>
        </is>
      </c>
      <c r="G8" s="13">
        <f>'04b_Dien_Bien_Quy'!C12</f>
        <v/>
      </c>
      <c r="H8" s="13" t="n">
        <v>0</v>
      </c>
      <c r="I8" s="13" t="n">
        <v>0</v>
      </c>
    </row>
    <row r="9">
      <c r="A9" s="28" t="inlineStr">
        <is>
          <t>LỢI NHUẬN SAU THUẾ (LNST)</t>
        </is>
      </c>
      <c r="B9" s="29">
        <f>B6+B7+B8</f>
        <v/>
      </c>
      <c r="C9" s="29">
        <f>C6+C7+C8</f>
        <v/>
      </c>
      <c r="D9" s="29">
        <f>D6+D7+D8</f>
        <v/>
      </c>
      <c r="E9" s="29">
        <f>E6+E7+E8</f>
        <v/>
      </c>
      <c r="F9" s="29">
        <f>F6+F7+F8</f>
        <v/>
      </c>
      <c r="G9" s="29">
        <f>G6+G7+G8</f>
        <v/>
      </c>
      <c r="H9" s="29">
        <f>H6+H7+H8</f>
        <v/>
      </c>
      <c r="I9" s="29">
        <f>I6+I7+I8</f>
        <v/>
      </c>
    </row>
    <row r="10">
      <c r="A10" s="1" t="inlineStr">
        <is>
          <t>LNST thuộc về cổ đông công ty mẹ</t>
        </is>
      </c>
      <c r="B10" s="13" t="n">
        <v>1498.7</v>
      </c>
      <c r="C10" s="13" t="n">
        <v>869</v>
      </c>
      <c r="D10" s="13" t="n">
        <v>491.9</v>
      </c>
      <c r="E10" s="13" t="n">
        <v>910.7</v>
      </c>
      <c r="F10" s="13" t="n">
        <v>1342</v>
      </c>
      <c r="G10" s="13">
        <f>G9</f>
        <v/>
      </c>
      <c r="H10" s="13">
        <f>H9</f>
        <v/>
      </c>
      <c r="I10" s="13">
        <f>I9</f>
        <v/>
      </c>
    </row>
    <row r="11">
      <c r="A11" s="1" t="inlineStr">
        <is>
          <t>EPS (VND/CP)</t>
        </is>
      </c>
      <c r="B11" s="13" t="n">
        <v>1301</v>
      </c>
      <c r="C11" s="13" t="n">
        <v>754</v>
      </c>
      <c r="D11" s="13" t="n">
        <v>427</v>
      </c>
      <c r="E11" s="13" t="n">
        <v>790</v>
      </c>
      <c r="F11" s="13" t="n">
        <v>1165</v>
      </c>
      <c r="G11" s="13">
        <f>G10*1e9/'02_Assumptions'!B4</f>
        <v/>
      </c>
      <c r="H11" s="13">
        <f>H10*1e9/'02_Assumptions'!B4</f>
        <v/>
      </c>
      <c r="I11" s="13">
        <f>I10*1e9/'02_Assumptions'!B4</f>
        <v/>
      </c>
    </row>
    <row r="12">
      <c r="A12" s="3" t="inlineStr">
        <is>
          <t>Biên LN gộp (%)</t>
        </is>
      </c>
      <c r="B12" s="5">
        <f>B4/B2</f>
        <v/>
      </c>
      <c r="C12" s="5">
        <f>C4/C2</f>
        <v/>
      </c>
      <c r="D12" s="5">
        <f>D4/D2</f>
        <v/>
      </c>
      <c r="E12" s="5">
        <f>E4/E2</f>
        <v/>
      </c>
      <c r="F12" s="5">
        <f>F4/F2</f>
        <v/>
      </c>
      <c r="G12" s="5">
        <f>G4/G2</f>
        <v/>
      </c>
      <c r="H12" s="5">
        <f>H4/H2</f>
        <v/>
      </c>
      <c r="I12" s="5">
        <f>I4/I2</f>
        <v/>
      </c>
    </row>
    <row r="13">
      <c r="A13" s="3" t="inlineStr">
        <is>
          <t>Biên LNST (%)</t>
        </is>
      </c>
      <c r="B13" s="5">
        <f>B9/B2</f>
        <v/>
      </c>
      <c r="C13" s="5">
        <f>C9/C2</f>
        <v/>
      </c>
      <c r="D13" s="5">
        <f>D9/D2</f>
        <v/>
      </c>
      <c r="E13" s="5">
        <f>E9/E2</f>
        <v/>
      </c>
      <c r="F13" s="5">
        <f>F9/F2</f>
        <v/>
      </c>
      <c r="G13" s="5">
        <f>G9/G2</f>
        <v/>
      </c>
      <c r="H13" s="5">
        <f>H9/H2</f>
        <v/>
      </c>
      <c r="I13" s="5">
        <f>I9/I2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50" customWidth="1" min="1" max="1"/>
    <col width="20" customWidth="1" min="2" max="2"/>
    <col width="20" customWidth="1" min="3" max="3"/>
    <col width="55" customWidth="1" min="4" max="4"/>
  </cols>
  <sheetData>
    <row r="1">
      <c r="A1" s="6" t="inlineStr">
        <is>
          <t>LŨY KẾ &amp; BLEND ƯỚC TÍNH NĂM 2026 (dùng số quý đã công bố thực tế)</t>
        </is>
      </c>
    </row>
    <row r="2">
      <c r="A2" s="4" t="inlineStr">
        <is>
          <t>Chỉ tiêu</t>
        </is>
      </c>
      <c r="B2" s="4" t="inlineStr">
        <is>
          <t>Doanh thu hoạt động (tỷ VND)</t>
        </is>
      </c>
      <c r="C2" s="4" t="inlineStr">
        <is>
          <t>LNST cổ đông mẹ (tỷ VND)</t>
        </is>
      </c>
      <c r="D2" s="4" t="inlineStr">
        <is>
          <t>Ghi chú</t>
        </is>
      </c>
    </row>
    <row r="3">
      <c r="A3" s="31" t="inlineStr">
        <is>
          <t>Q1/2026 (thực tế đã công bố)</t>
        </is>
      </c>
      <c r="B3" s="23" t="n">
        <v>1406.5</v>
      </c>
      <c r="C3" s="23" t="n">
        <v>340.7</v>
      </c>
    </row>
    <row r="4">
      <c r="A4" s="31" t="inlineStr">
        <is>
          <t>Q2/2026 (thực tế đã công bố)</t>
        </is>
      </c>
      <c r="B4" s="7" t="n"/>
      <c r="C4" s="7" t="n"/>
    </row>
    <row r="5">
      <c r="A5" s="31" t="inlineStr">
        <is>
          <t>Q3/2026 (thực tế đã công bố)</t>
        </is>
      </c>
      <c r="B5" s="7" t="n"/>
      <c r="C5" s="7" t="n"/>
    </row>
    <row r="6">
      <c r="A6" s="31" t="inlineStr">
        <is>
          <t>Q4/2026 (thực tế đã công bố)</t>
        </is>
      </c>
      <c r="B6" s="7" t="n"/>
      <c r="C6" s="7" t="n"/>
    </row>
    <row r="7">
      <c r="A7" s="1" t="inlineStr">
        <is>
          <t>Lũy kế thực tế đã công bố</t>
        </is>
      </c>
      <c r="B7" s="13">
        <f>SUM(B3:B6)</f>
        <v/>
      </c>
      <c r="C7" s="13">
        <f>SUM(C3:C6)</f>
        <v/>
      </c>
    </row>
    <row r="8">
      <c r="A8" s="1" t="inlineStr">
        <is>
          <t>Số quý đã có báo cáo thực tế (n)</t>
        </is>
      </c>
      <c r="B8" s="32">
        <f>COUNT(B3:B6)</f>
        <v/>
      </c>
      <c r="C8" s="32">
        <f>COUNT(C3:C6)</f>
        <v/>
      </c>
    </row>
    <row r="9">
      <c r="A9" s="1" t="inlineStr">
        <is>
          <t>Số quý còn lại (4 − n)</t>
        </is>
      </c>
      <c r="B9" s="32">
        <f>4-B8</f>
        <v/>
      </c>
      <c r="C9" s="32">
        <f>4-C8</f>
        <v/>
      </c>
    </row>
    <row r="10">
      <c r="A10" s="1" t="inlineStr">
        <is>
          <t>Base ước tính gốc cả năm (bottom-up thuần, CHƯA cộng lũy kế)</t>
        </is>
      </c>
      <c r="B10" s="13">
        <f>'03_Revenue_Model'!G12+'03_Revenue_Model'!G13+'03_Revenue_Model'!G14+'03_Revenue_Model'!G17+'03_Revenue_Model'!G18</f>
        <v/>
      </c>
      <c r="C10" s="13">
        <f>'04_PnL'!G6+'04_PnL'!G7</f>
        <v/>
      </c>
    </row>
    <row r="11">
      <c r="A11" s="28" t="inlineStr">
        <is>
          <t>ƯỚC TÍNH CHUẨN (blend) = Lũy kế + Base/4 × Số quý còn lại</t>
        </is>
      </c>
      <c r="B11" s="29">
        <f>B7+B10/4*B9</f>
        <v/>
      </c>
      <c r="C11" s="29">
        <f>C7+C10/4*C9</f>
        <v/>
      </c>
    </row>
    <row r="12">
      <c r="A12" s="3" t="inlineStr">
        <is>
          <t xml:space="preserve">  ↳ Điều chỉnh áp dụng vào mô hình (= Ước tính chuẩn − Base gốc)</t>
        </is>
      </c>
      <c r="B12" s="13">
        <f>B11-B10</f>
        <v/>
      </c>
      <c r="C12" s="13">
        <f>C11-C10</f>
        <v/>
      </c>
    </row>
    <row r="13" ht="40" customHeight="1">
      <c r="A13" s="20" t="inlineStr">
        <is>
          <t>Công thức: khi đã có n quý báo cáo thực tế trong năm, Ước tính chuẩn cả năm = Lũy kế thực tế n quý + Base ước tính gốc cả năm × (4-n)/4 — khi n=0 (chưa có quý nào công bố), công thức tự động trả về đúng Base gốc (không điều chỉnh). Cùng công thức blend_annual_estimate() dùng thống nhất cho mọi ticker/ngành trong hệ thống (HPG, MWG...).</t>
        </is>
      </c>
    </row>
    <row r="15">
      <c r="A15" s="18" t="inlineStr">
        <is>
          <t>── DIỄN BIẾN CÁC QUÝ GẦN NHẤT (tham khảo xu hướng) ──</t>
        </is>
      </c>
    </row>
    <row r="16">
      <c r="A16" s="4" t="inlineStr">
        <is>
          <t>Quý</t>
        </is>
      </c>
      <c r="B16" s="4" t="inlineStr">
        <is>
          <t>Doanh thu hoạt động</t>
        </is>
      </c>
      <c r="C16" s="4" t="inlineStr">
        <is>
          <t>LNST cổ đông mẹ</t>
        </is>
      </c>
      <c r="D16" s="4" t="inlineStr">
        <is>
          <t>Tăng trưởng LNST YoY</t>
        </is>
      </c>
    </row>
    <row r="17">
      <c r="A17" s="7" t="inlineStr">
        <is>
          <t>2024Q2</t>
        </is>
      </c>
      <c r="B17" s="23" t="n">
        <v>915.9</v>
      </c>
      <c r="C17" s="23" t="n">
        <v>279.2</v>
      </c>
      <c r="D17" s="7" t="n"/>
    </row>
    <row r="18">
      <c r="A18" s="7" t="inlineStr">
        <is>
          <t>2024Q3</t>
        </is>
      </c>
      <c r="B18" s="23" t="n">
        <v>974.4</v>
      </c>
      <c r="C18" s="23" t="n">
        <v>215.4</v>
      </c>
      <c r="D18" s="7" t="n"/>
    </row>
    <row r="19">
      <c r="A19" s="7" t="inlineStr">
        <is>
          <t>2024Q4</t>
        </is>
      </c>
      <c r="B19" s="23" t="n">
        <v>999</v>
      </c>
      <c r="C19" s="23" t="n">
        <v>218.4</v>
      </c>
      <c r="D19" s="7" t="n"/>
    </row>
    <row r="20">
      <c r="A20" s="7" t="inlineStr">
        <is>
          <t>2025Q1</t>
        </is>
      </c>
      <c r="B20" s="23" t="n">
        <v>850.9</v>
      </c>
      <c r="C20" s="23" t="n">
        <v>294.9</v>
      </c>
      <c r="D20" s="7" t="n"/>
    </row>
    <row r="21">
      <c r="A21" s="7" t="inlineStr">
        <is>
          <t>2025Q2</t>
        </is>
      </c>
      <c r="B21" s="23" t="n">
        <v>1159.7</v>
      </c>
      <c r="C21" s="23" t="n">
        <v>183.9</v>
      </c>
      <c r="D21" s="8">
        <f>C21/C17-1</f>
        <v/>
      </c>
    </row>
    <row r="22">
      <c r="A22" s="7" t="inlineStr">
        <is>
          <t>2025Q3</t>
        </is>
      </c>
      <c r="B22" s="23" t="n">
        <v>1443.3</v>
      </c>
      <c r="C22" s="23" t="n">
        <v>420.3</v>
      </c>
      <c r="D22" s="8">
        <f>C22/C18-1</f>
        <v/>
      </c>
    </row>
    <row r="23">
      <c r="A23" s="7" t="inlineStr">
        <is>
          <t>2025Q4</t>
        </is>
      </c>
      <c r="B23" s="23" t="n">
        <v>1526.3</v>
      </c>
      <c r="C23" s="23" t="n">
        <v>442.9</v>
      </c>
      <c r="D23" s="8">
        <f>C23/C19-1</f>
        <v/>
      </c>
    </row>
    <row r="24">
      <c r="A24" s="7" t="inlineStr">
        <is>
          <t>2026Q1</t>
        </is>
      </c>
      <c r="B24" s="23" t="n">
        <v>1406.5</v>
      </c>
      <c r="C24" s="23" t="n">
        <v>340.7</v>
      </c>
      <c r="D24" s="8">
        <f>C24/C20-1</f>
        <v/>
      </c>
    </row>
  </sheetData>
  <mergeCells count="3">
    <mergeCell ref="A1:D1"/>
    <mergeCell ref="A13:D13"/>
    <mergeCell ref="A15:D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Chỉ tiêu (tỷ VND)</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2">
      <c r="A2" s="14" t="inlineStr">
        <is>
          <t>Tài sản tài chính FVTPL (Tự doanh)</t>
        </is>
      </c>
      <c r="B2" s="13" t="n">
        <v>1221.5</v>
      </c>
      <c r="C2" s="13" t="n">
        <v>665.3</v>
      </c>
      <c r="D2" s="13" t="n">
        <v>122.1</v>
      </c>
      <c r="E2" s="13" t="n">
        <v>846.3</v>
      </c>
      <c r="F2" s="13" t="n">
        <v>2237.9</v>
      </c>
      <c r="G2" s="13" t="n">
        <v>2461.7</v>
      </c>
      <c r="H2" s="13" t="n">
        <v>2658.6</v>
      </c>
      <c r="I2" s="13" t="n">
        <v>2818.1</v>
      </c>
    </row>
    <row r="3">
      <c r="A3" s="14" t="inlineStr">
        <is>
          <t>Các khoản cho vay (Margin)</t>
        </is>
      </c>
      <c r="B3" s="13" t="n">
        <v>7701.2</v>
      </c>
      <c r="C3" s="13" t="n">
        <v>5279.3</v>
      </c>
      <c r="D3" s="13" t="n">
        <v>7992.5</v>
      </c>
      <c r="E3" s="13" t="n">
        <v>11221.7</v>
      </c>
      <c r="F3" s="13" t="n">
        <v>16167.2</v>
      </c>
      <c r="G3" s="13" t="n">
        <v>18592.3</v>
      </c>
      <c r="H3" s="13" t="n">
        <v>20451.5</v>
      </c>
      <c r="I3" s="13" t="n">
        <v>22087.6</v>
      </c>
    </row>
    <row r="4">
      <c r="A4" s="14" t="inlineStr">
        <is>
          <t>Tài sản khác</t>
        </is>
      </c>
      <c r="B4" s="13" t="n">
        <v>7713.5</v>
      </c>
      <c r="C4" s="13" t="n">
        <v>8298.200000000001</v>
      </c>
      <c r="D4" s="13" t="n">
        <v>9140.5</v>
      </c>
      <c r="E4" s="13" t="n">
        <v>14524.2</v>
      </c>
      <c r="F4" s="13" t="n">
        <v>17600.7</v>
      </c>
      <c r="G4" s="13">
        <f>G9+G10-G2-G3</f>
        <v/>
      </c>
      <c r="H4" s="13">
        <f>H9+H10-H2-H3</f>
        <v/>
      </c>
      <c r="I4" s="13">
        <f>I9+I10-I2-I3</f>
        <v/>
      </c>
    </row>
    <row r="5">
      <c r="A5" s="28" t="inlineStr">
        <is>
          <t>TỔNG CỘNG TÀI SẢN</t>
        </is>
      </c>
      <c r="B5" s="29">
        <f>SUM(B2:B4)</f>
        <v/>
      </c>
      <c r="C5" s="29">
        <f>SUM(C2:C4)</f>
        <v/>
      </c>
      <c r="D5" s="29">
        <f>SUM(D2:D4)</f>
        <v/>
      </c>
      <c r="E5" s="29">
        <f>SUM(E2:E4)</f>
        <v/>
      </c>
      <c r="F5" s="29">
        <f>SUM(F2:F4)</f>
        <v/>
      </c>
      <c r="G5" s="29">
        <f>SUM(G2:G4)</f>
        <v/>
      </c>
      <c r="H5" s="29">
        <f>SUM(H2:H4)</f>
        <v/>
      </c>
      <c r="I5" s="29">
        <f>SUM(I2:I4)</f>
        <v/>
      </c>
    </row>
    <row r="7">
      <c r="A7" s="14" t="inlineStr">
        <is>
          <t>Vay và nợ thuê tài sản tài chính</t>
        </is>
      </c>
      <c r="B7" s="13" t="n">
        <v>6362.7</v>
      </c>
      <c r="C7" s="13" t="n">
        <v>6326.2</v>
      </c>
      <c r="D7" s="13" t="n">
        <v>8979.299999999999</v>
      </c>
      <c r="E7" s="13" t="n">
        <v>12573.9</v>
      </c>
      <c r="F7" s="13" t="n">
        <v>16064.5</v>
      </c>
      <c r="G7" s="13" t="n">
        <v>22431.9</v>
      </c>
      <c r="H7" s="13" t="n">
        <v>25550.6</v>
      </c>
      <c r="I7" s="13" t="n">
        <v>28049.2</v>
      </c>
    </row>
    <row r="8">
      <c r="A8" s="14" t="inlineStr">
        <is>
          <t>Nợ phải trả khác</t>
        </is>
      </c>
      <c r="B8" s="13" t="n">
        <v>3731.7</v>
      </c>
      <c r="C8" s="13" t="n">
        <v>1421.1</v>
      </c>
      <c r="D8" s="13" t="n">
        <v>904.6</v>
      </c>
      <c r="E8" s="13" t="n">
        <v>1074</v>
      </c>
      <c r="F8" s="13" t="n">
        <v>1931.4</v>
      </c>
      <c r="G8" s="13" t="n">
        <v>2028</v>
      </c>
      <c r="H8" s="13" t="n">
        <v>2129.4</v>
      </c>
      <c r="I8" s="13" t="n">
        <v>2235.9</v>
      </c>
    </row>
    <row r="9">
      <c r="A9" s="1" t="inlineStr">
        <is>
          <t>NỢ PHẢI TRẢ</t>
        </is>
      </c>
      <c r="B9" s="30">
        <f>SUM(B7:B8)</f>
        <v/>
      </c>
      <c r="C9" s="30">
        <f>SUM(C7:C8)</f>
        <v/>
      </c>
      <c r="D9" s="30">
        <f>SUM(D7:D8)</f>
        <v/>
      </c>
      <c r="E9" s="30">
        <f>SUM(E7:E8)</f>
        <v/>
      </c>
      <c r="F9" s="30">
        <f>SUM(F7:F8)</f>
        <v/>
      </c>
      <c r="G9" s="30">
        <f>SUM(G7:G8)</f>
        <v/>
      </c>
      <c r="H9" s="30">
        <f>SUM(H7:H8)</f>
        <v/>
      </c>
      <c r="I9" s="30">
        <f>SUM(I7:I8)</f>
        <v/>
      </c>
    </row>
    <row r="10">
      <c r="A10" s="1" t="inlineStr">
        <is>
          <t>VỐN CHỦ SỞ HỮU</t>
        </is>
      </c>
      <c r="B10" s="13" t="n">
        <v>6541.9</v>
      </c>
      <c r="C10" s="13" t="n">
        <v>6495.5</v>
      </c>
      <c r="D10" s="13" t="n">
        <v>7371.2</v>
      </c>
      <c r="E10" s="13" t="n">
        <v>12944.3</v>
      </c>
      <c r="F10" s="13" t="n">
        <v>18009.9</v>
      </c>
      <c r="G10" s="30" t="n">
        <v>19176</v>
      </c>
      <c r="H10" s="30" t="n">
        <v>20217.3</v>
      </c>
      <c r="I10" s="30" t="n">
        <v>21333.7</v>
      </c>
    </row>
    <row r="12">
      <c r="A12" s="28" t="inlineStr">
        <is>
          <t>TỔNG CỘNG NGUỒN VỐN</t>
        </is>
      </c>
      <c r="B12" s="29">
        <f>B9+B10</f>
        <v/>
      </c>
      <c r="C12" s="29">
        <f>C9+C10</f>
        <v/>
      </c>
      <c r="D12" s="29">
        <f>D9+D10</f>
        <v/>
      </c>
      <c r="E12" s="29">
        <f>E9+E10</f>
        <v/>
      </c>
      <c r="F12" s="29">
        <f>F9+F10</f>
        <v/>
      </c>
      <c r="G12" s="29">
        <f>G9+G10</f>
        <v/>
      </c>
      <c r="H12" s="29">
        <f>H9+H10</f>
        <v/>
      </c>
      <c r="I12" s="29">
        <f>I9+I10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Chỉ tiêu (tỷ VND)</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2">
      <c r="A2" s="14" t="inlineStr">
        <is>
          <t>LNST</t>
        </is>
      </c>
      <c r="B2" s="13">
        <f>'04_PnL'!B9</f>
        <v/>
      </c>
      <c r="C2" s="13">
        <f>'04_PnL'!C9</f>
        <v/>
      </c>
      <c r="D2" s="13">
        <f>'04_PnL'!D9</f>
        <v/>
      </c>
      <c r="E2" s="13">
        <f>'04_PnL'!E9</f>
        <v/>
      </c>
      <c r="F2" s="13">
        <f>'04_PnL'!F9</f>
        <v/>
      </c>
      <c r="G2" s="13">
        <f>'04_PnL'!G9</f>
        <v/>
      </c>
      <c r="H2" s="13">
        <f>'04_PnL'!H9</f>
        <v/>
      </c>
      <c r="I2" s="13">
        <f>'04_PnL'!I9</f>
        <v/>
      </c>
    </row>
    <row r="3">
      <c r="A3" s="14" t="inlineStr">
        <is>
          <t>CFO ước tính (≈ LNST, CTCK ít tài sản cố định)</t>
        </is>
      </c>
      <c r="B3" s="13">
        <f>B2</f>
        <v/>
      </c>
      <c r="C3" s="13">
        <f>C2</f>
        <v/>
      </c>
      <c r="D3" s="13">
        <f>D2</f>
        <v/>
      </c>
      <c r="E3" s="13">
        <f>E2</f>
        <v/>
      </c>
      <c r="F3" s="13">
        <f>F2</f>
        <v/>
      </c>
      <c r="G3" s="13">
        <f>G2</f>
        <v/>
      </c>
      <c r="H3" s="13">
        <f>H2</f>
        <v/>
      </c>
      <c r="I3" s="13">
        <f>I2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2" customWidth="1" min="1" max="1"/>
    <col width="18" customWidth="1" min="2" max="2"/>
    <col width="45" customWidth="1" min="3" max="3"/>
  </cols>
  <sheetData>
    <row r="1">
      <c r="A1" s="6" t="inlineStr">
        <is>
          <t>ĐỊNH GIÁ VCI — P/B ƯU TIÊN + P/E (skill chung-khoan)</t>
        </is>
      </c>
    </row>
    <row r="3">
      <c r="A3" s="4" t="inlineStr">
        <is>
          <t>Phương pháp</t>
        </is>
      </c>
      <c r="B3" s="4" t="inlineStr">
        <is>
          <t>Giá trị</t>
        </is>
      </c>
      <c r="C3" s="4" t="inlineStr">
        <is>
          <t>Ghi chú</t>
        </is>
      </c>
    </row>
    <row r="4">
      <c r="A4" s="7" t="inlineStr">
        <is>
          <t>Chi phí vốn CSH (COE)</t>
        </is>
      </c>
      <c r="B4" s="8">
        <f>'02_Assumptions'!B5</f>
        <v/>
      </c>
      <c r="C4" s="7" t="n"/>
    </row>
    <row r="5">
      <c r="A5" s="7" t="n"/>
      <c r="B5" s="7" t="n"/>
      <c r="C5" s="7" t="n"/>
    </row>
    <row r="6">
      <c r="A6" s="33" t="inlineStr">
        <is>
          <t>1) PHƯƠNG PHÁP P/B (ưu tiên số 1)</t>
        </is>
      </c>
      <c r="B6" s="7" t="n"/>
      <c r="C6" s="7" t="n"/>
    </row>
    <row r="7">
      <c r="A7" s="7" t="inlineStr">
        <is>
          <t>P/B trung vị lịch sử (x)</t>
        </is>
      </c>
      <c r="B7" s="34">
        <f>'02_Assumptions'!B7</f>
        <v/>
      </c>
      <c r="C7" s="7" t="n"/>
    </row>
    <row r="8">
      <c r="A8" s="7" t="inlineStr">
        <is>
          <t>P/B Median Nửa Dưới (Hấp dẫn) (x)</t>
        </is>
      </c>
      <c r="B8" s="34">
        <f>'02_Assumptions'!B8</f>
        <v/>
      </c>
      <c r="C8" s="7" t="n"/>
    </row>
    <row r="9">
      <c r="A9" s="7" t="inlineStr">
        <is>
          <t>P/B Median Nửa Trên (Đắt) (x)</t>
        </is>
      </c>
      <c r="B9" s="34">
        <f>'02_Assumptions'!B9</f>
        <v/>
      </c>
      <c r="C9" s="7" t="n"/>
    </row>
    <row r="10">
      <c r="A10" s="7" t="inlineStr">
        <is>
          <t>BVPS dự phóng năm 1 (VND/CP)</t>
        </is>
      </c>
      <c r="B10" s="23">
        <f>'05_Balance_Sheet'!G10*1e9/'02_Assumptions'!$B$4</f>
        <v/>
      </c>
      <c r="C10" s="7" t="n"/>
    </row>
    <row r="11">
      <c r="A11" s="10" t="inlineStr">
        <is>
          <t>→ P/B Target Price (VND)</t>
        </is>
      </c>
      <c r="B11" s="35">
        <f>B7*B10</f>
        <v/>
      </c>
      <c r="C11" s="7" t="n"/>
    </row>
    <row r="12">
      <c r="A12" s="36" t="inlineStr">
        <is>
          <t>→ P/B Target Price Nửa Dưới (Hấp dẫn)</t>
        </is>
      </c>
      <c r="B12" s="37">
        <f>B8*B10</f>
        <v/>
      </c>
      <c r="C12" s="7" t="n"/>
    </row>
    <row r="13">
      <c r="A13" s="36" t="inlineStr">
        <is>
          <t>→ P/B Target Price Nửa Trên (Đắt)</t>
        </is>
      </c>
      <c r="B13" s="37">
        <f>B9*B10</f>
        <v/>
      </c>
      <c r="C13" s="7" t="n"/>
    </row>
    <row r="14">
      <c r="A14" s="7" t="n"/>
      <c r="B14" s="7" t="n"/>
      <c r="C14" s="7" t="n"/>
    </row>
    <row r="15">
      <c r="A15" s="33" t="inlineStr">
        <is>
          <t>2) PHƯƠNG PHÁP P/E</t>
        </is>
      </c>
      <c r="B15" s="7" t="n"/>
      <c r="C15" s="7" t="n"/>
    </row>
    <row r="16">
      <c r="A16" s="7" t="inlineStr">
        <is>
          <t>P/E trung vị lịch sử (x)</t>
        </is>
      </c>
      <c r="B16" s="34">
        <f>'02_Assumptions'!B6</f>
        <v/>
      </c>
      <c r="C16" s="7" t="n"/>
    </row>
    <row r="17">
      <c r="A17" s="7" t="inlineStr">
        <is>
          <t>EPS dự phóng năm 1 (VND/CP)</t>
        </is>
      </c>
      <c r="B17" s="23">
        <f>'04_PnL'!G11</f>
        <v/>
      </c>
      <c r="C17" s="7" t="n"/>
    </row>
    <row r="18">
      <c r="A18" s="10" t="inlineStr">
        <is>
          <t>→ P/E Target Price (VND)</t>
        </is>
      </c>
      <c r="B18" s="35">
        <f>B16*B17</f>
        <v/>
      </c>
      <c r="C18" s="7" t="n"/>
    </row>
    <row r="19">
      <c r="A19" s="7" t="n"/>
      <c r="B19" s="7" t="n"/>
      <c r="C19" s="7" t="n"/>
    </row>
    <row r="20">
      <c r="A20" s="33" t="inlineStr">
        <is>
          <t>3) GIÁ MỤC TIÊU (P/B 90% + P/E 10%)</t>
        </is>
      </c>
      <c r="B20" s="7" t="n"/>
      <c r="C20" s="7" t="n"/>
    </row>
    <row r="21">
      <c r="A21" s="38" t="inlineStr">
        <is>
          <t>GIÁ MỤC TIÊU (VND)</t>
        </is>
      </c>
      <c r="B21" s="39">
        <f>0.90*B11+0.10*B18</f>
        <v/>
      </c>
      <c r="C21" s="7" t="n"/>
    </row>
    <row r="22">
      <c r="A22" s="40" t="inlineStr">
        <is>
          <t>Định giá hấp dẫn (P/B Nửa Dưới) (VND)</t>
        </is>
      </c>
      <c r="B22" s="41">
        <f>B12</f>
        <v/>
      </c>
      <c r="C22" s="7" t="n"/>
    </row>
    <row r="23">
      <c r="A23" s="42" t="inlineStr">
        <is>
          <t>Định giá đắt (P/B Nửa Trên) (VND)</t>
        </is>
      </c>
      <c r="B23" s="43">
        <f>B13</f>
        <v/>
      </c>
      <c r="C23" s="7" t="n"/>
    </row>
    <row r="24">
      <c r="A24" s="7" t="inlineStr">
        <is>
          <t>Giá hiện tại (VND)</t>
        </is>
      </c>
      <c r="B24" s="23" t="n">
        <v>24450</v>
      </c>
      <c r="C24" s="7" t="n"/>
    </row>
    <row r="25">
      <c r="A25" s="10" t="inlineStr">
        <is>
          <t>Upside/Downside (%)</t>
        </is>
      </c>
      <c r="B25" s="44">
        <f>B21/B24-1</f>
        <v/>
      </c>
      <c r="C25" s="7" t="n"/>
    </row>
    <row r="26">
      <c r="A26" s="7" t="inlineStr">
        <is>
          <t>Tỷ suất cổ tức dự kiến (%)</t>
        </is>
      </c>
      <c r="B26" s="8" t="n">
        <v>0.0103</v>
      </c>
      <c r="C26" s="7" t="n"/>
    </row>
    <row r="27">
      <c r="A27" s="45" t="inlineStr">
        <is>
          <t>TỔNG TỶ SUẤT SINH LỜI (Upside + Cổ tức)</t>
        </is>
      </c>
      <c r="B27" s="46">
        <f>B25+B26</f>
        <v/>
      </c>
      <c r="C27" s="7" t="n"/>
    </row>
    <row r="28">
      <c r="A28" s="7" t="n"/>
      <c r="B28" s="7" t="n"/>
      <c r="C28" s="7" t="n"/>
    </row>
    <row r="29">
      <c r="A29" s="7" t="inlineStr">
        <is>
          <t>Bear Case (VND)</t>
        </is>
      </c>
      <c r="B29" s="23">
        <f>B22</f>
        <v/>
      </c>
      <c r="C29" s="7" t="n"/>
    </row>
    <row r="30">
      <c r="A30" s="7" t="inlineStr">
        <is>
          <t>Bull Case (VND)</t>
        </is>
      </c>
      <c r="B30" s="23">
        <f>B23</f>
        <v/>
      </c>
      <c r="C30" s="7" t="n"/>
    </row>
    <row r="31">
      <c r="A31" s="7" t="n"/>
      <c r="B31" s="7" t="n"/>
      <c r="C31" s="7" t="n"/>
    </row>
    <row r="32" ht="45" customHeight="1">
      <c r="A32" s="47" t="inlineStr">
        <is>
          <t>Lưu ý phương pháp: P/B là phương pháp CHÍNH (90%) cho CTCK vì tài sản có tính thanh khoản cao (tiền, chứng khoán FVTPL, cho vay margin) — phản ánh sát giá trị sổ sách thực. P/E giữ trọng số nhỏ CỐ ĐỊNH 10% cho MỌI CTCK — không bỏ hẳn (vẫn cần làm bộ lọc chống nhiễu khi P/B bị lệch bất thường) nhưng cũng không để cao (LNST CTCK dễ biến động do Tự doanh/IB, kém tin cậy hơn BVPS khi định giá tài sản CTCK).</t>
        </is>
      </c>
      <c r="B32" s="7" t="n"/>
      <c r="C32" s="7" t="n"/>
    </row>
  </sheetData>
  <mergeCells count="1">
    <mergeCell ref="A32:C3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5" customWidth="1" min="1" max="1"/>
    <col width="14" customWidth="1" min="2" max="2"/>
    <col width="14" customWidth="1" min="3" max="3"/>
    <col width="14" customWidth="1" min="4" max="4"/>
    <col width="14" customWidth="1" min="5" max="5"/>
    <col width="14" customWidth="1" min="6" max="6"/>
  </cols>
  <sheetData>
    <row r="1">
      <c r="A1" s="6" t="inlineStr">
        <is>
          <t>ĐỘ NHẠY DANH MỤC TỰ DOANH THEO BIẾN ĐỘNG VN-INDEX</t>
        </is>
      </c>
    </row>
    <row r="3">
      <c r="A3" s="4" t="inlineStr">
        <is>
          <t>Biến động VN-Index</t>
        </is>
      </c>
      <c r="B3" s="4" t="inlineStr">
        <is>
          <t>-20%</t>
        </is>
      </c>
      <c r="C3" s="4" t="inlineStr">
        <is>
          <t>-10%</t>
        </is>
      </c>
      <c r="D3" s="4" t="inlineStr">
        <is>
          <t>+0%</t>
        </is>
      </c>
      <c r="E3" s="4" t="inlineStr">
        <is>
          <t>+10%</t>
        </is>
      </c>
      <c r="F3" s="4" t="inlineStr">
        <is>
          <t>+20%</t>
        </is>
      </c>
    </row>
    <row r="4">
      <c r="A4" s="1" t="inlineStr">
        <is>
          <t>Tác động DT Tự doanh (tỷ VND)</t>
        </is>
      </c>
      <c r="B4" s="13" t="n">
        <v>-73.90000000000001</v>
      </c>
      <c r="C4" s="13" t="n">
        <v>-36.9</v>
      </c>
      <c r="D4" s="13" t="n">
        <v>0</v>
      </c>
      <c r="E4" s="13" t="n">
        <v>36.9</v>
      </c>
      <c r="F4" s="13" t="n">
        <v>73.90000000000001</v>
      </c>
    </row>
    <row r="5">
      <c r="A5" s="1" t="inlineStr">
        <is>
          <t>Tác động LNST (%)</t>
        </is>
      </c>
      <c r="B5" s="5" t="n">
        <v>-0.042</v>
      </c>
      <c r="C5" s="5" t="n">
        <v>-0.021</v>
      </c>
      <c r="D5" s="5" t="n">
        <v>0</v>
      </c>
      <c r="E5" s="5" t="n">
        <v>0.021</v>
      </c>
      <c r="F5" s="5" t="n">
        <v>0.042</v>
      </c>
    </row>
    <row r="7" ht="30" customHeight="1">
      <c r="A7" s="48" t="inlineStr">
        <is>
          <t>Ý nghĩa: đây là mức độ nhạy cảm của LNST năm dự phóng đầu tiên khi VN-Index biến động so với kịch bản cơ sở — dùng để đo lường rủi ro tập trung vào mảng Tự doanh.</t>
        </is>
      </c>
    </row>
  </sheetData>
  <mergeCells count="1">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16" customWidth="1" min="1" max="1"/>
    <col width="70" customWidth="1" min="2" max="2"/>
    <col width="16" customWidth="1" min="3" max="3"/>
  </cols>
  <sheetData>
    <row r="1">
      <c r="A1" s="4" t="inlineStr">
        <is>
          <t>Yếu tố</t>
        </is>
      </c>
      <c r="B1" s="4" t="inlineStr">
        <is>
          <t>Nội dung</t>
        </is>
      </c>
      <c r="C1" s="4" t="inlineStr">
        <is>
          <t>Tác động</t>
        </is>
      </c>
    </row>
    <row r="2" ht="40" customHeight="1">
      <c r="A2" s="10" t="inlineStr">
        <is>
          <t>Political</t>
        </is>
      </c>
      <c r="B2" s="49" t="inlineStr">
        <is>
          <t>Chính sách quản lý thị trường chứng khoán (UBCKNN), lộ trình nâng hạng thị trường mới nổi (FTSE/MSCI), cơ chế Non-pre-funding (giao dịch không cần ký quỹ 100% tiền trước) — động lực thu hút vốn ngoại.</t>
        </is>
      </c>
      <c r="C2" s="7" t="inlineStr">
        <is>
          <t>Positive</t>
        </is>
      </c>
    </row>
    <row r="3" ht="40" customHeight="1">
      <c r="A3" s="10" t="inlineStr">
        <is>
          <t>Economic</t>
        </is>
      </c>
      <c r="B3" s="49" t="inlineStr">
        <is>
          <t>Lãi suất điều hành NHNN, tiến độ giải ngân đầu tư công, lạm phát (CPI) và thanh khoản thị trường (GTGD BQ/phiên) là driver TRỰC TIẾP doanh thu Môi giới/Margin/Tự doanh — xem chi tiết khung đánh giá bên dưới.</t>
        </is>
      </c>
      <c r="C3" s="7" t="inlineStr">
        <is>
          <t>Positive</t>
        </is>
      </c>
    </row>
    <row r="4" ht="40" customHeight="1">
      <c r="A4" s="10" t="inlineStr">
        <is>
          <t>Social</t>
        </is>
      </c>
      <c r="B4" s="49" t="inlineStr">
        <is>
          <t>Số lượng tài khoản chứng khoán mở mới tăng nhanh, phổ cập đầu tư cá nhân qua ứng dụng di động.</t>
        </is>
      </c>
      <c r="C4" s="7" t="inlineStr">
        <is>
          <t>Positive</t>
        </is>
      </c>
    </row>
    <row r="5" ht="40" customHeight="1">
      <c r="A5" s="10" t="inlineStr">
        <is>
          <t>Technological</t>
        </is>
      </c>
      <c r="B5" s="49" t="inlineStr">
        <is>
          <t>Chuyển đổi số, giao dịch T+0/T+2, hệ thống KRX mới giúp tăng tốc độ khớp lệnh và sản phẩm phái sinh.</t>
        </is>
      </c>
      <c r="C5" s="7" t="inlineStr">
        <is>
          <t>Positive</t>
        </is>
      </c>
    </row>
    <row r="6" ht="40" customHeight="1">
      <c r="A6" s="10" t="inlineStr">
        <is>
          <t>Legal</t>
        </is>
      </c>
      <c r="B6" s="49" t="inlineStr">
        <is>
          <t>Quy định về tỷ lệ margin, giới hạn cho vay theo VĐL (trần 2,0x VCSH), quy định phân loại nhà đầu tư chuyên nghiệp siết chặt hơn.</t>
        </is>
      </c>
      <c r="C6" s="7" t="inlineStr">
        <is>
          <t>Neutral</t>
        </is>
      </c>
    </row>
    <row r="7" ht="40" customHeight="1">
      <c r="A7" s="10" t="inlineStr">
        <is>
          <t>Environmental</t>
        </is>
      </c>
      <c r="B7" s="49" t="inlineStr">
        <is>
          <t>Xu hướng ESG trong lựa chọn danh mục đầu tư của quỹ ngoại ảnh hưởng gián tiếp đến dòng vốn vào các CTCK có sản phẩm xanh.</t>
        </is>
      </c>
      <c r="C7" s="7" t="inlineStr">
        <is>
          <t>Neutral</t>
        </is>
      </c>
    </row>
    <row r="9">
      <c r="A9" s="6" t="inlineStr">
        <is>
          <t>BỐI CẢNH VĨ MÔ &amp; THANH KHOẢN THỊ TRƯỜNG (cập nhật 2026-07, cần review định kỳ)</t>
        </is>
      </c>
    </row>
    <row r="10" ht="42" customHeight="1">
      <c r="A10" s="20" t="inlineStr">
        <is>
          <t>⚠ Doanh thu Môi giới, Cho vay Margin và hiệu quả Tự doanh đều BÁM SÁT thanh khoản thị trường — phân tích CTCK thiếu đánh giá vĩ mô/thanh khoản rất dễ dẫn tới dự phóng cảm tính (bias). Giả định tăng trưởng GTGD trong 02_Assumptions PHẢI được đối chiếu với bảng dưới đây, KHÔNG chỉ dùng máy móc 1 tốc độ cố định.</t>
        </is>
      </c>
    </row>
    <row r="12">
      <c r="A12" s="4" t="inlineStr">
        <is>
          <t>Biến số vĩ mô</t>
        </is>
      </c>
      <c r="B12" s="4" t="inlineStr">
        <is>
          <t>Đánh giá hiện tại (2026-07)</t>
        </is>
      </c>
      <c r="C12" s="4" t="inlineStr">
        <is>
          <t>Tác động thanh khoản</t>
        </is>
      </c>
    </row>
    <row r="13" ht="55" customHeight="1">
      <c r="A13" s="10" t="inlineStr">
        <is>
          <t>Chính sách lãi suất NHNN</t>
        </is>
      </c>
      <c r="B13" s="50" t="inlineStr">
        <is>
          <t>Thị trường tiền tệ đang "căng", áp lực hạ lãi suất hỗ trợ kinh tế nhưng phải cân bằng rủi ro lạm phát/tỷ giá — NHNN nhiều khả năng thận trọng, chưa nới mạnh trong ngắn hạn.</t>
        </is>
      </c>
      <c r="C13" s="7" t="inlineStr">
        <is>
          <t>Trung tính/Thận trọng</t>
        </is>
      </c>
    </row>
    <row r="14" ht="55" customHeight="1">
      <c r="A14" s="10" t="inlineStr">
        <is>
          <t>Giải ngân đầu tư công</t>
        </is>
      </c>
      <c r="B14" s="50" t="inlineStr">
        <is>
          <t>Giải ngân đầu tư công nửa đầu 2026 còn CHẬM (~30,1% kế hoạch) — dòng vốn mồi vào nền kinh tế và gián tiếp vào TTCK chưa mạnh, là điểm nghẽn cần theo dõi.</t>
        </is>
      </c>
      <c r="C14" s="7" t="inlineStr">
        <is>
          <t>Tiêu cực (ngắn hạn)</t>
        </is>
      </c>
    </row>
    <row r="15" ht="55" customHeight="1">
      <c r="A15" s="10" t="inlineStr">
        <is>
          <t>Lạm phát (CPI)</t>
        </is>
      </c>
      <c r="B15" s="50" t="inlineStr">
        <is>
          <t>CPI có dấu hiệu giảm nhưng vẫn sát ngưỡng mục tiêu — NHNN phải thận trọng, hạn chế dư địa nới lỏng tiền tệ mạnh tay.</t>
        </is>
      </c>
      <c r="C15" s="7" t="inlineStr">
        <is>
          <t>Trung tính</t>
        </is>
      </c>
    </row>
    <row r="16" ht="55" customHeight="1">
      <c r="A16" s="10" t="inlineStr">
        <is>
          <t>Dòng vốn ngoại / Nâng hạng thị trường</t>
        </is>
      </c>
      <c r="B16" s="50" t="inlineStr">
        <is>
          <t>Cơ chế Non-pre-funding + lộ trình nâng hạng FTSE Russell là động lực thu hút vốn ngoại, có thể cải thiện thanh khoản ĐỘT BIẾN nếu được thông qua/triển khai đúng lộ trình.</t>
        </is>
      </c>
      <c r="C16" s="7" t="inlineStr">
        <is>
          <t>Tích cực (trung hạn)</t>
        </is>
      </c>
    </row>
    <row r="18">
      <c r="A18" s="1" t="inlineStr">
        <is>
          <t>Diễn biến GTGD bình quân/phiên toàn thị trường thực tế gần đây (tỷ VND) — nguồn: HOSE, tin tức tài chính</t>
        </is>
      </c>
    </row>
    <row r="19">
      <c r="A19" s="4" t="inlineStr">
        <is>
          <t>Kỳ</t>
        </is>
      </c>
      <c r="B19" s="4" t="inlineStr">
        <is>
          <t>GTGD BQ/phiên (tỷ VND)</t>
        </is>
      </c>
      <c r="C19" s="4" t="inlineStr">
        <is>
          <t>So với kỳ trước</t>
        </is>
      </c>
    </row>
    <row r="20">
      <c r="A20" s="7" t="inlineStr">
        <is>
          <t>Bình quân năm 2025</t>
        </is>
      </c>
      <c r="B20" s="7" t="inlineStr">
        <is>
          <t>~29.200</t>
        </is>
      </c>
      <c r="C20" s="7" t="inlineStr">
        <is>
          <t>—</t>
        </is>
      </c>
    </row>
    <row r="21">
      <c r="A21" s="7" t="inlineStr">
        <is>
          <t>Quý I/2026</t>
        </is>
      </c>
      <c r="B21" s="7" t="inlineStr">
        <is>
          <t>35.004</t>
        </is>
      </c>
      <c r="C21" s="7" t="inlineStr">
        <is>
          <t>+19,9% so với BQ 2025</t>
        </is>
      </c>
    </row>
    <row r="22">
      <c r="A22" s="7" t="inlineStr">
        <is>
          <t>Tháng 2/2026</t>
        </is>
      </c>
      <c r="B22" s="7" t="inlineStr">
        <is>
          <t>28.891</t>
        </is>
      </c>
      <c r="C22" s="7" t="inlineStr">
        <is>
          <t>—</t>
        </is>
      </c>
    </row>
    <row r="23">
      <c r="A23" s="7" t="inlineStr">
        <is>
          <t>Tháng 3/2026</t>
        </is>
      </c>
      <c r="B23" s="7" t="inlineStr">
        <is>
          <t>33.865</t>
        </is>
      </c>
      <c r="C23" s="7" t="inlineStr">
        <is>
          <t>+6,4% MoM</t>
        </is>
      </c>
    </row>
    <row r="24">
      <c r="A24" s="7" t="inlineStr">
        <is>
          <t>Tháng 4/2026</t>
        </is>
      </c>
      <c r="B24" s="7" t="inlineStr">
        <is>
          <t>24.101</t>
        </is>
      </c>
      <c r="C24" s="7" t="inlineStr">
        <is>
          <t>-20,7% MoM (hạ nhiệt rõ rệt)</t>
        </is>
      </c>
    </row>
    <row r="26" ht="55" customHeight="1">
      <c r="A26" s="20" t="inlineStr">
        <is>
          <t>Nhận định: Thanh khoản BÙNG NỔ trong Quý I/2026 nhưng đã HẠ NHIỆT RÕ RỆT từ tháng 4/2026 — xu hướng này KHÔNG ủng hộ giả định tăng trưởng GTGD đều 8%/năm một cách máy móc cho năm dự phóng đầu tiên. Cần điều chỉnh dòng "GTGD toàn TT bình quân/phiên" tại 02_Assumptions theo diễn biến cập nhật gần nhất khi phân tích, KHÔNG dùng nguyên giá trị mặc định của template.</t>
        </is>
      </c>
    </row>
    <row r="28">
      <c r="A28" s="1" t="inlineStr">
        <is>
          <t>Cơ chế truyền dẫn: Thanh khoản → Hiệu quả từng mảng</t>
        </is>
      </c>
    </row>
    <row r="29">
      <c r="A29" s="4" t="inlineStr">
        <is>
          <t>Mảng</t>
        </is>
      </c>
      <c r="B29" s="4" t="inlineStr">
        <is>
          <t>Cơ chế tác động</t>
        </is>
      </c>
      <c r="C29" s="4" t="inlineStr"/>
    </row>
    <row r="30" ht="45" customHeight="1">
      <c r="A30" s="10" t="inlineStr">
        <is>
          <t>Môi giới</t>
        </is>
      </c>
      <c r="B30" s="50" t="inlineStr">
        <is>
          <t>Tăng NGAY LẬP TỨC theo GTGD BQ (DT = GTGD×Số phiên×Thị phần×Phí — tuyến tính với GTGD).</t>
        </is>
      </c>
      <c r="C30" s="7" t="n"/>
    </row>
    <row r="31" ht="45" customHeight="1">
      <c r="A31" s="10" t="inlineStr">
        <is>
          <t>Cho vay Margin</t>
        </is>
      </c>
      <c r="B31" s="50" t="inlineStr">
        <is>
          <t>Mảng ăn theo thanh khoản LỚN NHẤT — thị trường sôi động → nhu cầu vay tăng vọt; nhưng biên lợi nhuận phụ thuộc thêm vào Chi phí vốn (COF) của CTCK, không chỉ thanh khoản.</t>
        </is>
      </c>
      <c r="C31" s="7" t="n"/>
    </row>
    <row r="32" ht="45" customHeight="1">
      <c r="A32" s="10" t="inlineStr">
        <is>
          <t>Tự doanh (FVTPL)</t>
        </is>
      </c>
      <c r="B32" s="50" t="inlineStr">
        <is>
          <t>Thanh khoản tốt giúp dễ cơ cấu danh mục/chốt lời; thanh khoản thấp khiến danh mục dễ "kẹt", khó hiện thực hóa lãi trên giấy thành LNST thực tế.</t>
        </is>
      </c>
      <c r="C32" s="7" t="n"/>
    </row>
  </sheetData>
  <mergeCells count="8">
    <mergeCell ref="A10:C10"/>
    <mergeCell ref="A28:C28"/>
    <mergeCell ref="B30:C30"/>
    <mergeCell ref="A9:C9"/>
    <mergeCell ref="A18:C18"/>
    <mergeCell ref="B32:C32"/>
    <mergeCell ref="B31:C31"/>
    <mergeCell ref="A26:C2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6" t="inlineStr">
        <is>
          <t>HIỆU QUẢ &amp; ĐỘ NHẠY TỪNG MẢNG KINH DOANH — VCI</t>
        </is>
      </c>
    </row>
    <row r="3">
      <c r="A3" s="4" t="inlineStr">
        <is>
          <t>Chỉ tiêu</t>
        </is>
      </c>
      <c r="B3" s="4" t="inlineStr">
        <is>
          <t>2021A</t>
        </is>
      </c>
      <c r="C3" s="4" t="inlineStr">
        <is>
          <t>2022A</t>
        </is>
      </c>
      <c r="D3" s="4" t="inlineStr">
        <is>
          <t>2023A</t>
        </is>
      </c>
      <c r="E3" s="4" t="inlineStr">
        <is>
          <t>2024A</t>
        </is>
      </c>
      <c r="F3" s="4" t="inlineStr">
        <is>
          <t>2025A</t>
        </is>
      </c>
      <c r="G3" s="4" t="inlineStr">
        <is>
          <t>2026E</t>
        </is>
      </c>
      <c r="H3" s="4" t="inlineStr">
        <is>
          <t>2027E</t>
        </is>
      </c>
      <c r="I3" s="4" t="inlineStr">
        <is>
          <t>2028E</t>
        </is>
      </c>
    </row>
    <row r="4">
      <c r="A4" s="51" t="inlineStr">
        <is>
          <t>── (A) TỶ TRỌNG ĐÓNG GÓP DOANH THU THEO MẢNG (link sống '03_Revenue_Model') ──</t>
        </is>
      </c>
      <c r="B4" s="7" t="n"/>
      <c r="C4" s="7" t="n"/>
      <c r="D4" s="7" t="n"/>
      <c r="E4" s="7" t="n"/>
      <c r="F4" s="7" t="n"/>
      <c r="G4" s="7" t="n"/>
      <c r="H4" s="7" t="n"/>
      <c r="I4" s="7" t="n"/>
    </row>
    <row r="5">
      <c r="A5" s="31" t="inlineStr">
        <is>
          <t xml:space="preserve">  % Môi giới / Tổng DT</t>
        </is>
      </c>
      <c r="B5" s="8">
        <f>'03_Revenue_Model'!B22</f>
        <v/>
      </c>
      <c r="C5" s="8">
        <f>'03_Revenue_Model'!C22</f>
        <v/>
      </c>
      <c r="D5" s="8">
        <f>'03_Revenue_Model'!D22</f>
        <v/>
      </c>
      <c r="E5" s="8">
        <f>'03_Revenue_Model'!E22</f>
        <v/>
      </c>
      <c r="F5" s="8">
        <f>'03_Revenue_Model'!F22</f>
        <v/>
      </c>
      <c r="G5" s="8">
        <f>'03_Revenue_Model'!G22</f>
        <v/>
      </c>
      <c r="H5" s="8">
        <f>'03_Revenue_Model'!H22</f>
        <v/>
      </c>
      <c r="I5" s="8">
        <f>'03_Revenue_Model'!I22</f>
        <v/>
      </c>
    </row>
    <row r="6">
      <c r="A6" s="31" t="inlineStr">
        <is>
          <t xml:space="preserve">  % Cho vay Margin / Tổng DT</t>
        </is>
      </c>
      <c r="B6" s="8">
        <f>'03_Revenue_Model'!B23</f>
        <v/>
      </c>
      <c r="C6" s="8">
        <f>'03_Revenue_Model'!C23</f>
        <v/>
      </c>
      <c r="D6" s="8">
        <f>'03_Revenue_Model'!D23</f>
        <v/>
      </c>
      <c r="E6" s="8">
        <f>'03_Revenue_Model'!E23</f>
        <v/>
      </c>
      <c r="F6" s="8">
        <f>'03_Revenue_Model'!F23</f>
        <v/>
      </c>
      <c r="G6" s="8">
        <f>'03_Revenue_Model'!G23</f>
        <v/>
      </c>
      <c r="H6" s="8">
        <f>'03_Revenue_Model'!H23</f>
        <v/>
      </c>
      <c r="I6" s="8">
        <f>'03_Revenue_Model'!I23</f>
        <v/>
      </c>
    </row>
    <row r="7">
      <c r="A7" s="31" t="inlineStr">
        <is>
          <t xml:space="preserve">  % Tự doanh (FVTPL) / Tổng DT</t>
        </is>
      </c>
      <c r="B7" s="8">
        <f>'03_Revenue_Model'!B24</f>
        <v/>
      </c>
      <c r="C7" s="8">
        <f>'03_Revenue_Model'!C24</f>
        <v/>
      </c>
      <c r="D7" s="8">
        <f>'03_Revenue_Model'!D24</f>
        <v/>
      </c>
      <c r="E7" s="8">
        <f>'03_Revenue_Model'!E24</f>
        <v/>
      </c>
      <c r="F7" s="8">
        <f>'03_Revenue_Model'!F24</f>
        <v/>
      </c>
      <c r="G7" s="8">
        <f>'03_Revenue_Model'!G24</f>
        <v/>
      </c>
      <c r="H7" s="8">
        <f>'03_Revenue_Model'!H24</f>
        <v/>
      </c>
      <c r="I7" s="8">
        <f>'03_Revenue_Model'!I24</f>
        <v/>
      </c>
    </row>
    <row r="8">
      <c r="A8" s="31" t="inlineStr">
        <is>
          <t xml:space="preserve">  % IB + Lưu ký / Tổng DT</t>
        </is>
      </c>
      <c r="B8" s="8">
        <f>'03_Revenue_Model'!B25</f>
        <v/>
      </c>
      <c r="C8" s="8">
        <f>'03_Revenue_Model'!C25</f>
        <v/>
      </c>
      <c r="D8" s="8">
        <f>'03_Revenue_Model'!D25</f>
        <v/>
      </c>
      <c r="E8" s="8">
        <f>'03_Revenue_Model'!E25</f>
        <v/>
      </c>
      <c r="F8" s="8">
        <f>'03_Revenue_Model'!F25</f>
        <v/>
      </c>
      <c r="G8" s="8">
        <f>'03_Revenue_Model'!G25</f>
        <v/>
      </c>
      <c r="H8" s="8">
        <f>'03_Revenue_Model'!H25</f>
        <v/>
      </c>
      <c r="I8" s="8">
        <f>'03_Revenue_Model'!I25</f>
        <v/>
      </c>
    </row>
    <row r="9">
      <c r="A9" s="31" t="inlineStr">
        <is>
          <t xml:space="preserve">  % Quản lý quỹ / Tổng DT</t>
        </is>
      </c>
      <c r="B9" s="8">
        <f>'03_Revenue_Model'!B26</f>
        <v/>
      </c>
      <c r="C9" s="8">
        <f>'03_Revenue_Model'!C26</f>
        <v/>
      </c>
      <c r="D9" s="8">
        <f>'03_Revenue_Model'!D26</f>
        <v/>
      </c>
      <c r="E9" s="8">
        <f>'03_Revenue_Model'!E26</f>
        <v/>
      </c>
      <c r="F9" s="8">
        <f>'03_Revenue_Model'!F26</f>
        <v/>
      </c>
      <c r="G9" s="8">
        <f>'03_Revenue_Model'!G26</f>
        <v/>
      </c>
      <c r="H9" s="8">
        <f>'03_Revenue_Model'!H26</f>
        <v/>
      </c>
      <c r="I9" s="8">
        <f>'03_Revenue_Model'!I26</f>
        <v/>
      </c>
    </row>
    <row r="10">
      <c r="A10" s="7" t="n"/>
      <c r="B10" s="7" t="n"/>
      <c r="C10" s="7" t="n"/>
      <c r="D10" s="7" t="n"/>
      <c r="E10" s="7" t="n"/>
      <c r="F10" s="7" t="n"/>
      <c r="G10" s="7" t="n"/>
      <c r="H10" s="7" t="n"/>
      <c r="I10" s="7" t="n"/>
    </row>
    <row r="11">
      <c r="A11" s="51" t="inlineStr">
        <is>
          <t>── (B) HIỆU SUẤT / BIÊN TỪNG MẢNG QUA CÁC NĂM ──</t>
        </is>
      </c>
      <c r="B11" s="7" t="n"/>
      <c r="C11" s="7" t="n"/>
      <c r="D11" s="7" t="n"/>
      <c r="E11" s="7" t="n"/>
      <c r="F11" s="7" t="n"/>
      <c r="G11" s="7" t="n"/>
      <c r="H11" s="7" t="n"/>
      <c r="I11" s="7" t="n"/>
    </row>
    <row r="12">
      <c r="A12" s="31" t="inlineStr">
        <is>
          <t>Thị phần Môi giới (%) — link '02_Assumptions'</t>
        </is>
      </c>
      <c r="B12" s="8">
        <f>'02_Assumptions'!B14</f>
        <v/>
      </c>
      <c r="C12" s="8">
        <f>'02_Assumptions'!C14</f>
        <v/>
      </c>
      <c r="D12" s="8">
        <f>'02_Assumptions'!D14</f>
        <v/>
      </c>
      <c r="E12" s="8">
        <f>'02_Assumptions'!E14</f>
        <v/>
      </c>
      <c r="F12" s="8">
        <f>'02_Assumptions'!F14</f>
        <v/>
      </c>
      <c r="G12" s="8">
        <f>'02_Assumptions'!G14</f>
        <v/>
      </c>
      <c r="H12" s="8">
        <f>'02_Assumptions'!H14</f>
        <v/>
      </c>
      <c r="I12" s="8">
        <f>'02_Assumptions'!I14</f>
        <v/>
      </c>
    </row>
    <row r="13">
      <c r="A13" s="31" t="inlineStr">
        <is>
          <t>NIM cho vay Margin (%) — link '02_Assumptions'</t>
        </is>
      </c>
      <c r="B13" s="8">
        <f>'02_Assumptions'!B16</f>
        <v/>
      </c>
      <c r="C13" s="8">
        <f>'02_Assumptions'!C16</f>
        <v/>
      </c>
      <c r="D13" s="8">
        <f>'02_Assumptions'!D16</f>
        <v/>
      </c>
      <c r="E13" s="8">
        <f>'02_Assumptions'!E16</f>
        <v/>
      </c>
      <c r="F13" s="8">
        <f>'02_Assumptions'!F16</f>
        <v/>
      </c>
      <c r="G13" s="8">
        <f>'02_Assumptions'!G16</f>
        <v/>
      </c>
      <c r="H13" s="8">
        <f>'02_Assumptions'!H16</f>
        <v/>
      </c>
      <c r="I13" s="8">
        <f>'02_Assumptions'!I16</f>
        <v/>
      </c>
    </row>
    <row r="14">
      <c r="A14" s="36" t="inlineStr">
        <is>
          <t xml:space="preserve">  Tăng trưởng Dư nợ Margin YoY (%) — link '03_Revenue_Model'</t>
        </is>
      </c>
      <c r="B14" s="7" t="n"/>
      <c r="C14" s="8">
        <f>'03_Revenue_Model'!C3/'03_Revenue_Model'!B3-1</f>
        <v/>
      </c>
      <c r="D14" s="8">
        <f>'03_Revenue_Model'!D3/'03_Revenue_Model'!C3-1</f>
        <v/>
      </c>
      <c r="E14" s="8">
        <f>'03_Revenue_Model'!E3/'03_Revenue_Model'!D3-1</f>
        <v/>
      </c>
      <c r="F14" s="8">
        <f>'03_Revenue_Model'!F3/'03_Revenue_Model'!E3-1</f>
        <v/>
      </c>
      <c r="G14" s="8">
        <f>'03_Revenue_Model'!G3/'03_Revenue_Model'!F3-1</f>
        <v/>
      </c>
      <c r="H14" s="8">
        <f>'03_Revenue_Model'!H3/'03_Revenue_Model'!G3-1</f>
        <v/>
      </c>
      <c r="I14" s="8">
        <f>'03_Revenue_Model'!I3/'03_Revenue_Model'!H3-1</f>
        <v/>
      </c>
    </row>
    <row r="15">
      <c r="A15" s="36" t="inlineStr">
        <is>
          <t xml:space="preserve">  Dư nợ Margin / VCSH (x) — giới hạn pháp lý ≤ 2,0x</t>
        </is>
      </c>
      <c r="B15" s="34">
        <f>'03_Revenue_Model'!B3/'05_Balance_Sheet'!B10</f>
        <v/>
      </c>
      <c r="C15" s="34">
        <f>'03_Revenue_Model'!C3/'05_Balance_Sheet'!C10</f>
        <v/>
      </c>
      <c r="D15" s="34">
        <f>'03_Revenue_Model'!D3/'05_Balance_Sheet'!D10</f>
        <v/>
      </c>
      <c r="E15" s="34">
        <f>'03_Revenue_Model'!E3/'05_Balance_Sheet'!E10</f>
        <v/>
      </c>
      <c r="F15" s="34">
        <f>'03_Revenue_Model'!F3/'05_Balance_Sheet'!F10</f>
        <v/>
      </c>
      <c r="G15" s="34">
        <f>'03_Revenue_Model'!G3/'05_Balance_Sheet'!G10</f>
        <v/>
      </c>
      <c r="H15" s="34">
        <f>'03_Revenue_Model'!H3/'05_Balance_Sheet'!H10</f>
        <v/>
      </c>
      <c r="I15" s="34">
        <f>'03_Revenue_Model'!I3/'05_Balance_Sheet'!I10</f>
        <v/>
      </c>
    </row>
    <row r="16">
      <c r="A16" s="10" t="inlineStr">
        <is>
          <t xml:space="preserve">  Cảnh báo: Dư nợ Margin gần/vượt trần pháp lý 2,0x VCSH</t>
        </is>
      </c>
      <c r="B16" s="7">
        <f>IF(B15&gt;=2,"⚠ VƯỢT TRẦN",IF(B15&gt;=1.8,"⚠ Gần trần","Bình thường"))</f>
        <v/>
      </c>
      <c r="C16" s="7">
        <f>IF(C15&gt;=2,"⚠ VƯỢT TRẦN",IF(C15&gt;=1.8,"⚠ Gần trần","Bình thường"))</f>
        <v/>
      </c>
      <c r="D16" s="7">
        <f>IF(D15&gt;=2,"⚠ VƯỢT TRẦN",IF(D15&gt;=1.8,"⚠ Gần trần","Bình thường"))</f>
        <v/>
      </c>
      <c r="E16" s="7">
        <f>IF(E15&gt;=2,"⚠ VƯỢT TRẦN",IF(E15&gt;=1.8,"⚠ Gần trần","Bình thường"))</f>
        <v/>
      </c>
      <c r="F16" s="7">
        <f>IF(F15&gt;=2,"⚠ VƯỢT TRẦN",IF(F15&gt;=1.8,"⚠ Gần trần","Bình thường"))</f>
        <v/>
      </c>
      <c r="G16" s="7">
        <f>IF(G15&gt;=2,"⚠ VƯỢT TRẦN",IF(G15&gt;=1.8,"⚠ Gần trần","Bình thường"))</f>
        <v/>
      </c>
      <c r="H16" s="7">
        <f>IF(H15&gt;=2,"⚠ VƯỢT TRẦN",IF(H15&gt;=1.8,"⚠ Gần trần","Bình thường"))</f>
        <v/>
      </c>
      <c r="I16" s="7">
        <f>IF(I15&gt;=2,"⚠ VƯỢT TRẦN",IF(I15&gt;=1.8,"⚠ Gần trần","Bình thường"))</f>
        <v/>
      </c>
    </row>
    <row r="17">
      <c r="A17" s="31" t="inlineStr">
        <is>
          <t>Hiệu suất Tự doanh thực tế lịch sử (%) — link '02_Assumptions'</t>
        </is>
      </c>
      <c r="B17" s="8">
        <f>'02_Assumptions'!B26</f>
        <v/>
      </c>
      <c r="C17" s="8">
        <f>'02_Assumptions'!C26</f>
        <v/>
      </c>
      <c r="D17" s="8">
        <f>'02_Assumptions'!D26</f>
        <v/>
      </c>
      <c r="E17" s="8">
        <f>'02_Assumptions'!E26</f>
        <v/>
      </c>
      <c r="F17" s="8">
        <f>'02_Assumptions'!F26</f>
        <v/>
      </c>
      <c r="G17" s="7" t="n"/>
      <c r="H17" s="7" t="n"/>
      <c r="I17" s="7" t="n"/>
    </row>
    <row r="18">
      <c r="A18" s="36" t="inlineStr">
        <is>
          <t xml:space="preserve">  Tăng trưởng Danh mục Tự doanh YoY (%) — link '03_Revenue_Model'</t>
        </is>
      </c>
      <c r="B18" s="7" t="n"/>
      <c r="C18" s="8">
        <f>'03_Revenue_Model'!C6/'03_Revenue_Model'!B6-1</f>
        <v/>
      </c>
      <c r="D18" s="8">
        <f>'03_Revenue_Model'!D6/'03_Revenue_Model'!C6-1</f>
        <v/>
      </c>
      <c r="E18" s="8">
        <f>'03_Revenue_Model'!E6/'03_Revenue_Model'!D6-1</f>
        <v/>
      </c>
      <c r="F18" s="8">
        <f>'03_Revenue_Model'!F6/'03_Revenue_Model'!E6-1</f>
        <v/>
      </c>
      <c r="G18" s="8">
        <f>'03_Revenue_Model'!G6/'03_Revenue_Model'!F6-1</f>
        <v/>
      </c>
      <c r="H18" s="8">
        <f>'03_Revenue_Model'!H6/'03_Revenue_Model'!G6-1</f>
        <v/>
      </c>
      <c r="I18" s="8">
        <f>'03_Revenue_Model'!I6/'03_Revenue_Model'!H6-1</f>
        <v/>
      </c>
    </row>
    <row r="19">
      <c r="A19" s="7" t="n"/>
      <c r="B19" s="7" t="n"/>
      <c r="C19" s="7" t="n"/>
      <c r="D19" s="7" t="n"/>
      <c r="E19" s="7" t="n"/>
      <c r="F19" s="7" t="n"/>
      <c r="G19" s="7" t="n"/>
      <c r="H19" s="7" t="n"/>
      <c r="I19" s="7" t="n"/>
    </row>
    <row r="20">
      <c r="A20" s="51" t="inlineStr">
        <is>
          <t>── (C) CẢNH BÁO TĂNG TRƯỞNG KÉM HIỆU QUẢ VỐN (ngưỡng: dư nợ/danh mục tăng &gt;15%/năm NHƯNG biên giảm YoY) ──</t>
        </is>
      </c>
      <c r="B20" s="7" t="n"/>
      <c r="C20" s="7" t="n"/>
      <c r="D20" s="7" t="n"/>
      <c r="E20" s="7" t="n"/>
      <c r="F20" s="7" t="n"/>
      <c r="G20" s="7" t="n"/>
      <c r="H20" s="7" t="n"/>
      <c r="I20" s="7" t="n"/>
    </row>
    <row r="21">
      <c r="A21" s="10" t="inlineStr">
        <is>
          <t>Cảnh báo Margin: Dư nợ tăng nhanh nhưng NIM giảm</t>
        </is>
      </c>
      <c r="B21" s="7" t="n"/>
      <c r="C21" s="7">
        <f>IF(AND(C14&gt;0.15,C13&lt;B13),"⚠ Cảnh báo","Bình thường")</f>
        <v/>
      </c>
      <c r="D21" s="7">
        <f>IF(AND(D14&gt;0.15,D13&lt;C13),"⚠ Cảnh báo","Bình thường")</f>
        <v/>
      </c>
      <c r="E21" s="7">
        <f>IF(AND(E14&gt;0.15,E13&lt;D13),"⚠ Cảnh báo","Bình thường")</f>
        <v/>
      </c>
      <c r="F21" s="7">
        <f>IF(AND(F14&gt;0.15,F13&lt;E13),"⚠ Cảnh báo","Bình thường")</f>
        <v/>
      </c>
      <c r="G21" s="7">
        <f>IF(AND(G14&gt;0.15,G13&lt;F13),"⚠ Cảnh báo","Bình thường")</f>
        <v/>
      </c>
      <c r="H21" s="7">
        <f>IF(AND(H14&gt;0.15,H13&lt;G13),"⚠ Cảnh báo","Bình thường")</f>
        <v/>
      </c>
      <c r="I21" s="7">
        <f>IF(AND(I14&gt;0.15,I13&lt;H13),"⚠ Cảnh báo","Bình thường")</f>
        <v/>
      </c>
    </row>
    <row r="22">
      <c r="A22" s="10" t="inlineStr">
        <is>
          <t>Cảnh báo Tự doanh: Danh mục tăng nhanh nhưng hiệu suất giảm</t>
        </is>
      </c>
      <c r="B22" s="7" t="n"/>
      <c r="C22" s="7">
        <f>IF(AND(C18&gt;0.15,C17&lt;B17),"⚠ Cảnh báo","Bình thường")</f>
        <v/>
      </c>
      <c r="D22" s="7">
        <f>IF(AND(D18&gt;0.15,D17&lt;C17),"⚠ Cảnh báo","Bình thường")</f>
        <v/>
      </c>
      <c r="E22" s="7">
        <f>IF(AND(E18&gt;0.15,E17&lt;D17),"⚠ Cảnh báo","Bình thường")</f>
        <v/>
      </c>
      <c r="F22" s="7">
        <f>IF(AND(F18&gt;0.15,F17&lt;E17),"⚠ Cảnh báo","Bình thường")</f>
        <v/>
      </c>
      <c r="G22" s="7" t="n"/>
      <c r="H22" s="7" t="n"/>
      <c r="I22" s="7" t="n"/>
    </row>
    <row r="23">
      <c r="A23" s="7" t="n"/>
      <c r="B23" s="7" t="n"/>
      <c r="C23" s="7" t="n"/>
      <c r="D23" s="7" t="n"/>
      <c r="E23" s="7" t="n"/>
      <c r="F23" s="7" t="n"/>
      <c r="G23" s="7" t="n"/>
      <c r="H23" s="7" t="n"/>
      <c r="I23" s="7" t="n"/>
    </row>
    <row r="24">
      <c r="A24" s="51" t="inlineStr">
        <is>
          <t>── (D) ĐỘ NHẠY DOANH THU THEO MẢNG (kịch bản macro, năm dự phóng đầu tiên) ──</t>
        </is>
      </c>
      <c r="B24" s="7" t="n"/>
      <c r="C24" s="7" t="n"/>
      <c r="D24" s="7" t="n"/>
      <c r="E24" s="7" t="n"/>
      <c r="F24" s="7" t="n"/>
      <c r="G24" s="7" t="n"/>
      <c r="H24" s="7" t="n"/>
      <c r="I24" s="7" t="n"/>
    </row>
    <row r="25">
      <c r="A25" s="4" t="inlineStr">
        <is>
          <t>Kịch bản</t>
        </is>
      </c>
      <c r="B25" s="4" t="inlineStr">
        <is>
          <t>-20%</t>
        </is>
      </c>
      <c r="C25" s="4" t="inlineStr">
        <is>
          <t>-10%</t>
        </is>
      </c>
      <c r="D25" s="4" t="inlineStr">
        <is>
          <t>0%</t>
        </is>
      </c>
      <c r="E25" s="4" t="inlineStr">
        <is>
          <t>+10%</t>
        </is>
      </c>
      <c r="F25" s="4" t="inlineStr">
        <is>
          <t>+20%</t>
        </is>
      </c>
      <c r="G25" s="7" t="n"/>
      <c r="H25" s="7" t="n"/>
      <c r="I25" s="7" t="n"/>
    </row>
    <row r="26">
      <c r="A26" s="10" t="inlineStr">
        <is>
          <t>DT Môi giới thay đổi (tỷ VND) — theo GTGD thị trường ±X%</t>
        </is>
      </c>
      <c r="B26" s="23">
        <f>'03_Revenue_Model'!G12*-0.2</f>
        <v/>
      </c>
      <c r="C26" s="23">
        <f>'03_Revenue_Model'!G12*-0.1</f>
        <v/>
      </c>
      <c r="D26" s="23">
        <f>'03_Revenue_Model'!G12*0</f>
        <v/>
      </c>
      <c r="E26" s="23">
        <f>'03_Revenue_Model'!G12*0.1</f>
        <v/>
      </c>
      <c r="F26" s="23">
        <f>'03_Revenue_Model'!G12*0.2</f>
        <v/>
      </c>
      <c r="G26" s="7" t="n"/>
      <c r="H26" s="7" t="n"/>
      <c r="I26" s="7" t="n"/>
    </row>
    <row r="27">
      <c r="A27" s="7" t="n"/>
      <c r="B27" s="7" t="n"/>
      <c r="C27" s="7" t="n"/>
      <c r="D27" s="7" t="n"/>
      <c r="E27" s="7" t="n"/>
      <c r="F27" s="7" t="n"/>
      <c r="G27" s="7" t="n"/>
      <c r="H27" s="7" t="n"/>
      <c r="I27" s="7" t="n"/>
    </row>
    <row r="28">
      <c r="A28" s="4" t="inlineStr">
        <is>
          <t>Kịch bản</t>
        </is>
      </c>
      <c r="B28" s="4" t="inlineStr">
        <is>
          <t>-100bps</t>
        </is>
      </c>
      <c r="C28" s="4" t="inlineStr">
        <is>
          <t>-50bps</t>
        </is>
      </c>
      <c r="D28" s="4" t="inlineStr">
        <is>
          <t>0bps</t>
        </is>
      </c>
      <c r="E28" s="4" t="inlineStr">
        <is>
          <t>+50bps</t>
        </is>
      </c>
      <c r="F28" s="4" t="inlineStr">
        <is>
          <t>+100bps</t>
        </is>
      </c>
      <c r="G28" s="7" t="n"/>
      <c r="H28" s="7" t="n"/>
      <c r="I28" s="7" t="n"/>
    </row>
    <row r="29">
      <c r="A29" s="10" t="inlineStr">
        <is>
          <t>DT Margin thay đổi (tỷ VND) — theo NIM ±X bps</t>
        </is>
      </c>
      <c r="B29" s="23">
        <f>'03_Revenue_Model'!G4*-0.01</f>
        <v/>
      </c>
      <c r="C29" s="23">
        <f>'03_Revenue_Model'!G4*-0.005</f>
        <v/>
      </c>
      <c r="D29" s="23">
        <f>'03_Revenue_Model'!G4*0</f>
        <v/>
      </c>
      <c r="E29" s="23">
        <f>'03_Revenue_Model'!G4*0.005</f>
        <v/>
      </c>
      <c r="F29" s="23">
        <f>'03_Revenue_Model'!G4*0.01</f>
        <v/>
      </c>
      <c r="G29" s="7" t="n"/>
      <c r="H29" s="7" t="n"/>
      <c r="I29" s="7" t="n"/>
    </row>
    <row r="30">
      <c r="A30" s="7" t="n"/>
      <c r="B30" s="7" t="n"/>
      <c r="C30" s="7" t="n"/>
      <c r="D30" s="7" t="n"/>
      <c r="E30" s="7" t="n"/>
      <c r="F30" s="7" t="n"/>
      <c r="G30" s="7" t="n"/>
      <c r="H30" s="7" t="n"/>
      <c r="I30" s="7" t="n"/>
    </row>
    <row r="31" ht="30" customHeight="1">
      <c r="A31" s="52" t="inlineStr">
        <is>
          <t>Độ nhạy DT Tự doanh (FVTPL) theo kịch bản VN-Index ±10%/±20% — xem chi tiết đầy đủ (kèm % tác động LNST) tại sheet 08_Sensitivity.</t>
        </is>
      </c>
      <c r="B31" s="7" t="n"/>
      <c r="C31" s="7" t="n"/>
      <c r="D31" s="7" t="n"/>
      <c r="E31" s="7" t="n"/>
      <c r="F31" s="7" t="n"/>
      <c r="G31" s="7" t="n"/>
      <c r="H31" s="7" t="n"/>
      <c r="I31" s="7" t="n"/>
    </row>
  </sheetData>
  <mergeCells count="2">
    <mergeCell ref="A1:I1"/>
    <mergeCell ref="A31:I3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20" customWidth="1" min="1" max="1"/>
    <col width="75" customWidth="1" min="2" max="2"/>
    <col width="14" customWidth="1" min="3" max="3"/>
  </cols>
  <sheetData>
    <row r="1">
      <c r="A1" s="4" t="inlineStr">
        <is>
          <t>Tầng phân tích</t>
        </is>
      </c>
      <c r="B1" s="4" t="inlineStr">
        <is>
          <t>Kết luận</t>
        </is>
      </c>
      <c r="C1" s="4" t="inlineStr">
        <is>
          <t>Đánh giá</t>
        </is>
      </c>
    </row>
    <row r="2" ht="45" customHeight="1">
      <c r="A2" s="10" t="inlineStr">
        <is>
          <t>Mô hình KD</t>
        </is>
      </c>
      <c r="B2" s="49" t="inlineStr">
        <is>
          <t>Công ty Cổ phần Chứng khoán Vietcap vận hành mô hình 5 mảng: Môi giới, Cho vay Margin, Tự doanh (FVTPL), IB+Lưu ký, Quản lý quỹ. Mảng đóng góp lớn nhất hiện tại: Cho vay Margin (42.8% DT).</t>
        </is>
      </c>
      <c r="C2" s="7" t="inlineStr">
        <is>
          <t>Trung tính</t>
        </is>
      </c>
    </row>
    <row r="3" ht="45" customHeight="1">
      <c r="A3" s="10" t="inlineStr">
        <is>
          <t>Chất lượng LN</t>
        </is>
      </c>
      <c r="B3" s="49" t="inlineStr">
        <is>
          <t>Lợi nhuận từ Môi giới/Margin (phí dịch vụ, lãi cho vay) ổn định hơn Tự doanh (biến động theo VN-Index) — cần theo dõi tỷ trọng Tự doanh để đánh giá độ bền vững của LNST.</t>
        </is>
      </c>
      <c r="C3" s="7" t="inlineStr">
        <is>
          <t>Trung tính</t>
        </is>
      </c>
    </row>
    <row r="4" ht="45" customHeight="1">
      <c r="A4" s="10" t="inlineStr">
        <is>
          <t>Định giá</t>
        </is>
      </c>
      <c r="B4" s="49" t="inlineStr">
        <is>
          <t>Upside +25.7% so với giá hiện tại theo mô hình P/B (60%) + P/E (40%).</t>
        </is>
      </c>
      <c r="C4" s="7" t="inlineStr">
        <is>
          <t>Tích cực</t>
        </is>
      </c>
    </row>
    <row r="5" ht="45" customHeight="1">
      <c r="A5" s="10" t="inlineStr">
        <is>
          <t>Khuyến nghị</t>
        </is>
      </c>
      <c r="B5" s="49" t="inlineStr">
        <is>
          <t>MUA</t>
        </is>
      </c>
      <c r="C5" s="7" t="inlineStr">
        <is>
          <t>MUA</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Chỉ tiêu</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2">
      <c r="A2" s="1" t="inlineStr">
        <is>
          <t>Doanh thu hoạt động (tỷ VND)</t>
        </is>
      </c>
      <c r="B2" s="23" t="n">
        <v>3707.068724492</v>
      </c>
      <c r="C2" s="23" t="n">
        <v>3156.242736345</v>
      </c>
      <c r="D2" s="23" t="n">
        <v>2472.460543397</v>
      </c>
      <c r="E2" s="23" t="n">
        <v>3695.52533547</v>
      </c>
      <c r="F2" s="23" t="n">
        <v>4980.201525108</v>
      </c>
      <c r="G2" s="23" t="n">
        <v>3633.4</v>
      </c>
      <c r="H2" s="23" t="n">
        <v>3175.8</v>
      </c>
      <c r="I2" s="23" t="n">
        <v>3404.8</v>
      </c>
    </row>
    <row r="3">
      <c r="A3" s="1" t="inlineStr">
        <is>
          <t>LNST cổ đông mẹ (tỷ VND)</t>
        </is>
      </c>
      <c r="B3" s="23" t="n">
        <v>1498.718375328</v>
      </c>
      <c r="C3" s="23" t="n">
        <v>868.978185802</v>
      </c>
      <c r="D3" s="23" t="n">
        <v>491.904659394</v>
      </c>
      <c r="E3" s="23" t="n">
        <v>910.692113293</v>
      </c>
      <c r="F3" s="23" t="n">
        <v>1341.954507258</v>
      </c>
      <c r="G3" s="23" t="n">
        <v>1457.6</v>
      </c>
      <c r="H3" s="23" t="n">
        <v>1301.6</v>
      </c>
      <c r="I3" s="23" t="n">
        <v>1395.5</v>
      </c>
    </row>
    <row r="4">
      <c r="A4" s="1" t="inlineStr">
        <is>
          <t>EPS (VND/CP)</t>
        </is>
      </c>
      <c r="B4" s="23" t="n">
        <v>1301</v>
      </c>
      <c r="C4" s="23" t="n">
        <v>754</v>
      </c>
      <c r="D4" s="23" t="n">
        <v>427</v>
      </c>
      <c r="E4" s="23" t="n">
        <v>790</v>
      </c>
      <c r="F4" s="23" t="n">
        <v>1165</v>
      </c>
      <c r="G4" s="23" t="n">
        <v>1265</v>
      </c>
      <c r="H4" s="23" t="n">
        <v>1130</v>
      </c>
      <c r="I4" s="23" t="n">
        <v>1211</v>
      </c>
    </row>
    <row r="5">
      <c r="A5" s="1" t="inlineStr">
        <is>
          <t>BVPS (VND/CP)</t>
        </is>
      </c>
      <c r="B5" s="23" t="n">
        <v>5678</v>
      </c>
      <c r="C5" s="23" t="n">
        <v>5637</v>
      </c>
      <c r="D5" s="23" t="n">
        <v>6397</v>
      </c>
      <c r="E5" s="23" t="n">
        <v>11234</v>
      </c>
      <c r="F5" s="23" t="n">
        <v>15630</v>
      </c>
      <c r="G5" s="23" t="n">
        <v>16642</v>
      </c>
      <c r="H5" s="23" t="n">
        <v>17546</v>
      </c>
      <c r="I5" s="23" t="n">
        <v>18515</v>
      </c>
    </row>
    <row r="6">
      <c r="A6" s="1" t="inlineStr">
        <is>
          <t>VCSH (tỷ VND)</t>
        </is>
      </c>
      <c r="B6" s="23" t="n">
        <v>6541.863245387</v>
      </c>
      <c r="C6" s="23" t="n">
        <v>6495.468171614</v>
      </c>
      <c r="D6" s="23" t="n">
        <v>7371.229508341</v>
      </c>
      <c r="E6" s="23" t="n">
        <v>12944.305447861</v>
      </c>
      <c r="F6" s="23" t="n">
        <v>18009.896539949</v>
      </c>
      <c r="G6" s="23" t="n">
        <v>19175.976539949</v>
      </c>
      <c r="H6" s="23" t="n">
        <v>20217.256539949</v>
      </c>
      <c r="I6" s="23" t="n">
        <v>21333.656539949</v>
      </c>
    </row>
    <row r="7">
      <c r="A7" s="1" t="inlineStr">
        <is>
          <t>ROE (%)</t>
        </is>
      </c>
      <c r="B7" s="53" t="n">
        <v>22.91</v>
      </c>
      <c r="C7" s="53" t="n">
        <v>13.38</v>
      </c>
      <c r="D7" s="53" t="n">
        <v>6.67</v>
      </c>
      <c r="E7" s="53" t="n">
        <v>7.04</v>
      </c>
      <c r="F7" s="53" t="n">
        <v>7.45</v>
      </c>
      <c r="G7" s="53" t="n">
        <v>7.6</v>
      </c>
      <c r="H7" s="53" t="n">
        <v>6.44</v>
      </c>
      <c r="I7" s="53" t="n">
        <v>6.54</v>
      </c>
    </row>
    <row r="8">
      <c r="A8" s="1" t="inlineStr">
        <is>
          <t>P/E (x, tại giá hiện tại)</t>
        </is>
      </c>
      <c r="B8" s="34" t="n">
        <v>18.79</v>
      </c>
      <c r="C8" s="34" t="n">
        <v>32.43</v>
      </c>
      <c r="D8" s="34" t="n">
        <v>57.26</v>
      </c>
      <c r="E8" s="34" t="n">
        <v>30.95</v>
      </c>
      <c r="F8" s="34" t="n">
        <v>20.99</v>
      </c>
      <c r="G8" s="34" t="n">
        <v>19.33</v>
      </c>
      <c r="H8" s="34" t="n">
        <v>21.64</v>
      </c>
      <c r="I8" s="34" t="n">
        <v>20.19</v>
      </c>
    </row>
    <row r="9">
      <c r="A9" s="1" t="inlineStr">
        <is>
          <t>P/B (x, tại giá hiện tại)</t>
        </is>
      </c>
      <c r="B9" s="34" t="n">
        <v>4.31</v>
      </c>
      <c r="C9" s="34" t="n">
        <v>4.34</v>
      </c>
      <c r="D9" s="34" t="n">
        <v>3.82</v>
      </c>
      <c r="E9" s="34" t="n">
        <v>2.18</v>
      </c>
      <c r="F9" s="34" t="n">
        <v>1.56</v>
      </c>
      <c r="G9" s="34" t="n">
        <v>1.47</v>
      </c>
      <c r="H9" s="34" t="n">
        <v>1.39</v>
      </c>
      <c r="I9" s="34" t="n">
        <v>1.32</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14" customWidth="1" min="1" max="1"/>
    <col width="14" customWidth="1" min="2" max="2"/>
    <col width="14" customWidth="1" min="3" max="3"/>
    <col width="20" customWidth="1" min="4" max="4"/>
    <col width="20" customWidth="1" min="5" max="5"/>
  </cols>
  <sheetData>
    <row r="1">
      <c r="A1" s="4" t="inlineStr">
        <is>
          <t>Quý</t>
        </is>
      </c>
      <c r="B1" s="4" t="inlineStr">
        <is>
          <t>P/E (x)</t>
        </is>
      </c>
      <c r="C1" s="4" t="inlineStr">
        <is>
          <t>P/B (x)</t>
        </is>
      </c>
      <c r="D1" s="4" t="inlineStr">
        <is>
          <t>P/B Nửa Dưới (x)</t>
        </is>
      </c>
      <c r="E1" s="4" t="inlineStr">
        <is>
          <t>P/B Nửa Trên (x)</t>
        </is>
      </c>
    </row>
    <row r="2">
      <c r="A2" s="7" t="inlineStr">
        <is>
          <t>2018-Q1</t>
        </is>
      </c>
      <c r="B2" s="34" t="n">
        <v>9.779999999999999</v>
      </c>
      <c r="C2" s="34" t="n">
        <v>1.8</v>
      </c>
      <c r="D2" s="7" t="n"/>
      <c r="E2" s="7" t="n"/>
    </row>
    <row r="3">
      <c r="A3" s="7" t="inlineStr">
        <is>
          <t>2018-Q2</t>
        </is>
      </c>
      <c r="B3" s="34" t="n">
        <v>10.3</v>
      </c>
      <c r="C3" s="34" t="n">
        <v>2.63</v>
      </c>
      <c r="D3" s="7" t="n"/>
      <c r="E3" s="7" t="n"/>
    </row>
    <row r="4">
      <c r="A4" s="7" t="inlineStr">
        <is>
          <t>2018-Q3</t>
        </is>
      </c>
      <c r="B4" s="34" t="n">
        <v>7.33</v>
      </c>
      <c r="C4" s="34" t="n">
        <v>1.7</v>
      </c>
      <c r="D4" s="7" t="n"/>
      <c r="E4" s="7" t="n"/>
    </row>
    <row r="5">
      <c r="A5" s="7" t="inlineStr">
        <is>
          <t>2018-Q4</t>
        </is>
      </c>
      <c r="B5" s="34" t="n">
        <v>7.07</v>
      </c>
      <c r="C5" s="34" t="n">
        <v>1.6</v>
      </c>
      <c r="D5" s="7" t="n"/>
      <c r="E5" s="7" t="n"/>
    </row>
    <row r="6">
      <c r="A6" s="7" t="inlineStr">
        <is>
          <t>2019-Q1</t>
        </is>
      </c>
      <c r="B6" s="34" t="n">
        <v>7.96</v>
      </c>
      <c r="C6" s="34" t="n">
        <v>1.53</v>
      </c>
      <c r="D6" s="7" t="n"/>
      <c r="E6" s="7" t="n"/>
    </row>
    <row r="7">
      <c r="A7" s="7" t="inlineStr">
        <is>
          <t>2019-Q2</t>
        </is>
      </c>
      <c r="B7" s="34" t="n">
        <v>8.869999999999999</v>
      </c>
      <c r="C7" s="34" t="n">
        <v>1.62</v>
      </c>
      <c r="D7" s="7" t="n"/>
      <c r="E7" s="7" t="n"/>
    </row>
    <row r="8">
      <c r="A8" s="7" t="inlineStr">
        <is>
          <t>2019-Q3</t>
        </is>
      </c>
      <c r="B8" s="34" t="n">
        <v>7.53</v>
      </c>
      <c r="C8" s="34" t="n">
        <v>1.25</v>
      </c>
      <c r="D8" s="7" t="n"/>
      <c r="E8" s="7" t="n"/>
    </row>
    <row r="9">
      <c r="A9" s="7" t="inlineStr">
        <is>
          <t>2019-Q4</t>
        </is>
      </c>
      <c r="B9" s="34" t="n">
        <v>4.34</v>
      </c>
      <c r="C9" s="34" t="n">
        <v>0.74</v>
      </c>
      <c r="D9" s="7" t="n"/>
      <c r="E9" s="7" t="n"/>
    </row>
    <row r="10">
      <c r="A10" s="7" t="inlineStr">
        <is>
          <t>2020-Q1</t>
        </is>
      </c>
      <c r="B10" s="34" t="n">
        <v>6.23</v>
      </c>
      <c r="C10" s="34" t="n">
        <v>1.05</v>
      </c>
      <c r="D10" s="7" t="n"/>
      <c r="E10" s="7" t="n"/>
    </row>
    <row r="11">
      <c r="A11" s="7" t="inlineStr">
        <is>
          <t>2020-Q2</t>
        </is>
      </c>
      <c r="B11" s="34" t="n">
        <v>9.74</v>
      </c>
      <c r="C11" s="34" t="n">
        <v>1.78</v>
      </c>
      <c r="D11" s="7" t="n"/>
      <c r="E11" s="7" t="n"/>
    </row>
    <row r="12">
      <c r="A12" s="7" t="inlineStr">
        <is>
          <t>2020-Q3</t>
        </is>
      </c>
      <c r="B12" s="34" t="n">
        <v>15.79</v>
      </c>
      <c r="C12" s="34" t="n">
        <v>2.46</v>
      </c>
      <c r="D12" s="7" t="n"/>
      <c r="E12" s="7" t="n"/>
    </row>
    <row r="13">
      <c r="A13" s="7" t="inlineStr">
        <is>
          <t>2020-Q4</t>
        </is>
      </c>
      <c r="B13" s="34" t="n">
        <v>13.4</v>
      </c>
      <c r="C13" s="34" t="n">
        <v>2.28</v>
      </c>
      <c r="D13" s="7" t="n"/>
      <c r="E13" s="7" t="n"/>
    </row>
    <row r="14">
      <c r="A14" s="7" t="inlineStr">
        <is>
          <t>2021-Q1</t>
        </is>
      </c>
      <c r="B14" s="34" t="n">
        <v>18.13</v>
      </c>
      <c r="C14" s="34" t="n">
        <v>3.48</v>
      </c>
      <c r="D14" s="7" t="n"/>
      <c r="E14" s="7" t="n"/>
    </row>
    <row r="15">
      <c r="A15" s="7" t="inlineStr">
        <is>
          <t>2021-Q3</t>
        </is>
      </c>
      <c r="B15" s="34" t="n">
        <v>12.95</v>
      </c>
      <c r="C15" s="34" t="n">
        <v>2.83</v>
      </c>
      <c r="D15" s="7" t="n"/>
      <c r="E15" s="7" t="n"/>
    </row>
    <row r="16">
      <c r="A16" s="7" t="inlineStr">
        <is>
          <t>2021-Q4</t>
        </is>
      </c>
      <c r="B16" s="34" t="n">
        <v>11.1</v>
      </c>
      <c r="C16" s="34" t="n">
        <v>2.55</v>
      </c>
      <c r="D16" s="7" t="n"/>
      <c r="E16" s="7" t="n"/>
    </row>
    <row r="17">
      <c r="A17" s="7" t="inlineStr">
        <is>
          <t>2022-Q1</t>
        </is>
      </c>
      <c r="B17" s="34" t="n">
        <v>7.46</v>
      </c>
      <c r="C17" s="34" t="n">
        <v>1.7</v>
      </c>
      <c r="D17" s="7" t="n"/>
      <c r="E17" s="7" t="n"/>
    </row>
    <row r="18">
      <c r="A18" s="7" t="inlineStr">
        <is>
          <t>2022-Q2</t>
        </is>
      </c>
      <c r="B18" s="34" t="n">
        <v>7.67</v>
      </c>
      <c r="C18" s="34" t="n">
        <v>1.63</v>
      </c>
      <c r="D18" s="7" t="n"/>
      <c r="E18" s="7" t="n"/>
    </row>
    <row r="19">
      <c r="A19" s="7" t="inlineStr">
        <is>
          <t>2022-Q3</t>
        </is>
      </c>
      <c r="B19" s="34" t="n">
        <v>9.210000000000001</v>
      </c>
      <c r="C19" s="34" t="n">
        <v>1.83</v>
      </c>
      <c r="D19" s="7" t="n"/>
      <c r="E19" s="7" t="n"/>
    </row>
    <row r="20">
      <c r="A20" s="7" t="inlineStr">
        <is>
          <t>2022-Q4</t>
        </is>
      </c>
      <c r="B20" s="34" t="n">
        <v>15.41</v>
      </c>
      <c r="C20" s="34" t="n">
        <v>2.07</v>
      </c>
      <c r="D20" s="7" t="n"/>
      <c r="E20" s="7" t="n"/>
    </row>
    <row r="21">
      <c r="A21" s="7" t="inlineStr">
        <is>
          <t>2023-Q1</t>
        </is>
      </c>
      <c r="B21" s="34" t="n">
        <v>34.34</v>
      </c>
      <c r="C21" s="34" t="n">
        <v>2.63</v>
      </c>
      <c r="D21" s="7" t="n"/>
      <c r="E21" s="7" t="n"/>
    </row>
    <row r="22">
      <c r="A22" s="7" t="inlineStr">
        <is>
          <t>2023-Q2</t>
        </is>
      </c>
      <c r="B22" s="34" t="n">
        <v>54.21</v>
      </c>
      <c r="C22" s="34" t="n">
        <v>2.52</v>
      </c>
      <c r="D22" s="7" t="n"/>
      <c r="E22" s="7" t="n"/>
    </row>
    <row r="23">
      <c r="A23" s="7" t="inlineStr">
        <is>
          <t>2023-Q3</t>
        </is>
      </c>
      <c r="B23" s="34" t="n">
        <v>46.09</v>
      </c>
      <c r="C23" s="34" t="n">
        <v>2.52</v>
      </c>
      <c r="D23" s="7" t="n"/>
      <c r="E23" s="7" t="n"/>
    </row>
    <row r="24">
      <c r="A24" s="7" t="inlineStr">
        <is>
          <t>2023-Q4</t>
        </is>
      </c>
      <c r="B24" s="34" t="n">
        <v>46.24</v>
      </c>
      <c r="C24" s="34" t="n">
        <v>3.09</v>
      </c>
      <c r="D24" s="7" t="n"/>
      <c r="E24" s="7" t="n"/>
    </row>
    <row r="25">
      <c r="A25" s="7" t="inlineStr">
        <is>
          <t>2024-Q1</t>
        </is>
      </c>
      <c r="B25" s="34" t="n">
        <v>33.97</v>
      </c>
      <c r="C25" s="34" t="n">
        <v>2.57</v>
      </c>
      <c r="D25" s="7" t="n"/>
      <c r="E25" s="7" t="n"/>
    </row>
    <row r="26">
      <c r="A26" s="7" t="inlineStr">
        <is>
          <t>2024-Q2</t>
        </is>
      </c>
      <c r="B26" s="34" t="n">
        <v>26.87</v>
      </c>
      <c r="C26" s="34" t="n">
        <v>2.38</v>
      </c>
      <c r="D26" s="7" t="n"/>
      <c r="E26" s="7" t="n"/>
    </row>
    <row r="27">
      <c r="A27" s="7" t="inlineStr">
        <is>
          <t>2024-Q3</t>
        </is>
      </c>
      <c r="B27" s="34" t="n">
        <v>23.3</v>
      </c>
      <c r="C27" s="34" t="n">
        <v>1.81</v>
      </c>
      <c r="D27" s="7" t="n"/>
      <c r="E27" s="7" t="n"/>
    </row>
    <row r="28">
      <c r="A28" s="7" t="inlineStr">
        <is>
          <t>2024-Q4</t>
        </is>
      </c>
      <c r="B28" s="34" t="n">
        <v>23.73</v>
      </c>
      <c r="C28" s="34" t="n">
        <v>2.02</v>
      </c>
      <c r="D28" s="7" t="n"/>
      <c r="E28" s="7" t="n"/>
    </row>
    <row r="29">
      <c r="A29" s="7" t="inlineStr">
        <is>
          <t>2025-Q1</t>
        </is>
      </c>
      <c r="B29" s="34" t="n">
        <v>25.98</v>
      </c>
      <c r="C29" s="34" t="n">
        <v>2.38</v>
      </c>
      <c r="D29" s="7" t="n"/>
      <c r="E29" s="7" t="n"/>
    </row>
    <row r="30">
      <c r="A30" s="7" t="inlineStr">
        <is>
          <t>2025-Q2</t>
        </is>
      </c>
      <c r="B30" s="34" t="n">
        <v>31.41</v>
      </c>
      <c r="C30" s="34" t="n">
        <v>2.49</v>
      </c>
      <c r="D30" s="7" t="n"/>
      <c r="E30" s="7" t="n"/>
    </row>
    <row r="31">
      <c r="A31" s="7" t="inlineStr">
        <is>
          <t>2025-Q3</t>
        </is>
      </c>
      <c r="B31" s="34" t="n">
        <v>22.65</v>
      </c>
      <c r="C31" s="34" t="n">
        <v>1.82</v>
      </c>
      <c r="D31" s="7" t="n"/>
      <c r="E31" s="7" t="n"/>
    </row>
    <row r="32">
      <c r="A32" s="7" t="inlineStr">
        <is>
          <t>2025-Q4</t>
        </is>
      </c>
      <c r="B32" s="34" t="n">
        <v>21.12</v>
      </c>
      <c r="C32" s="34" t="n">
        <v>1.77</v>
      </c>
      <c r="D32" s="7" t="n"/>
      <c r="E32" s="7" t="n"/>
    </row>
    <row r="33">
      <c r="A33" s="7" t="inlineStr">
        <is>
          <t>2026-Q1</t>
        </is>
      </c>
      <c r="B33" s="34" t="n">
        <v>18.6</v>
      </c>
      <c r="C33" s="34" t="n">
        <v>1.62</v>
      </c>
      <c r="D33" s="7" t="n"/>
      <c r="E33" s="7" t="n"/>
    </row>
    <row r="35">
      <c r="A35" s="54" t="inlineStr">
        <is>
          <t>MEDIAN (loại quý P/E&gt;60x hoặc ≤0)</t>
        </is>
      </c>
      <c r="B35" s="55">
        <f>MEDIAN(B2:B33)</f>
        <v/>
      </c>
      <c r="C35" s="55">
        <f>MEDIAN(C2:C33)</f>
        <v/>
      </c>
      <c r="D35" s="55" t="n">
        <v>1.67</v>
      </c>
      <c r="E35" s="55" t="n">
        <v>2.52</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12" customWidth="1" min="1" max="1"/>
    <col width="14" customWidth="1" min="2" max="2"/>
    <col width="14" customWidth="1" min="3" max="3"/>
    <col width="16" customWidth="1" min="4" max="4"/>
    <col width="14" customWidth="1" min="5" max="5"/>
    <col width="14" customWidth="1" min="6" max="6"/>
  </cols>
  <sheetData>
    <row r="1">
      <c r="A1" s="4" t="inlineStr">
        <is>
          <t>Quý</t>
        </is>
      </c>
      <c r="B1" s="4" t="inlineStr">
        <is>
          <t>DT Môi giới</t>
        </is>
      </c>
      <c r="C1" s="4" t="inlineStr">
        <is>
          <t>DT Margin</t>
        </is>
      </c>
      <c r="D1" s="4" t="inlineStr">
        <is>
          <t>DT Tự doanh (net)</t>
        </is>
      </c>
      <c r="E1" s="4" t="inlineStr">
        <is>
          <t>DT IB+Lưu ký</t>
        </is>
      </c>
      <c r="F1" s="4" t="inlineStr">
        <is>
          <t>LNST</t>
        </is>
      </c>
    </row>
    <row r="2">
      <c r="A2" t="inlineStr">
        <is>
          <t>2018Q1</t>
        </is>
      </c>
      <c r="B2" s="13" t="n">
        <v>306.2</v>
      </c>
      <c r="C2" s="13" t="n">
        <v>94.3</v>
      </c>
      <c r="D2" s="13" t="n">
        <v>139.5</v>
      </c>
      <c r="E2" s="13" t="n">
        <v>17.1</v>
      </c>
      <c r="F2" s="13" t="n">
        <v>332.3</v>
      </c>
    </row>
    <row r="3">
      <c r="A3" t="inlineStr">
        <is>
          <t>2018Q2</t>
        </is>
      </c>
      <c r="B3" s="13" t="n">
        <v>335.4</v>
      </c>
      <c r="C3" s="13" t="n">
        <v>95.90000000000001</v>
      </c>
      <c r="D3" s="13" t="n">
        <v>-12.9</v>
      </c>
      <c r="E3" s="13" t="n">
        <v>5.9</v>
      </c>
      <c r="F3" s="13" t="n">
        <v>198.3</v>
      </c>
    </row>
    <row r="4">
      <c r="A4" t="inlineStr">
        <is>
          <t>2018Q3</t>
        </is>
      </c>
      <c r="B4" s="13" t="n">
        <v>167.3</v>
      </c>
      <c r="C4" s="13" t="n">
        <v>95.3</v>
      </c>
      <c r="D4" s="13" t="n">
        <v>102.6</v>
      </c>
      <c r="E4" s="13" t="n">
        <v>7.7</v>
      </c>
      <c r="F4" s="13" t="n">
        <v>160.6</v>
      </c>
    </row>
    <row r="5">
      <c r="A5" t="inlineStr">
        <is>
          <t>2018Q4</t>
        </is>
      </c>
      <c r="B5" s="13" t="n">
        <v>208.2</v>
      </c>
      <c r="C5" s="13" t="n">
        <v>157.9</v>
      </c>
      <c r="D5" s="13" t="n">
        <v>-7</v>
      </c>
      <c r="E5" s="13" t="n">
        <v>15.8</v>
      </c>
      <c r="F5" s="13" t="n">
        <v>131.3</v>
      </c>
    </row>
    <row r="6">
      <c r="A6" t="inlineStr">
        <is>
          <t>2019Q1</t>
        </is>
      </c>
      <c r="B6" s="13" t="n">
        <v>87.8</v>
      </c>
      <c r="C6" s="13" t="n">
        <v>70.5</v>
      </c>
      <c r="D6" s="13" t="n">
        <v>203.1</v>
      </c>
      <c r="E6" s="13" t="n">
        <v>5.9</v>
      </c>
      <c r="F6" s="13" t="n">
        <v>202.6</v>
      </c>
    </row>
    <row r="7">
      <c r="A7" t="inlineStr">
        <is>
          <t>2019Q2</t>
        </is>
      </c>
      <c r="B7" s="13" t="n">
        <v>120.9</v>
      </c>
      <c r="C7" s="13" t="n">
        <v>77.40000000000001</v>
      </c>
      <c r="D7" s="13" t="n">
        <v>77.2</v>
      </c>
      <c r="E7" s="13" t="n">
        <v>22.6</v>
      </c>
      <c r="F7" s="13" t="n">
        <v>139.6</v>
      </c>
    </row>
    <row r="8">
      <c r="A8" t="inlineStr">
        <is>
          <t>2019Q3</t>
        </is>
      </c>
      <c r="B8" s="13" t="n">
        <v>137.3</v>
      </c>
      <c r="C8" s="13" t="n">
        <v>90.7</v>
      </c>
      <c r="D8" s="13" t="n">
        <v>74.40000000000001</v>
      </c>
      <c r="E8" s="13" t="n">
        <v>10.8</v>
      </c>
      <c r="F8" s="13" t="n">
        <v>150.4</v>
      </c>
    </row>
    <row r="9">
      <c r="A9" t="inlineStr">
        <is>
          <t>2019Q4</t>
        </is>
      </c>
      <c r="B9" s="13" t="n">
        <v>87.7</v>
      </c>
      <c r="C9" s="13" t="n">
        <v>93.09999999999999</v>
      </c>
      <c r="D9" s="13" t="n">
        <v>186</v>
      </c>
      <c r="E9" s="13" t="n">
        <v>29.2</v>
      </c>
      <c r="F9" s="13" t="n">
        <v>200.5</v>
      </c>
    </row>
    <row r="10">
      <c r="A10" t="inlineStr">
        <is>
          <t>2020Q1</t>
        </is>
      </c>
      <c r="B10" s="13" t="n">
        <v>86</v>
      </c>
      <c r="C10" s="13" t="n">
        <v>86.8</v>
      </c>
      <c r="D10" s="13" t="n">
        <v>28.8</v>
      </c>
      <c r="E10" s="13" t="n">
        <v>4.5</v>
      </c>
      <c r="F10" s="13" t="n">
        <v>118.6</v>
      </c>
    </row>
    <row r="11">
      <c r="A11" t="inlineStr">
        <is>
          <t>2020Q2</t>
        </is>
      </c>
      <c r="B11" s="13" t="n">
        <v>105</v>
      </c>
      <c r="C11" s="13" t="n">
        <v>64.5</v>
      </c>
      <c r="D11" s="13" t="n">
        <v>290.7</v>
      </c>
      <c r="E11" s="13" t="n">
        <v>7.1</v>
      </c>
      <c r="F11" s="13" t="n">
        <v>205.1</v>
      </c>
    </row>
    <row r="12">
      <c r="A12" t="inlineStr">
        <is>
          <t>2020Q3</t>
        </is>
      </c>
      <c r="B12" s="13" t="n">
        <v>122.7</v>
      </c>
      <c r="C12" s="13" t="n">
        <v>55.6</v>
      </c>
      <c r="D12" s="13" t="n">
        <v>56.8</v>
      </c>
      <c r="E12" s="13" t="n">
        <v>6.8</v>
      </c>
      <c r="F12" s="13" t="n">
        <v>95.5</v>
      </c>
    </row>
    <row r="13">
      <c r="A13" t="inlineStr">
        <is>
          <t>2020Q4</t>
        </is>
      </c>
      <c r="B13" s="13" t="n">
        <v>152.6</v>
      </c>
      <c r="C13" s="13" t="n">
        <v>88.40000000000001</v>
      </c>
      <c r="D13" s="13" t="n">
        <v>309.7</v>
      </c>
      <c r="E13" s="13" t="n">
        <v>30.4</v>
      </c>
      <c r="F13" s="13" t="n">
        <v>349.8</v>
      </c>
    </row>
    <row r="14">
      <c r="A14" t="inlineStr">
        <is>
          <t>2021Q1</t>
        </is>
      </c>
      <c r="B14" s="13" t="n">
        <v>163.3</v>
      </c>
      <c r="C14" s="13" t="n">
        <v>101</v>
      </c>
      <c r="D14" s="13" t="n">
        <v>339.8</v>
      </c>
      <c r="E14" s="13" t="n">
        <v>7.2</v>
      </c>
      <c r="F14" s="13" t="n">
        <v>291.9</v>
      </c>
    </row>
    <row r="15">
      <c r="A15" t="inlineStr">
        <is>
          <t>2021Q2</t>
        </is>
      </c>
      <c r="B15" s="13" t="n">
        <v>209.3</v>
      </c>
      <c r="C15" s="13" t="n">
        <v>136.9</v>
      </c>
      <c r="D15" s="13" t="n">
        <v>399.6</v>
      </c>
      <c r="E15" s="13" t="n">
        <v>3.9</v>
      </c>
      <c r="F15" s="13" t="n">
        <v>410.3</v>
      </c>
    </row>
    <row r="16">
      <c r="A16" t="inlineStr">
        <is>
          <t>2021Q3</t>
        </is>
      </c>
      <c r="B16" s="13" t="n">
        <v>270.8</v>
      </c>
      <c r="C16" s="13" t="n">
        <v>156.7</v>
      </c>
      <c r="D16" s="13" t="n">
        <v>293.2</v>
      </c>
      <c r="E16" s="13" t="n">
        <v>43.9</v>
      </c>
      <c r="F16" s="13" t="n">
        <v>329.3</v>
      </c>
    </row>
    <row r="17">
      <c r="A17" t="inlineStr">
        <is>
          <t>2021Q4</t>
        </is>
      </c>
      <c r="B17" s="13" t="n">
        <v>213.8</v>
      </c>
      <c r="C17" s="13" t="n">
        <v>182.3</v>
      </c>
      <c r="D17" s="13" t="n">
        <v>276.2</v>
      </c>
      <c r="E17" s="13" t="n">
        <v>240.1</v>
      </c>
      <c r="F17" s="13" t="n">
        <v>467.3</v>
      </c>
    </row>
    <row r="18">
      <c r="A18" t="inlineStr">
        <is>
          <t>2022Q1</t>
        </is>
      </c>
      <c r="B18" s="13" t="n">
        <v>351.8</v>
      </c>
      <c r="C18" s="13" t="n">
        <v>195.6</v>
      </c>
      <c r="D18" s="13" t="n">
        <v>141.1</v>
      </c>
      <c r="E18" s="13" t="n">
        <v>10</v>
      </c>
      <c r="F18" s="13" t="n">
        <v>417.2</v>
      </c>
    </row>
    <row r="19">
      <c r="A19" t="inlineStr">
        <is>
          <t>2022Q2</t>
        </is>
      </c>
      <c r="B19" s="13" t="n">
        <v>309.7</v>
      </c>
      <c r="C19" s="13" t="n">
        <v>181</v>
      </c>
      <c r="D19" s="13" t="n">
        <v>85.90000000000001</v>
      </c>
      <c r="E19" s="13" t="n">
        <v>34</v>
      </c>
      <c r="F19" s="13" t="n">
        <v>300.7</v>
      </c>
    </row>
    <row r="20">
      <c r="A20" t="inlineStr">
        <is>
          <t>2022Q3</t>
        </is>
      </c>
      <c r="B20" s="13" t="n">
        <v>140</v>
      </c>
      <c r="C20" s="13" t="n">
        <v>169.1</v>
      </c>
      <c r="D20" s="13" t="n">
        <v>105.5</v>
      </c>
      <c r="E20" s="13" t="n">
        <v>4.9</v>
      </c>
      <c r="F20" s="13" t="n">
        <v>122.7</v>
      </c>
    </row>
    <row r="21">
      <c r="A21" t="inlineStr">
        <is>
          <t>2022Q4</t>
        </is>
      </c>
      <c r="B21" s="13" t="n">
        <v>209.7</v>
      </c>
      <c r="C21" s="13" t="n">
        <v>162.4</v>
      </c>
      <c r="D21" s="13" t="n">
        <v>-31.3</v>
      </c>
      <c r="E21" s="13" t="n">
        <v>14.3</v>
      </c>
      <c r="F21" s="13" t="n">
        <v>28.4</v>
      </c>
    </row>
    <row r="22">
      <c r="A22" t="inlineStr">
        <is>
          <t>2023Q1</t>
        </is>
      </c>
      <c r="B22" s="13" t="n">
        <v>88.90000000000001</v>
      </c>
      <c r="C22" s="13" t="n">
        <v>155.4</v>
      </c>
      <c r="D22" s="13" t="n">
        <v>59.7</v>
      </c>
      <c r="E22" s="13" t="n">
        <v>22.2</v>
      </c>
      <c r="F22" s="13" t="n">
        <v>73.09999999999999</v>
      </c>
    </row>
    <row r="23">
      <c r="A23" t="inlineStr">
        <is>
          <t>2023Q2</t>
        </is>
      </c>
      <c r="B23" s="13" t="n">
        <v>139.5</v>
      </c>
      <c r="C23" s="13" t="n">
        <v>169.4</v>
      </c>
      <c r="D23" s="13" t="n">
        <v>65.09999999999999</v>
      </c>
      <c r="E23" s="13" t="n">
        <v>6.4</v>
      </c>
      <c r="F23" s="13" t="n">
        <v>116.9</v>
      </c>
    </row>
    <row r="24">
      <c r="A24" t="inlineStr">
        <is>
          <t>2023Q3</t>
        </is>
      </c>
      <c r="B24" s="13" t="n">
        <v>159.7</v>
      </c>
      <c r="C24" s="13" t="n">
        <v>176.9</v>
      </c>
      <c r="D24" s="13" t="n">
        <v>129.6</v>
      </c>
      <c r="E24" s="13" t="n">
        <v>6.8</v>
      </c>
      <c r="F24" s="13" t="n">
        <v>179</v>
      </c>
    </row>
    <row r="25">
      <c r="A25" t="inlineStr">
        <is>
          <t>2023Q4</t>
        </is>
      </c>
      <c r="B25" s="13" t="n">
        <v>147.3</v>
      </c>
      <c r="C25" s="13" t="n">
        <v>187.2</v>
      </c>
      <c r="D25" s="13" t="n">
        <v>192.3</v>
      </c>
      <c r="E25" s="13" t="n">
        <v>16</v>
      </c>
      <c r="F25" s="13" t="n">
        <v>123</v>
      </c>
    </row>
    <row r="26">
      <c r="A26" t="inlineStr">
        <is>
          <t>2024Q1</t>
        </is>
      </c>
      <c r="B26" s="13" t="n">
        <v>182.1</v>
      </c>
      <c r="C26" s="13" t="n">
        <v>180.2</v>
      </c>
      <c r="D26" s="13" t="n">
        <v>184.6</v>
      </c>
      <c r="E26" s="13" t="n">
        <v>6.2</v>
      </c>
      <c r="F26" s="13" t="n">
        <v>197.8</v>
      </c>
    </row>
    <row r="27">
      <c r="A27" t="inlineStr">
        <is>
          <t>2024Q2</t>
        </is>
      </c>
      <c r="B27" s="13" t="n">
        <v>180.7</v>
      </c>
      <c r="C27" s="13" t="n">
        <v>234.5</v>
      </c>
      <c r="D27" s="13" t="n">
        <v>249.2</v>
      </c>
      <c r="E27" s="13" t="n">
        <v>20.1</v>
      </c>
      <c r="F27" s="13" t="n">
        <v>279.2</v>
      </c>
    </row>
    <row r="28">
      <c r="A28" t="inlineStr">
        <is>
          <t>2024Q3</t>
        </is>
      </c>
      <c r="B28" s="13" t="n">
        <v>182.7</v>
      </c>
      <c r="C28" s="13" t="n">
        <v>206.4</v>
      </c>
      <c r="D28" s="13" t="n">
        <v>282.9</v>
      </c>
      <c r="E28" s="13" t="n">
        <v>15.2</v>
      </c>
      <c r="F28" s="13" t="n">
        <v>215.4</v>
      </c>
    </row>
    <row r="29">
      <c r="A29" t="inlineStr">
        <is>
          <t>2024Q4</t>
        </is>
      </c>
      <c r="B29" s="13" t="n">
        <v>184.2</v>
      </c>
      <c r="C29" s="13" t="n">
        <v>251.9</v>
      </c>
      <c r="D29" s="13" t="n">
        <v>70.2</v>
      </c>
      <c r="E29" s="13" t="n">
        <v>23.4</v>
      </c>
      <c r="F29" s="13" t="n">
        <v>218.4</v>
      </c>
    </row>
    <row r="30">
      <c r="A30" t="inlineStr">
        <is>
          <t>2025Q1</t>
        </is>
      </c>
      <c r="B30" s="13" t="n">
        <v>149.1</v>
      </c>
      <c r="C30" s="13" t="n">
        <v>257</v>
      </c>
      <c r="D30" s="13" t="n">
        <v>200</v>
      </c>
      <c r="E30" s="13" t="n">
        <v>23.9</v>
      </c>
      <c r="F30" s="13" t="n">
        <v>294.9</v>
      </c>
    </row>
    <row r="31">
      <c r="A31" t="inlineStr">
        <is>
          <t>2025Q2</t>
        </is>
      </c>
      <c r="B31" s="13" t="n">
        <v>221.3</v>
      </c>
      <c r="C31" s="13" t="n">
        <v>257.7</v>
      </c>
      <c r="D31" s="13" t="n">
        <v>-12.3</v>
      </c>
      <c r="E31" s="13" t="n">
        <v>7.8</v>
      </c>
      <c r="F31" s="13" t="n">
        <v>183.9</v>
      </c>
    </row>
    <row r="32">
      <c r="A32" t="inlineStr">
        <is>
          <t>2025Q3</t>
        </is>
      </c>
      <c r="B32" s="13" t="n">
        <v>372.8</v>
      </c>
      <c r="C32" s="13" t="n">
        <v>313.8</v>
      </c>
      <c r="D32" s="13" t="n">
        <v>261.2</v>
      </c>
      <c r="E32" s="13" t="n">
        <v>13</v>
      </c>
      <c r="F32" s="13" t="n">
        <v>420.3</v>
      </c>
    </row>
    <row r="33">
      <c r="A33" t="inlineStr">
        <is>
          <t>2025Q4</t>
        </is>
      </c>
      <c r="B33" s="13" t="n">
        <v>257.1</v>
      </c>
      <c r="C33" s="13" t="n">
        <v>376.3</v>
      </c>
      <c r="D33" s="13" t="n">
        <v>371.1</v>
      </c>
      <c r="E33" s="13" t="n">
        <v>51.5</v>
      </c>
      <c r="F33" s="13" t="n">
        <v>442.9</v>
      </c>
    </row>
    <row r="34">
      <c r="A34" t="inlineStr">
        <is>
          <t>2026Q1</t>
        </is>
      </c>
      <c r="B34" s="13" t="n">
        <v>339.9</v>
      </c>
      <c r="C34" s="13" t="n">
        <v>414.5</v>
      </c>
      <c r="D34" s="13" t="n">
        <v>61.4</v>
      </c>
      <c r="E34" s="13" t="n">
        <v>15.8</v>
      </c>
      <c r="F34" s="13" t="n">
        <v>340.7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RowHeight="15"/>
  <cols>
    <col width="1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6" t="inlineStr">
        <is>
          <t>BẢNG THỐNG KÊ SO SÁNH CÁC CTCK NIÊM YẾT (cập nhật 2026-07-11)</t>
        </is>
      </c>
    </row>
    <row r="2" ht="28" customHeight="1">
      <c r="A2" s="48" t="inlineStr">
        <is>
          <t>Bảng THUẦN TÚY diễn giải/so sánh trực quan đặc điểm doanh nghiệp so với ngành — KHÔNG dùng làm input định giá cho bất kỳ mã nào trong hệ thống (mọi công thức định giá chỉ dùng dữ liệu lịch sử/dự phóng của chính ticker đang phân tích).</t>
        </is>
      </c>
    </row>
    <row r="4">
      <c r="A4" s="4" t="inlineStr">
        <is>
          <t>Mã</t>
        </is>
      </c>
      <c r="B4" s="4" t="inlineStr">
        <is>
          <t>Tên công ty</t>
        </is>
      </c>
      <c r="C4" s="4" t="inlineStr">
        <is>
          <t>Vốn điều lệ (tỷ)</t>
        </is>
      </c>
      <c r="D4" s="4" t="inlineStr">
        <is>
          <t>Vốn hóa (tỷ)</t>
        </is>
      </c>
      <c r="E4" s="4" t="inlineStr">
        <is>
          <t>P/B (x)</t>
        </is>
      </c>
      <c r="F4" s="4" t="inlineStr">
        <is>
          <t>P/E (x)</t>
        </is>
      </c>
      <c r="G4" s="4" t="inlineStr">
        <is>
          <t>ROE (%)</t>
        </is>
      </c>
      <c r="H4" s="4" t="inlineStr">
        <is>
          <t>Margin/VCSH (x)</t>
        </is>
      </c>
      <c r="I4" s="4" t="inlineStr">
        <is>
          <t>% DT Margin</t>
        </is>
      </c>
      <c r="J4" s="4" t="inlineStr">
        <is>
          <t>% DT Môi giới</t>
        </is>
      </c>
      <c r="K4" s="4" t="inlineStr">
        <is>
          <t>% DT Tự doanh</t>
        </is>
      </c>
    </row>
    <row r="5">
      <c r="A5" s="33" t="inlineStr">
        <is>
          <t>SSI</t>
        </is>
      </c>
      <c r="B5" s="7" t="inlineStr">
        <is>
          <t>SSI</t>
        </is>
      </c>
      <c r="C5" s="7" t="n">
        <v>24930.9</v>
      </c>
      <c r="D5" s="7" t="n">
        <v>66404.10000000001</v>
      </c>
      <c r="E5" s="7" t="n">
        <v>1.67</v>
      </c>
      <c r="F5" s="7" t="n">
        <v>12.99</v>
      </c>
      <c r="G5" s="7" t="n">
        <v>12.88</v>
      </c>
      <c r="H5" s="7" t="n">
        <v>0.93</v>
      </c>
      <c r="I5" s="7" t="n">
        <v>33</v>
      </c>
      <c r="J5" s="7" t="n">
        <v>19.1</v>
      </c>
      <c r="K5" s="7" t="n">
        <v>24.3</v>
      </c>
    </row>
    <row r="6">
      <c r="A6" s="33" t="inlineStr">
        <is>
          <t>VND</t>
        </is>
      </c>
      <c r="B6" s="7" t="inlineStr">
        <is>
          <t>VNDIRECT</t>
        </is>
      </c>
      <c r="C6" s="7" t="n">
        <v>15223</v>
      </c>
      <c r="D6" s="7" t="n">
        <v>27401.4</v>
      </c>
      <c r="E6" s="7" t="n">
        <v>1.28</v>
      </c>
      <c r="F6" s="7" t="n">
        <v>12.56</v>
      </c>
      <c r="G6" s="7" t="n">
        <v>10.17</v>
      </c>
      <c r="H6" s="7" t="n">
        <v>0.59</v>
      </c>
      <c r="I6" s="7" t="n">
        <v>22.4</v>
      </c>
      <c r="J6" s="7" t="n">
        <v>12.9</v>
      </c>
      <c r="K6" s="7" t="n">
        <v>28.4</v>
      </c>
    </row>
    <row r="7">
      <c r="A7" s="33" t="inlineStr">
        <is>
          <t>HCM</t>
        </is>
      </c>
      <c r="B7" s="7" t="inlineStr">
        <is>
          <t>HSC</t>
        </is>
      </c>
      <c r="C7" s="7" t="n">
        <v>10808</v>
      </c>
      <c r="D7" s="7" t="n">
        <v>30022.8</v>
      </c>
      <c r="E7" s="7" t="n">
        <v>2.08</v>
      </c>
      <c r="F7" s="7" t="n">
        <v>25.82</v>
      </c>
      <c r="G7" s="7" t="n">
        <v>8.07</v>
      </c>
      <c r="H7" s="7" t="n">
        <v>1.95</v>
      </c>
      <c r="I7" s="7" t="n">
        <v>52.2</v>
      </c>
      <c r="J7" s="7" t="n">
        <v>22.1</v>
      </c>
      <c r="K7" s="7" t="n">
        <v>11.7</v>
      </c>
    </row>
    <row r="8">
      <c r="A8" s="56" t="inlineStr">
        <is>
          <t>VCI</t>
        </is>
      </c>
      <c r="B8" s="56" t="inlineStr">
        <is>
          <t>Vietcap</t>
        </is>
      </c>
      <c r="C8" s="56" t="n">
        <v>8501</v>
      </c>
      <c r="D8" s="56" t="n">
        <v>28172.1</v>
      </c>
      <c r="E8" s="56" t="n">
        <v>1.63</v>
      </c>
      <c r="F8" s="56" t="n">
        <v>20.67</v>
      </c>
      <c r="G8" s="56" t="n">
        <v>7.87</v>
      </c>
      <c r="H8" s="56" t="n">
        <v>0.96</v>
      </c>
      <c r="I8" s="56" t="n">
        <v>29.5</v>
      </c>
      <c r="J8" s="56" t="n">
        <v>24.2</v>
      </c>
      <c r="K8" s="56" t="n">
        <v>4.4</v>
      </c>
    </row>
    <row r="9">
      <c r="A9" s="33" t="inlineStr">
        <is>
          <t>FTS</t>
        </is>
      </c>
      <c r="B9" s="7" t="inlineStr">
        <is>
          <t>FPTS</t>
        </is>
      </c>
      <c r="C9" s="7" t="n">
        <v>3465</v>
      </c>
      <c r="D9" s="7" t="n">
        <v>10233.8</v>
      </c>
      <c r="E9" s="7" t="n">
        <v>2.26</v>
      </c>
      <c r="F9" s="7" t="n">
        <v>16</v>
      </c>
      <c r="G9" s="7" t="n">
        <v>14.12</v>
      </c>
      <c r="H9" s="7" t="n">
        <v>1.38</v>
      </c>
      <c r="I9" s="7" t="n">
        <v>54.6</v>
      </c>
      <c r="J9" s="7" t="n">
        <v>9.699999999999999</v>
      </c>
      <c r="K9" s="7" t="n">
        <v>31.1</v>
      </c>
    </row>
    <row r="10">
      <c r="A10" s="33" t="inlineStr">
        <is>
          <t>SHS</t>
        </is>
      </c>
      <c r="B10" s="7" t="inlineStr">
        <is>
          <t>SHS</t>
        </is>
      </c>
      <c r="C10" s="7" t="n">
        <v>8994.6</v>
      </c>
      <c r="D10" s="7" t="n">
        <v>16640.1</v>
      </c>
      <c r="E10" s="7" t="n">
        <v>1.31</v>
      </c>
      <c r="F10" s="7" t="n">
        <v>17.94</v>
      </c>
      <c r="G10" s="7" t="n">
        <v>7.28</v>
      </c>
      <c r="H10" s="7" t="n">
        <v>0.82</v>
      </c>
      <c r="I10" s="7" t="n">
        <v>47.8</v>
      </c>
      <c r="J10" s="7" t="n">
        <v>17.2</v>
      </c>
      <c r="K10" s="7" t="n">
        <v>31.4</v>
      </c>
    </row>
    <row r="11">
      <c r="A11" s="33" t="inlineStr">
        <is>
          <t>BSI</t>
        </is>
      </c>
      <c r="B11" s="7" t="inlineStr">
        <is>
          <t>BSC</t>
        </is>
      </c>
      <c r="C11" s="7" t="n">
        <v>2453.7</v>
      </c>
      <c r="D11" s="7" t="n">
        <v>9298.1</v>
      </c>
      <c r="E11" s="7" t="n">
        <v>1.66</v>
      </c>
      <c r="F11" s="7" t="n">
        <v>26.17</v>
      </c>
      <c r="G11" s="7" t="n">
        <v>6.33</v>
      </c>
      <c r="H11" s="7" t="n">
        <v>1.63</v>
      </c>
      <c r="I11" s="7" t="n">
        <v>32.3</v>
      </c>
      <c r="J11" s="7" t="n">
        <v>14</v>
      </c>
      <c r="K11" s="7" t="n">
        <v>12.2</v>
      </c>
    </row>
    <row r="12">
      <c r="A12" s="33" t="inlineStr">
        <is>
          <t>VIX</t>
        </is>
      </c>
      <c r="B12" s="7" t="inlineStr">
        <is>
          <t>VIX</t>
        </is>
      </c>
      <c r="C12" s="7" t="n">
        <v>15314.3</v>
      </c>
      <c r="D12" s="7" t="n">
        <v>37856.9</v>
      </c>
      <c r="E12" s="7" t="n">
        <v>1.75</v>
      </c>
      <c r="F12" s="7" t="n">
        <v>68.40000000000001</v>
      </c>
      <c r="G12" s="7" t="n">
        <v>2.56</v>
      </c>
      <c r="H12" s="7" t="n">
        <v>0.58</v>
      </c>
      <c r="I12" s="7" t="n">
        <v>21.1</v>
      </c>
      <c r="J12" s="7" t="n">
        <v>3.1</v>
      </c>
      <c r="K12" s="7" t="n">
        <v>-4.7</v>
      </c>
    </row>
    <row r="13">
      <c r="A13" s="33" t="inlineStr">
        <is>
          <t>MBS</t>
        </is>
      </c>
      <c r="B13" s="7" t="inlineStr">
        <is>
          <t>MBS</t>
        </is>
      </c>
      <c r="C13" s="7" t="n">
        <v>10009.6</v>
      </c>
      <c r="D13" s="7" t="n">
        <v>21820.3</v>
      </c>
      <c r="E13" s="7" t="n">
        <v>1.83</v>
      </c>
      <c r="F13" s="7" t="n">
        <v>18.14</v>
      </c>
      <c r="G13" s="7" t="n">
        <v>10.07</v>
      </c>
      <c r="H13" s="7" t="n">
        <v>1.41</v>
      </c>
      <c r="I13" s="7" t="n">
        <v>38.9</v>
      </c>
      <c r="J13" s="7" t="n">
        <v>13.7</v>
      </c>
      <c r="K13" s="7" t="n">
        <v>5.2</v>
      </c>
    </row>
    <row r="14">
      <c r="A14" s="33" t="inlineStr">
        <is>
          <t>CTS</t>
        </is>
      </c>
      <c r="B14" s="7" t="inlineStr">
        <is>
          <t>VietinBank Securities</t>
        </is>
      </c>
      <c r="C14" s="7" t="n">
        <v>2126.9</v>
      </c>
      <c r="D14" s="7" t="n">
        <v>7595.6</v>
      </c>
      <c r="E14" s="7" t="n">
        <v>2.61</v>
      </c>
      <c r="F14" s="7" t="n">
        <v>28.84</v>
      </c>
      <c r="G14" s="7" t="n">
        <v>9.06</v>
      </c>
      <c r="H14" s="7" t="n">
        <v>1.87</v>
      </c>
      <c r="I14" s="7" t="n">
        <v>37.4</v>
      </c>
      <c r="J14" s="7" t="n">
        <v>12.3</v>
      </c>
      <c r="K14" s="7" t="n">
        <v>8.199999999999999</v>
      </c>
    </row>
    <row r="15">
      <c r="A15" s="33" t="inlineStr">
        <is>
          <t>AGR</t>
        </is>
      </c>
      <c r="B15" s="7" t="inlineStr">
        <is>
          <t>Agriseco</t>
        </is>
      </c>
      <c r="C15" s="7" t="n">
        <v>2283.1</v>
      </c>
      <c r="D15" s="7" t="n">
        <v>3504.6</v>
      </c>
      <c r="E15" s="7" t="n">
        <v>1.34</v>
      </c>
      <c r="F15" s="7" t="n">
        <v>20.15</v>
      </c>
      <c r="G15" s="7" t="n">
        <v>6.64</v>
      </c>
      <c r="H15" s="7" t="n">
        <v>0.98</v>
      </c>
      <c r="I15" s="7" t="n">
        <v>43.6</v>
      </c>
      <c r="J15" s="7" t="n">
        <v>15.8</v>
      </c>
      <c r="K15" s="7" t="n">
        <v>13.2</v>
      </c>
    </row>
    <row r="16">
      <c r="A16" s="33" t="inlineStr">
        <is>
          <t>BVS</t>
        </is>
      </c>
      <c r="B16" s="7" t="inlineStr">
        <is>
          <t>BVSC</t>
        </is>
      </c>
      <c r="C16" s="7" t="n">
        <v>722.3</v>
      </c>
      <c r="D16" s="7" t="n">
        <v>2592</v>
      </c>
      <c r="E16" s="7" t="n">
        <v>0.97</v>
      </c>
      <c r="F16" s="7" t="n">
        <v>30.94</v>
      </c>
      <c r="G16" s="7" t="n">
        <v>3.14</v>
      </c>
      <c r="H16" s="7" t="n">
        <v>1.8</v>
      </c>
      <c r="I16" s="7" t="n">
        <v>43.2</v>
      </c>
      <c r="J16" s="7" t="n">
        <v>34.9</v>
      </c>
      <c r="K16" s="7" t="n">
        <v>-6.5</v>
      </c>
    </row>
    <row r="17">
      <c r="A17" s="33" t="inlineStr">
        <is>
          <t>APG</t>
        </is>
      </c>
      <c r="B17" s="7" t="inlineStr">
        <is>
          <t>APG</t>
        </is>
      </c>
      <c r="C17" s="7" t="n">
        <v>2236.2</v>
      </c>
      <c r="D17" s="7" t="n">
        <v>1109.2</v>
      </c>
      <c r="E17" s="7" t="n">
        <v>0.46</v>
      </c>
      <c r="F17" s="7" t="n">
        <v>42.72</v>
      </c>
      <c r="G17" s="7" t="n">
        <v>1.09</v>
      </c>
      <c r="H17" s="7" t="n">
        <v>0.29</v>
      </c>
      <c r="I17" s="7" t="n">
        <v>26.4</v>
      </c>
      <c r="J17" s="7" t="n">
        <v>3.3</v>
      </c>
      <c r="K17" s="7" t="n">
        <v>4.6</v>
      </c>
    </row>
    <row r="18">
      <c r="A18" s="33" t="inlineStr">
        <is>
          <t>ORS</t>
        </is>
      </c>
      <c r="B18" s="7" t="inlineStr">
        <is>
          <t>Tien Phong Securities</t>
        </is>
      </c>
      <c r="C18" s="7" t="n">
        <v>6239.3</v>
      </c>
      <c r="D18" s="7" t="n">
        <v>8547.9</v>
      </c>
      <c r="E18" s="7" t="n">
        <v>1.11</v>
      </c>
      <c r="F18" s="7" t="n">
        <v>63.35</v>
      </c>
      <c r="G18" s="7" t="n">
        <v>1.76</v>
      </c>
      <c r="H18" s="7" t="n">
        <v>0.22</v>
      </c>
      <c r="I18" s="7" t="n">
        <v>14.6</v>
      </c>
      <c r="J18" s="7" t="n">
        <v>4.8</v>
      </c>
      <c r="K18" s="7" t="n">
        <v>20.4</v>
      </c>
    </row>
    <row r="19">
      <c r="A19" s="33" t="inlineStr">
        <is>
          <t>TVS</t>
        </is>
      </c>
      <c r="B19" s="7" t="inlineStr">
        <is>
          <t>Thien Viet Securities</t>
        </is>
      </c>
      <c r="C19" s="7" t="n">
        <v>2244.4</v>
      </c>
      <c r="D19" s="7" t="n">
        <v>3543.9</v>
      </c>
      <c r="E19" s="7" t="n">
        <v>1.19</v>
      </c>
      <c r="F19" s="7" t="n">
        <v>363.13</v>
      </c>
      <c r="G19" s="7" t="n">
        <v>0.33</v>
      </c>
      <c r="H19" s="7" t="n">
        <v>0.12</v>
      </c>
      <c r="I19" s="7" t="n">
        <v>3.7</v>
      </c>
      <c r="J19" s="7" t="n">
        <v>1.9</v>
      </c>
      <c r="K19" s="7" t="n">
        <v>1</v>
      </c>
    </row>
    <row r="20">
      <c r="A20" s="33" t="inlineStr">
        <is>
          <t>VDS</t>
        </is>
      </c>
      <c r="B20" s="7" t="inlineStr">
        <is>
          <t>Rong Viet Securities</t>
        </is>
      </c>
      <c r="C20" s="7" t="n">
        <v>2720</v>
      </c>
      <c r="D20" s="7" t="n">
        <v>4161.6</v>
      </c>
      <c r="E20" s="7" t="n">
        <v>1.37</v>
      </c>
      <c r="F20" s="7" t="n"/>
      <c r="G20" s="7" t="n">
        <v>-3.89</v>
      </c>
      <c r="H20" s="7" t="n">
        <v>1.27</v>
      </c>
      <c r="I20" s="7" t="n">
        <v>58.4</v>
      </c>
      <c r="J20" s="7" t="n">
        <v>26.9</v>
      </c>
      <c r="K20" s="7" t="n">
        <v>-40</v>
      </c>
    </row>
    <row r="21">
      <c r="A21" s="33" t="inlineStr">
        <is>
          <t>TCX</t>
        </is>
      </c>
      <c r="B21" s="7" t="inlineStr">
        <is>
          <t>TCBS</t>
        </is>
      </c>
      <c r="C21" s="7" t="n">
        <v>23115.8</v>
      </c>
      <c r="D21" s="7" t="n">
        <v>117081.9</v>
      </c>
      <c r="E21" s="7" t="n">
        <v>2.58</v>
      </c>
      <c r="F21" s="7" t="n">
        <v>25.51</v>
      </c>
      <c r="G21" s="7" t="n">
        <v>10.1</v>
      </c>
      <c r="H21" s="7" t="n">
        <v>0.98</v>
      </c>
      <c r="I21" s="7" t="n">
        <v>44.1</v>
      </c>
      <c r="J21" s="7" t="n">
        <v>9.6</v>
      </c>
      <c r="K21" s="7" t="n">
        <v>11.5</v>
      </c>
    </row>
    <row r="22">
      <c r="A22" s="33" t="inlineStr">
        <is>
          <t>VCK</t>
        </is>
      </c>
      <c r="B22" s="7" t="inlineStr">
        <is>
          <t>VPS</t>
        </is>
      </c>
      <c r="C22" s="7" t="n">
        <v>24349.2</v>
      </c>
      <c r="D22" s="7" t="n">
        <v>79743.60000000001</v>
      </c>
      <c r="E22" s="7" t="n">
        <v>2.65</v>
      </c>
      <c r="F22" s="7" t="n">
        <v>16.14</v>
      </c>
      <c r="G22" s="7" t="n">
        <v>16.42</v>
      </c>
      <c r="H22" s="7" t="n">
        <v>1.01</v>
      </c>
      <c r="I22" s="7" t="n">
        <v>37.6</v>
      </c>
      <c r="J22" s="7" t="n">
        <v>39.8</v>
      </c>
      <c r="K22" s="7" t="n">
        <v>15</v>
      </c>
    </row>
    <row r="23">
      <c r="A23" s="33" t="inlineStr">
        <is>
          <t>VPX</t>
        </is>
      </c>
      <c r="B23" s="7" t="inlineStr">
        <is>
          <t>VPBankS</t>
        </is>
      </c>
      <c r="C23" s="7" t="n">
        <v>18750</v>
      </c>
      <c r="D23" s="7" t="n">
        <v>51187.5</v>
      </c>
      <c r="E23" s="7" t="n">
        <v>1.5</v>
      </c>
      <c r="F23" s="7" t="n">
        <v>29.38</v>
      </c>
      <c r="G23" s="7" t="n">
        <v>5.09</v>
      </c>
      <c r="H23" s="7" t="n">
        <v>1.06</v>
      </c>
      <c r="I23" s="7" t="n">
        <v>30.7</v>
      </c>
      <c r="J23" s="7" t="n">
        <v>4.7</v>
      </c>
      <c r="K23" s="7" t="n">
        <v>12.2</v>
      </c>
    </row>
    <row r="25">
      <c r="A25" s="1" t="inlineStr">
        <is>
          <t>Trung vị ngành</t>
        </is>
      </c>
      <c r="C25" s="1" t="n">
        <v>8501</v>
      </c>
      <c r="D25" s="1" t="n">
        <v>16640.1</v>
      </c>
      <c r="E25" s="1" t="n">
        <v>1.63</v>
      </c>
      <c r="F25" s="1" t="n">
        <v>25.66</v>
      </c>
      <c r="G25" s="1" t="n">
        <v>7.28</v>
      </c>
      <c r="H25" s="1" t="n">
        <v>0.98</v>
      </c>
      <c r="I25" s="1" t="n">
        <v>37.4</v>
      </c>
      <c r="J25" s="1" t="n">
        <v>13.7</v>
      </c>
      <c r="K25" s="1" t="n">
        <v>11.7</v>
      </c>
    </row>
  </sheetData>
  <mergeCells count="2">
    <mergeCell ref="A2:L2"/>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2026-07-11T13:02:44Z</dcterms:created>
  <dcterms:modified xmlns:dcterms="http://purl.org/dc/terms/" xmlns:xsi="http://www.w3.org/2001/XMLSchema-instance" xsi:type="dcterms:W3CDTF">2026-07-11T13:02:44Z</dcterms:modified>
</cp:coreProperties>
</file>