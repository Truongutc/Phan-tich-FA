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E" sheetId="1" state="visible" r:id="rId1"/>
    <sheet xmlns:r="http://schemas.openxmlformats.org/officeDocument/2006/relationships" name="01_Cover" sheetId="2" state="visible" r:id="rId2"/>
    <sheet xmlns:r="http://schemas.openxmlformats.org/officeDocument/2006/relationships" name="02_Assumptions" sheetId="3" state="visible" r:id="rId3"/>
    <sheet xmlns:r="http://schemas.openxmlformats.org/officeDocument/2006/relationships" name="03_Income_Model" sheetId="4" state="visible" r:id="rId4"/>
    <sheet xmlns:r="http://schemas.openxmlformats.org/officeDocument/2006/relationships" name="04_PnL_Quarterly" sheetId="5" state="visible" r:id="rId5"/>
    <sheet xmlns:r="http://schemas.openxmlformats.org/officeDocument/2006/relationships" name="04_PnL" sheetId="6" state="visible" r:id="rId6"/>
    <sheet xmlns:r="http://schemas.openxmlformats.org/officeDocument/2006/relationships" name="05_Balance_Sheet_Quarterly" sheetId="7" state="visible" r:id="rId7"/>
    <sheet xmlns:r="http://schemas.openxmlformats.org/officeDocument/2006/relationships" name="05_Balance_Sheet" sheetId="8" state="visible" r:id="rId8"/>
    <sheet xmlns:r="http://schemas.openxmlformats.org/officeDocument/2006/relationships" name="06_Ratios_Quarterly" sheetId="9" state="visible" r:id="rId9"/>
    <sheet xmlns:r="http://schemas.openxmlformats.org/officeDocument/2006/relationships" name="06_Ratios" sheetId="10" state="visible" r:id="rId10"/>
    <sheet xmlns:r="http://schemas.openxmlformats.org/officeDocument/2006/relationships" name="07_Valuation" sheetId="11" state="visible" r:id="rId11"/>
    <sheet xmlns:r="http://schemas.openxmlformats.org/officeDocument/2006/relationships" name="08_Sensitivity" sheetId="12" state="visible" r:id="rId12"/>
    <sheet xmlns:r="http://schemas.openxmlformats.org/officeDocument/2006/relationships" name="09_PESTLE" sheetId="13" state="visible" r:id="rId13"/>
    <sheet xmlns:r="http://schemas.openxmlformats.org/officeDocument/2006/relationships" name="10_Leading_Indicators" sheetId="14" state="visible" r:id="rId14"/>
    <sheet xmlns:r="http://schemas.openxmlformats.org/officeDocument/2006/relationships" name="11_Investment_Thesis" sheetId="15" state="visible" r:id="rId15"/>
    <sheet xmlns:r="http://schemas.openxmlformats.org/officeDocument/2006/relationships" name="12_Summary_Snapshot" sheetId="16" state="visible" r:id="rId16"/>
    <sheet xmlns:r="http://schemas.openxmlformats.org/officeDocument/2006/relationships" name="13_PE_PB_Histo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000"/>
    <numFmt numFmtId="166" formatCode="0.0%"/>
    <numFmt numFmtId="167" formatCode="0.0"/>
  </numFmts>
  <fonts count="11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b val="1"/>
      <sz val="16"/>
    </font>
    <font>
      <name val="Calibri"/>
      <i val="1"/>
      <sz val="12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006400"/>
    </font>
    <font>
      <name val="Calibri"/>
      <color rgb="00006400"/>
      <sz val="9"/>
    </font>
    <font>
      <name val="Calibri"/>
      <color rgb="00595959"/>
      <sz val="9"/>
    </font>
    <font>
      <name val="Calibri"/>
      <b val="1"/>
      <color rgb="00C00000"/>
    </font>
    <font>
      <name val="Calibri"/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DCE6F1"/>
        <bgColor rgb="00DCE6F1"/>
      </patternFill>
    </fill>
    <fill>
      <patternFill patternType="solid">
        <fgColor rgb="004472C4"/>
        <bgColor rgb="004472C4"/>
      </patternFill>
    </fill>
    <fill>
      <patternFill patternType="solid">
        <fgColor rgb="00FFFF99"/>
        <bgColor rgb="00FFFF9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10" fontId="0" fillId="0" borderId="0" pivotButton="0" quotePrefix="0" xfId="0"/>
    <xf numFmtId="1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4" fillId="0" borderId="0" pivotButton="0" quotePrefix="0" xfId="0"/>
    <xf numFmtId="3" fontId="1" fillId="0" borderId="0" pivotButton="0" quotePrefix="0" xfId="0"/>
    <xf numFmtId="10" fontId="1" fillId="0" borderId="0" pivotButton="0" quotePrefix="0" xfId="0"/>
    <xf numFmtId="0" fontId="5" fillId="3" borderId="1" applyAlignment="1" pivotButton="0" quotePrefix="0" xfId="0">
      <alignment horizontal="center" wrapText="1"/>
    </xf>
    <xf numFmtId="0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10" fontId="4" fillId="0" borderId="1" applyAlignment="1" pivotButton="0" quotePrefix="0" xfId="0">
      <alignment horizontal="center"/>
    </xf>
    <xf numFmtId="164" fontId="4" fillId="0" borderId="1" applyAlignment="1" pivotButton="0" quotePrefix="0" xfId="0">
      <alignment horizontal="center"/>
    </xf>
    <xf numFmtId="3" fontId="0" fillId="0" borderId="0" pivotButton="0" quotePrefix="0" xfId="0"/>
    <xf numFmtId="2" fontId="0" fillId="0" borderId="0" pivotButton="0" quotePrefix="0" xfId="0"/>
    <xf numFmtId="2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2" fontId="9" fillId="0" borderId="0" pivotButton="0" quotePrefix="0" xfId="0"/>
    <xf numFmtId="0" fontId="10" fillId="0" borderId="0" pivotButton="0" quotePrefix="0" xfId="0"/>
    <xf numFmtId="165" fontId="0" fillId="0" borderId="0" pivotButton="0" quotePrefix="0" xfId="0"/>
    <xf numFmtId="9" fontId="0" fillId="0" borderId="0" pivotButton="0" quotePrefix="0" xfId="0"/>
    <xf numFmtId="166" fontId="0" fillId="0" borderId="0" pivotButton="0" quotePrefix="0" xfId="0"/>
    <xf numFmtId="3" fontId="0" fillId="4" borderId="0" pivotButton="0" quotePrefix="0" xfId="0"/>
    <xf numFmtId="0" fontId="1" fillId="0" borderId="1" pivotButton="0" quotePrefix="0" xfId="0"/>
    <xf numFmtId="167" fontId="1" fillId="0" borderId="1" pivotButton="0" quotePrefix="0" xfId="0"/>
    <xf numFmtId="2" fontId="1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30" customWidth="1" min="3" max="3"/>
  </cols>
  <sheetData>
    <row r="1">
      <c r="A1" s="1" t="inlineStr">
        <is>
          <t>CHI PHÍ VỐN CSH (COE) — MÔ HÌNH CAPM</t>
        </is>
      </c>
    </row>
    <row r="3">
      <c r="A3" s="1" t="inlineStr">
        <is>
          <t>Tham số</t>
        </is>
      </c>
      <c r="B3" s="1" t="inlineStr">
        <is>
          <t>Giá trị</t>
        </is>
      </c>
    </row>
    <row r="4">
      <c r="A4" t="inlineStr">
        <is>
          <t>Rf — Lãi suất phi rủi ro</t>
        </is>
      </c>
      <c r="B4" s="2" t="n">
        <v>0.045</v>
      </c>
    </row>
    <row r="5">
      <c r="A5" t="inlineStr">
        <is>
          <t>β  — Hệ số Beta</t>
        </is>
      </c>
      <c r="B5" t="n">
        <v>0.8</v>
      </c>
    </row>
    <row r="6">
      <c r="A6" t="inlineStr">
        <is>
          <t>ERP — Phần bù rủi ro vốn</t>
        </is>
      </c>
      <c r="B6" s="2" t="n">
        <v>0.07000000000000001</v>
      </c>
    </row>
    <row r="7">
      <c r="A7" t="inlineStr">
        <is>
          <t>α  — Phần bù rủi ro đặc thù (Frontier/Bank)</t>
        </is>
      </c>
      <c r="B7" s="2" t="n">
        <v>0.02</v>
      </c>
    </row>
    <row r="9">
      <c r="A9" s="1" t="inlineStr">
        <is>
          <t>COE = Rf + β × ERP + α</t>
        </is>
      </c>
      <c r="B9" s="3">
        <f>B4+B5*B6+B7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8"/>
  <sheetViews>
    <sheetView showGridLines="1" workbookViewId="0">
      <selection activeCell="A1" sqref="A1"/>
    </sheetView>
  </sheetViews>
  <sheetFormatPr baseColWidth="8" defaultRowHeight="15"/>
  <sheetData>
    <row r="2">
      <c r="B2" s="4" t="inlineStr">
        <is>
          <t>PHÂN TÍCH CỔ PHIẾU NGÂN HÀNG: VIB</t>
        </is>
      </c>
    </row>
    <row r="3">
      <c r="B3" s="5" t="inlineStr">
        <is>
          <t>Ngân hàng VIB</t>
        </is>
      </c>
    </row>
    <row r="5">
      <c r="B5" t="inlineStr">
        <is>
          <t>Giá hiện tại (VND):</t>
        </is>
      </c>
      <c r="C5" s="6">
        <f>'02_Assumptions'!B2</f>
        <v/>
      </c>
    </row>
    <row r="6">
      <c r="B6" t="inlineStr">
        <is>
          <t>Giá mục tiêu (VND):</t>
        </is>
      </c>
      <c r="C6" s="7">
        <f>'07_Valuation'!B21</f>
        <v/>
      </c>
    </row>
    <row r="7">
      <c r="B7" t="inlineStr">
        <is>
          <t>Upside:</t>
        </is>
      </c>
      <c r="C7" s="8">
        <f>'07_Valuation'!B23</f>
        <v/>
      </c>
    </row>
    <row r="8">
      <c r="B8" t="inlineStr">
        <is>
          <t>Khuyến nghị:</t>
        </is>
      </c>
      <c r="C8" s="1">
        <f>IF('07_Valuation'!B23&gt;0.15,"MUA",IF('07_Valuation'!B23&lt;-0.05,"BÁN","THEO DÕI"))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2021</t>
        </is>
      </c>
      <c r="C1" s="9" t="inlineStr">
        <is>
          <t>2022</t>
        </is>
      </c>
      <c r="D1" s="9" t="inlineStr">
        <is>
          <t>2023</t>
        </is>
      </c>
      <c r="E1" s="9" t="inlineStr">
        <is>
          <t>2024</t>
        </is>
      </c>
      <c r="F1" s="9" t="inlineStr">
        <is>
          <t>2025</t>
        </is>
      </c>
      <c r="G1" s="9" t="inlineStr">
        <is>
          <t>2026F</t>
        </is>
      </c>
      <c r="H1" s="9" t="inlineStr">
        <is>
          <t>2027F</t>
        </is>
      </c>
      <c r="I1" s="9" t="inlineStr">
        <is>
          <t>2028F</t>
        </is>
      </c>
    </row>
    <row r="2">
      <c r="A2" s="10" t="inlineStr">
        <is>
          <t>Giá cổ phiếu (VND)</t>
        </is>
      </c>
      <c r="B2" s="11" t="n">
        <v>16150</v>
      </c>
      <c r="C2" s="10" t="n"/>
      <c r="D2" s="10" t="n"/>
      <c r="E2" s="10" t="n"/>
      <c r="F2" s="10" t="n"/>
      <c r="G2" s="10" t="n"/>
      <c r="H2" s="10" t="n"/>
      <c r="I2" s="10" t="n"/>
    </row>
    <row r="3">
      <c r="A3" s="10" t="inlineStr">
        <is>
          <t>Số lượng CP lưu hành</t>
        </is>
      </c>
      <c r="B3" s="11" t="n">
        <v>3404200300</v>
      </c>
      <c r="C3" s="10" t="n"/>
      <c r="D3" s="10" t="n"/>
      <c r="E3" s="10" t="n"/>
      <c r="F3" s="10" t="n"/>
      <c r="G3" s="10" t="n"/>
      <c r="H3" s="10" t="n"/>
      <c r="I3" s="10" t="n"/>
    </row>
    <row r="4">
      <c r="A4" s="10" t="inlineStr">
        <is>
          <t>Tín dụng tăng trưởng (%)</t>
        </is>
      </c>
      <c r="B4" s="10" t="n"/>
      <c r="C4" s="10" t="n"/>
      <c r="D4" s="10" t="n"/>
      <c r="E4" s="10" t="n"/>
      <c r="F4" s="10" t="n"/>
      <c r="G4" s="12" t="n">
        <v>0.14</v>
      </c>
      <c r="H4" s="12" t="n">
        <v>0.13</v>
      </c>
      <c r="I4" s="12" t="n">
        <v>0.12</v>
      </c>
    </row>
    <row r="5">
      <c r="A5" s="10" t="inlineStr">
        <is>
          <t>Huy động tăng trưởng (%)</t>
        </is>
      </c>
      <c r="B5" s="10" t="n"/>
      <c r="C5" s="10" t="n"/>
      <c r="D5" s="10" t="n"/>
      <c r="E5" s="10" t="n"/>
      <c r="F5" s="10" t="n"/>
      <c r="G5" s="12" t="n">
        <v>0.12</v>
      </c>
      <c r="H5" s="12" t="n">
        <v>0.11</v>
      </c>
      <c r="I5" s="12" t="n">
        <v>0.1</v>
      </c>
    </row>
    <row r="6">
      <c r="A6" s="10" t="inlineStr">
        <is>
          <t>NIM (%)</t>
        </is>
      </c>
      <c r="B6" s="12" t="n">
        <v>0.0396</v>
      </c>
      <c r="C6" s="12" t="n">
        <v>0.0474</v>
      </c>
      <c r="D6" s="12" t="n">
        <v>0.0504</v>
      </c>
      <c r="E6" s="12" t="n">
        <v>0.0378</v>
      </c>
      <c r="F6" s="12" t="n">
        <v>0.0312</v>
      </c>
      <c r="G6" s="12" t="n">
        <v>0.0328</v>
      </c>
      <c r="H6" s="12" t="n">
        <v>0.0337</v>
      </c>
      <c r="I6" s="12" t="n">
        <v>0.0343</v>
      </c>
    </row>
    <row r="7">
      <c r="A7" s="10" t="inlineStr">
        <is>
          <t>CIR (%)</t>
        </is>
      </c>
      <c r="B7" s="12" t="n">
        <v>0.3547</v>
      </c>
      <c r="C7" s="12" t="n">
        <v>0.3432</v>
      </c>
      <c r="D7" s="12" t="n">
        <v>0.2983</v>
      </c>
      <c r="E7" s="12" t="n">
        <v>0.3506</v>
      </c>
      <c r="F7" s="12" t="n">
        <v>0.3716</v>
      </c>
      <c r="G7" s="12" t="n">
        <v>0.33</v>
      </c>
      <c r="H7" s="12" t="n">
        <v>0.32</v>
      </c>
      <c r="I7" s="12" t="n">
        <v>0.32</v>
      </c>
    </row>
    <row r="8">
      <c r="A8" s="10" t="inlineStr">
        <is>
          <t>CoC - Credit Cost (%)</t>
        </is>
      </c>
      <c r="B8" s="12" t="n">
        <v>0.008</v>
      </c>
      <c r="C8" s="12" t="n">
        <v>0.006</v>
      </c>
      <c r="D8" s="12" t="n">
        <v>0.0197</v>
      </c>
      <c r="E8" s="12" t="n">
        <v>0.015</v>
      </c>
      <c r="F8" s="12" t="n">
        <v>0.01</v>
      </c>
      <c r="G8" s="12" t="n">
        <v>0.0095</v>
      </c>
      <c r="H8" s="12" t="n">
        <v>0.008999999999999999</v>
      </c>
      <c r="I8" s="12" t="n">
        <v>0.008500000000000001</v>
      </c>
    </row>
    <row r="9">
      <c r="A9" s="10" t="inlineStr">
        <is>
          <t>NPL ratio (%)</t>
        </is>
      </c>
      <c r="B9" s="12" t="n">
        <v>0.0235</v>
      </c>
      <c r="C9" s="12" t="n">
        <v>0.0248</v>
      </c>
      <c r="D9" s="12" t="n">
        <v>0.032</v>
      </c>
      <c r="E9" s="12" t="n">
        <v>0.0357</v>
      </c>
      <c r="F9" s="12" t="n">
        <v>0.0301</v>
      </c>
      <c r="G9" s="12" t="n">
        <v>0.0286</v>
      </c>
      <c r="H9" s="12" t="n">
        <v>0.0271</v>
      </c>
      <c r="I9" s="12" t="n">
        <v>0.0256</v>
      </c>
    </row>
    <row r="10">
      <c r="A10" s="10" t="inlineStr">
        <is>
          <t>CASA ratio (%)</t>
        </is>
      </c>
      <c r="B10" s="12" t="n">
        <v>0.1611</v>
      </c>
      <c r="C10" s="12" t="n">
        <v>0.1364</v>
      </c>
      <c r="D10" s="12" t="n">
        <v>0.132</v>
      </c>
      <c r="E10" s="12" t="n">
        <v>0.1395</v>
      </c>
      <c r="F10" s="12" t="n">
        <v>0.1439</v>
      </c>
      <c r="G10" s="12" t="n">
        <v>0.1539</v>
      </c>
      <c r="H10" s="12" t="n">
        <v>0.1639</v>
      </c>
      <c r="I10" s="12" t="n">
        <v>0.1739</v>
      </c>
    </row>
    <row r="11">
      <c r="A11" s="10" t="inlineStr">
        <is>
          <t>Tăng trưởng non-TOI (%)</t>
        </is>
      </c>
      <c r="B11" s="10" t="n"/>
      <c r="C11" s="10" t="n"/>
      <c r="D11" s="10" t="n"/>
      <c r="E11" s="10" t="n"/>
      <c r="F11" s="10" t="n"/>
      <c r="G11" s="12" t="n">
        <v>0.15</v>
      </c>
      <c r="H11" s="12" t="n">
        <v>0.15</v>
      </c>
      <c r="I11" s="12" t="n">
        <v>0.14</v>
      </c>
    </row>
    <row r="12">
      <c r="A12" s="10" t="inlineStr">
        <is>
          <t>Chi phí vốn CSH (COE)</t>
        </is>
      </c>
      <c r="B12" s="10" t="n"/>
      <c r="C12" s="10" t="n"/>
      <c r="D12" s="10" t="n"/>
      <c r="E12" s="10" t="n"/>
      <c r="F12" s="10" t="n"/>
      <c r="G12" s="12" t="n">
        <v>0.121</v>
      </c>
      <c r="H12" s="12" t="n">
        <v>0.121</v>
      </c>
      <c r="I12" s="12" t="n">
        <v>0.121</v>
      </c>
    </row>
    <row r="13">
      <c r="A13" s="10" t="inlineStr">
        <is>
          <t>Tăng trưởng dài hạn (g)</t>
        </is>
      </c>
      <c r="B13" s="10" t="n"/>
      <c r="C13" s="10" t="n"/>
      <c r="D13" s="10" t="n"/>
      <c r="E13" s="10" t="n"/>
      <c r="F13" s="10" t="n"/>
      <c r="G13" s="10" t="n"/>
      <c r="H13" s="10" t="n"/>
      <c r="I13" s="12" t="n">
        <v>0.03</v>
      </c>
    </row>
    <row r="14">
      <c r="A14" s="10" t="inlineStr">
        <is>
          <t>Thuế suất (%)</t>
        </is>
      </c>
      <c r="B14" s="10" t="n"/>
      <c r="C14" s="10" t="n"/>
      <c r="D14" s="10" t="n"/>
      <c r="E14" s="10" t="n"/>
      <c r="F14" s="10" t="n"/>
      <c r="G14" s="12" t="n">
        <v>0.2</v>
      </c>
      <c r="H14" s="12" t="n">
        <v>0.2</v>
      </c>
      <c r="I14" s="12" t="n">
        <v>0.2</v>
      </c>
    </row>
    <row r="15">
      <c r="A15" s="10" t="inlineStr">
        <is>
          <t>P/B mục tiêu (x)</t>
        </is>
      </c>
      <c r="B15" s="10" t="n"/>
      <c r="C15" s="10" t="n"/>
      <c r="D15" s="10" t="n"/>
      <c r="E15" s="10" t="n"/>
      <c r="F15" s="10" t="n"/>
      <c r="G15" s="13" t="n">
        <v>1.4807642427</v>
      </c>
      <c r="H15" s="13" t="n">
        <v>1.4807642427</v>
      </c>
      <c r="I15" s="13" t="n">
        <v>1.4807642427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2021</t>
        </is>
      </c>
      <c r="C1" s="9" t="inlineStr">
        <is>
          <t>2022</t>
        </is>
      </c>
      <c r="D1" s="9" t="inlineStr">
        <is>
          <t>2023</t>
        </is>
      </c>
      <c r="E1" s="9" t="inlineStr">
        <is>
          <t>2024</t>
        </is>
      </c>
      <c r="F1" s="9" t="inlineStr">
        <is>
          <t>2025</t>
        </is>
      </c>
      <c r="G1" s="9" t="inlineStr">
        <is>
          <t>2026F</t>
        </is>
      </c>
      <c r="H1" s="9" t="inlineStr">
        <is>
          <t>2027F</t>
        </is>
      </c>
      <c r="I1" s="9" t="inlineStr">
        <is>
          <t>2028F</t>
        </is>
      </c>
    </row>
    <row r="2">
      <c r="A2" s="10" t="inlineStr">
        <is>
          <t>IEA bình quân (tỷ)</t>
        </is>
      </c>
      <c r="B2" s="13" t="n">
        <v>298251.018</v>
      </c>
      <c r="C2" s="13" t="n">
        <v>315494.6764999999</v>
      </c>
      <c r="D2" s="13" t="n">
        <v>366949.063</v>
      </c>
      <c r="E2" s="13" t="n">
        <v>443478.5700000001</v>
      </c>
      <c r="F2" s="13" t="n">
        <v>515510.9185</v>
      </c>
      <c r="G2" s="13" t="n">
        <v>580664.07972</v>
      </c>
      <c r="H2" s="13" t="n">
        <v>653069.8917264</v>
      </c>
      <c r="I2" s="13" t="n">
        <v>727988.0981735041</v>
      </c>
    </row>
    <row r="3">
      <c r="A3" s="10" t="inlineStr">
        <is>
          <t>IEA tăng trưởng (%)</t>
        </is>
      </c>
      <c r="B3" s="10" t="n"/>
      <c r="C3" s="12" t="n">
        <v>0.1156</v>
      </c>
      <c r="D3" s="12" t="n">
        <v>0.2056</v>
      </c>
      <c r="E3" s="12" t="n">
        <v>0.211</v>
      </c>
      <c r="F3" s="12" t="n">
        <v>0.1223</v>
      </c>
      <c r="G3" s="12" t="n">
        <v>0.13</v>
      </c>
      <c r="H3" s="12" t="n">
        <v>0.12</v>
      </c>
      <c r="I3" s="12" t="n">
        <v>0.11</v>
      </c>
    </row>
    <row r="4">
      <c r="A4" s="10" t="inlineStr">
        <is>
          <t>NIM (%)</t>
        </is>
      </c>
      <c r="B4" s="13" t="n">
        <v>0.0396</v>
      </c>
      <c r="C4" s="13" t="n">
        <v>0.0474</v>
      </c>
      <c r="D4" s="13" t="n">
        <v>0.0504</v>
      </c>
      <c r="E4" s="13" t="n">
        <v>0.0378</v>
      </c>
      <c r="F4" s="13" t="n">
        <v>0.0312</v>
      </c>
      <c r="G4" s="13" t="n">
        <v>0.0328</v>
      </c>
      <c r="H4" s="13" t="n">
        <v>0.0337</v>
      </c>
      <c r="I4" s="13" t="n">
        <v>0.0343</v>
      </c>
    </row>
    <row r="5">
      <c r="A5" s="10" t="inlineStr">
        <is>
          <t>NII (tỷ)</t>
        </is>
      </c>
      <c r="B5" s="13" t="n">
        <v>11816.147</v>
      </c>
      <c r="C5" s="13" t="n">
        <v>14962.555</v>
      </c>
      <c r="D5" s="13" t="n">
        <v>18484.071</v>
      </c>
      <c r="E5" s="13" t="n">
        <v>16750.412</v>
      </c>
      <c r="F5" s="13" t="n">
        <v>16092.16</v>
      </c>
      <c r="G5" s="13">
        <f>G2*'02_Assumptions'!G6</f>
        <v/>
      </c>
      <c r="H5" s="13">
        <f>H2*'02_Assumptions'!H6</f>
        <v/>
      </c>
      <c r="I5" s="13">
        <f>I2*'02_Assumptions'!I6</f>
        <v/>
      </c>
    </row>
    <row r="6">
      <c r="A6" s="10" t="inlineStr">
        <is>
          <t>Thu nhập dịch vụ</t>
        </is>
      </c>
      <c r="B6" s="13" t="n">
        <v>2741.952</v>
      </c>
      <c r="C6" s="13" t="n">
        <v>3188.381</v>
      </c>
      <c r="D6" s="13" t="n">
        <v>2203.263</v>
      </c>
      <c r="E6" s="13" t="n">
        <v>1765.459</v>
      </c>
      <c r="F6" s="13" t="n">
        <v>2105.341</v>
      </c>
      <c r="G6" s="10" t="n"/>
      <c r="H6" s="10" t="n"/>
      <c r="I6" s="10" t="n"/>
    </row>
    <row r="7">
      <c r="A7" s="10" t="inlineStr">
        <is>
          <t>Thu nhập ngoại hối</t>
        </is>
      </c>
      <c r="B7" s="13" t="n">
        <v>-86.748</v>
      </c>
      <c r="C7" s="13" t="n">
        <v>-275.032</v>
      </c>
      <c r="D7" s="13" t="n">
        <v>548.47</v>
      </c>
      <c r="E7" s="13" t="n">
        <v>500.968</v>
      </c>
      <c r="F7" s="13" t="n">
        <v>-154.292</v>
      </c>
      <c r="G7" s="10" t="n"/>
      <c r="H7" s="10" t="n"/>
      <c r="I7" s="10" t="n"/>
    </row>
    <row r="8">
      <c r="A8" s="10" t="inlineStr">
        <is>
          <t>Thu nhập CK đầu tư</t>
        </is>
      </c>
      <c r="B8" s="13" t="n">
        <v>196.796</v>
      </c>
      <c r="C8" s="13" t="n">
        <v>-175.843</v>
      </c>
      <c r="D8" s="13" t="n">
        <v>129.73</v>
      </c>
      <c r="E8" s="13" t="n">
        <v>247.967</v>
      </c>
      <c r="F8" s="13" t="n">
        <v>79.774</v>
      </c>
      <c r="G8" s="10" t="n"/>
      <c r="H8" s="10" t="n"/>
      <c r="I8" s="10" t="n"/>
    </row>
    <row r="9">
      <c r="A9" s="10" t="inlineStr">
        <is>
          <t>Thu nhập khác</t>
        </is>
      </c>
      <c r="B9" s="13" t="n">
        <v>220.99</v>
      </c>
      <c r="C9" s="13" t="n">
        <v>354.882</v>
      </c>
      <c r="D9" s="13" t="n">
        <v>791.614</v>
      </c>
      <c r="E9" s="13" t="n">
        <v>1300.5</v>
      </c>
      <c r="F9" s="13" t="n">
        <v>1880.913</v>
      </c>
      <c r="G9" s="10" t="n"/>
      <c r="H9" s="10" t="n"/>
      <c r="I9" s="10" t="n"/>
    </row>
    <row r="10">
      <c r="A10" s="10" t="inlineStr">
        <is>
          <t>Tổng thu nhập ngoài lãi</t>
        </is>
      </c>
      <c r="B10" s="13" t="n">
        <v>3074.755999999999</v>
      </c>
      <c r="C10" s="13" t="n">
        <v>3095.282999999999</v>
      </c>
      <c r="D10" s="13" t="n">
        <v>3676.421999999999</v>
      </c>
      <c r="E10" s="13" t="n">
        <v>3818.639999999999</v>
      </c>
      <c r="F10" s="13" t="n">
        <v>3914.481</v>
      </c>
      <c r="G10" s="13" t="n">
        <v>4501.653149999999</v>
      </c>
      <c r="H10" s="13" t="n">
        <v>5176.901122499999</v>
      </c>
      <c r="I10" s="13" t="n">
        <v>5901.667279649999</v>
      </c>
    </row>
    <row r="11">
      <c r="A11" s="10" t="inlineStr">
        <is>
          <t>Tổng thu nhập HĐ - TOI</t>
        </is>
      </c>
      <c r="B11" s="13" t="n">
        <v>14890.903</v>
      </c>
      <c r="C11" s="13" t="n">
        <v>18057.838</v>
      </c>
      <c r="D11" s="13" t="n">
        <v>22160.493</v>
      </c>
      <c r="E11" s="13" t="n">
        <v>20569.052</v>
      </c>
      <c r="F11" s="13" t="n">
        <v>20006.641</v>
      </c>
      <c r="G11" s="13">
        <f>G5+G10</f>
        <v/>
      </c>
      <c r="H11" s="13">
        <f>H5+H10</f>
        <v/>
      </c>
      <c r="I11" s="13">
        <f>I5+I10</f>
        <v/>
      </c>
    </row>
    <row r="12">
      <c r="A12" s="10" t="inlineStr">
        <is>
          <t>NII/TOI (%)</t>
        </is>
      </c>
      <c r="B12" s="13" t="n">
        <v>79.34999999999999</v>
      </c>
      <c r="C12" s="13" t="n">
        <v>82.86</v>
      </c>
      <c r="D12" s="13" t="n">
        <v>83.41</v>
      </c>
      <c r="E12" s="13" t="n">
        <v>81.44</v>
      </c>
      <c r="F12" s="13" t="n">
        <v>80.43000000000001</v>
      </c>
      <c r="G12" s="10" t="n"/>
      <c r="H12" s="10" t="n"/>
      <c r="I12" s="10" t="n"/>
    </row>
    <row r="13">
      <c r="A13" s="10" t="inlineStr">
        <is>
          <t>Chi phí HĐ - OPEX</t>
        </is>
      </c>
      <c r="B13" s="13" t="n">
        <v>5281.843</v>
      </c>
      <c r="C13" s="13" t="n">
        <v>6197.114</v>
      </c>
      <c r="D13" s="13" t="n">
        <v>6610.743</v>
      </c>
      <c r="E13" s="13" t="n">
        <v>7211.292</v>
      </c>
      <c r="F13" s="13" t="n">
        <v>7435.006</v>
      </c>
      <c r="G13" s="13">
        <f>G11*'02_Assumptions'!G7</f>
        <v/>
      </c>
      <c r="H13" s="13">
        <f>H11*'02_Assumptions'!H7</f>
        <v/>
      </c>
      <c r="I13" s="13">
        <f>I11*'02_Assumptions'!I7</f>
        <v/>
      </c>
    </row>
    <row r="14">
      <c r="A14" s="10" t="inlineStr">
        <is>
          <t>PPOP - LN trước dự phòng</t>
        </is>
      </c>
      <c r="B14" s="13" t="n">
        <v>9609.059999999999</v>
      </c>
      <c r="C14" s="13" t="n">
        <v>11860.724</v>
      </c>
      <c r="D14" s="13" t="n">
        <v>15549.75</v>
      </c>
      <c r="E14" s="13" t="n">
        <v>13357.76</v>
      </c>
      <c r="F14" s="13" t="n">
        <v>12571.635</v>
      </c>
      <c r="G14" s="13">
        <f>G11-G13</f>
        <v/>
      </c>
      <c r="H14" s="13">
        <f>H11-H13</f>
        <v/>
      </c>
      <c r="I14" s="13">
        <f>I11-I13</f>
        <v/>
      </c>
    </row>
    <row r="15">
      <c r="A15" s="10" t="inlineStr">
        <is>
          <t>PPOP/TOI (%)</t>
        </is>
      </c>
      <c r="B15" s="13" t="n">
        <v>64.53</v>
      </c>
      <c r="C15" s="13" t="n">
        <v>65.68000000000001</v>
      </c>
      <c r="D15" s="13" t="n">
        <v>70.17</v>
      </c>
      <c r="E15" s="13" t="n">
        <v>64.94</v>
      </c>
      <c r="F15" s="13" t="n">
        <v>62.84</v>
      </c>
      <c r="G15" s="10" t="n"/>
      <c r="H15" s="10" t="n"/>
      <c r="I15" s="10" t="n"/>
    </row>
    <row r="16">
      <c r="A16" s="10" t="inlineStr">
        <is>
          <t>Dự phòng tín dụng</t>
        </is>
      </c>
      <c r="B16" s="13" t="n">
        <v>1598.048</v>
      </c>
      <c r="C16" s="13" t="n">
        <v>1279.609</v>
      </c>
      <c r="D16" s="13" t="n">
        <v>4845.805</v>
      </c>
      <c r="E16" s="13" t="n">
        <v>4353.458</v>
      </c>
      <c r="F16" s="13" t="n">
        <v>3467.019</v>
      </c>
      <c r="G16" s="13">
        <f>(('05_Balance_Sheet'!F3+'05_Balance_Sheet'!G3)/2)*'02_Assumptions'!G8</f>
        <v/>
      </c>
      <c r="H16" s="13">
        <f>(('05_Balance_Sheet'!G3+'05_Balance_Sheet'!H3)/2)*'02_Assumptions'!H8</f>
        <v/>
      </c>
      <c r="I16" s="13">
        <f>(('05_Balance_Sheet'!H3+'05_Balance_Sheet'!I3)/2)*'02_Assumptions'!I8</f>
        <v/>
      </c>
    </row>
    <row r="17">
      <c r="A17" s="10" t="inlineStr">
        <is>
          <t>LN trước thuế - PBT</t>
        </is>
      </c>
      <c r="B17" s="13" t="n">
        <v>8011.012</v>
      </c>
      <c r="C17" s="13" t="n">
        <v>10581.115</v>
      </c>
      <c r="D17" s="13" t="n">
        <v>10703.945</v>
      </c>
      <c r="E17" s="13" t="n">
        <v>9004.302</v>
      </c>
      <c r="F17" s="13" t="n">
        <v>9104.616</v>
      </c>
      <c r="G17" s="13">
        <f>G14-G16</f>
        <v/>
      </c>
      <c r="H17" s="13">
        <f>H14-H16</f>
        <v/>
      </c>
      <c r="I17" s="13">
        <f>I14-I16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Q2/2023</t>
        </is>
      </c>
      <c r="C1" s="9" t="inlineStr">
        <is>
          <t>Q3/2023</t>
        </is>
      </c>
      <c r="D1" s="9" t="inlineStr">
        <is>
          <t>Q4/2023</t>
        </is>
      </c>
      <c r="E1" s="9" t="inlineStr">
        <is>
          <t>Q1/2024</t>
        </is>
      </c>
      <c r="F1" s="9" t="inlineStr">
        <is>
          <t>Q2/2024</t>
        </is>
      </c>
      <c r="G1" s="9" t="inlineStr">
        <is>
          <t>Q3/2024</t>
        </is>
      </c>
      <c r="H1" s="9" t="inlineStr">
        <is>
          <t>Q4/2024</t>
        </is>
      </c>
      <c r="I1" s="9" t="inlineStr">
        <is>
          <t>Q1/2025</t>
        </is>
      </c>
      <c r="J1" s="9" t="inlineStr">
        <is>
          <t>Q2/2025</t>
        </is>
      </c>
      <c r="K1" s="9" t="inlineStr">
        <is>
          <t>Q3/2025</t>
        </is>
      </c>
      <c r="L1" s="9" t="inlineStr">
        <is>
          <t>Q4/2025</t>
        </is>
      </c>
      <c r="M1" s="9" t="inlineStr">
        <is>
          <t>Q1/2026</t>
        </is>
      </c>
    </row>
    <row r="2">
      <c r="A2" s="10" t="inlineStr">
        <is>
          <t>Thu nhập lãi thuần - NII</t>
        </is>
      </c>
      <c r="B2" s="13" t="n">
        <v>4401.862</v>
      </c>
      <c r="C2" s="13" t="n">
        <v>4673.187</v>
      </c>
      <c r="D2" s="13" t="n">
        <v>4333.289</v>
      </c>
      <c r="E2" s="13" t="n">
        <v>4357.794</v>
      </c>
      <c r="F2" s="13" t="n">
        <v>4316.913</v>
      </c>
      <c r="G2" s="13" t="n">
        <v>4159.34</v>
      </c>
      <c r="H2" s="13" t="n">
        <v>3916.365</v>
      </c>
      <c r="I2" s="13" t="n">
        <v>3737.109</v>
      </c>
      <c r="J2" s="13" t="n">
        <v>3968.694</v>
      </c>
      <c r="K2" s="13" t="n">
        <v>4172.726</v>
      </c>
      <c r="L2" s="13" t="n">
        <v>4213.631</v>
      </c>
      <c r="M2" s="13" t="n">
        <v>4038.566</v>
      </c>
    </row>
    <row r="3">
      <c r="A3" s="10" t="inlineStr">
        <is>
          <t>Thu nhập ngoài lãi</t>
        </is>
      </c>
      <c r="B3" s="13" t="n">
        <v>962.042</v>
      </c>
      <c r="C3" s="13" t="n">
        <v>1351.309</v>
      </c>
      <c r="D3" s="13" t="n">
        <v>1509.204</v>
      </c>
      <c r="E3" s="13" t="n">
        <v>960.716</v>
      </c>
      <c r="F3" s="13" t="n">
        <v>722.277</v>
      </c>
      <c r="G3" s="13" t="n">
        <v>776.64</v>
      </c>
      <c r="H3" s="13" t="n">
        <v>1359.007</v>
      </c>
      <c r="I3" s="13" t="n">
        <v>864.046</v>
      </c>
      <c r="J3" s="13" t="n">
        <v>1148.124</v>
      </c>
      <c r="K3" s="13" t="n">
        <v>834.306</v>
      </c>
      <c r="L3" s="13" t="n">
        <v>1068.005</v>
      </c>
      <c r="M3" s="13" t="n">
        <v>1821.77</v>
      </c>
    </row>
    <row r="4">
      <c r="A4" s="10" t="inlineStr">
        <is>
          <t>Tổng thu nhập HĐ - TOI</t>
        </is>
      </c>
      <c r="B4" s="13" t="n">
        <v>5363.904</v>
      </c>
      <c r="C4" s="13" t="n">
        <v>6024.496</v>
      </c>
      <c r="D4" s="13" t="n">
        <v>5842.493</v>
      </c>
      <c r="E4" s="13" t="n">
        <v>5318.51</v>
      </c>
      <c r="F4" s="13" t="n">
        <v>5039.19</v>
      </c>
      <c r="G4" s="13" t="n">
        <v>4935.98</v>
      </c>
      <c r="H4" s="13" t="n">
        <v>5275.372</v>
      </c>
      <c r="I4" s="13" t="n">
        <v>4601.155</v>
      </c>
      <c r="J4" s="13" t="n">
        <v>5116.818</v>
      </c>
      <c r="K4" s="13" t="n">
        <v>5007.032</v>
      </c>
      <c r="L4" s="13" t="n">
        <v>5281.636</v>
      </c>
      <c r="M4" s="13" t="n">
        <v>5860.336</v>
      </c>
    </row>
    <row r="5">
      <c r="A5" s="10" t="inlineStr">
        <is>
          <t>Chi phí hoạt động - OPEX</t>
        </is>
      </c>
      <c r="B5" s="13" t="n">
        <v>1555.747</v>
      </c>
      <c r="C5" s="13" t="n">
        <v>1716.919</v>
      </c>
      <c r="D5" s="13" t="n">
        <v>1770.567</v>
      </c>
      <c r="E5" s="13" t="n">
        <v>1871.092</v>
      </c>
      <c r="F5" s="13" t="n">
        <v>1806.19</v>
      </c>
      <c r="G5" s="13" t="n">
        <v>1782.264</v>
      </c>
      <c r="H5" s="13" t="n">
        <v>1751.746</v>
      </c>
      <c r="I5" s="13" t="n">
        <v>1759.035</v>
      </c>
      <c r="J5" s="13" t="n">
        <v>1885.615</v>
      </c>
      <c r="K5" s="13" t="n">
        <v>1819.16</v>
      </c>
      <c r="L5" s="13" t="n">
        <v>1971.196</v>
      </c>
      <c r="M5" s="13" t="n">
        <v>1852.742</v>
      </c>
    </row>
    <row r="6">
      <c r="A6" s="10" t="inlineStr">
        <is>
          <t>LN trước dự phòng - PPOP</t>
        </is>
      </c>
      <c r="B6" s="13" t="n">
        <v>3808.157</v>
      </c>
      <c r="C6" s="13" t="n">
        <v>4307.577</v>
      </c>
      <c r="D6" s="13" t="n">
        <v>4071.926</v>
      </c>
      <c r="E6" s="13" t="n">
        <v>3447.418</v>
      </c>
      <c r="F6" s="13" t="n">
        <v>3233</v>
      </c>
      <c r="G6" s="13" t="n">
        <v>3153.716</v>
      </c>
      <c r="H6" s="13" t="n">
        <v>3523.626</v>
      </c>
      <c r="I6" s="13" t="n">
        <v>2842.12</v>
      </c>
      <c r="J6" s="13" t="n">
        <v>3231.203</v>
      </c>
      <c r="K6" s="13" t="n">
        <v>3187.872</v>
      </c>
      <c r="L6" s="13" t="n">
        <v>3310.44</v>
      </c>
      <c r="M6" s="13" t="n">
        <v>4007.594</v>
      </c>
    </row>
    <row r="7">
      <c r="A7" s="10" t="inlineStr">
        <is>
          <t>Dự phòng tín dụng</t>
        </is>
      </c>
      <c r="B7" s="13" t="n">
        <v>860.152</v>
      </c>
      <c r="C7" s="13" t="n">
        <v>1624.784</v>
      </c>
      <c r="D7" s="13" t="n">
        <v>1693.469</v>
      </c>
      <c r="E7" s="13" t="n">
        <v>945.4880000000001</v>
      </c>
      <c r="F7" s="13" t="n">
        <v>1129.885</v>
      </c>
      <c r="G7" s="13" t="n">
        <v>1155.569</v>
      </c>
      <c r="H7" s="13" t="n">
        <v>1122.516</v>
      </c>
      <c r="I7" s="13" t="n">
        <v>421.332</v>
      </c>
      <c r="J7" s="13" t="n">
        <v>635.6369999999999</v>
      </c>
      <c r="K7" s="13" t="n">
        <v>1157.888</v>
      </c>
      <c r="L7" s="13" t="n">
        <v>1252.162</v>
      </c>
      <c r="M7" s="13" t="n">
        <v>1204.926</v>
      </c>
    </row>
    <row r="8">
      <c r="A8" s="10" t="inlineStr">
        <is>
          <t>LN trước thuế - PBT</t>
        </is>
      </c>
      <c r="B8" s="13" t="n">
        <v>2948.005</v>
      </c>
      <c r="C8" s="13" t="n">
        <v>2682.793</v>
      </c>
      <c r="D8" s="13" t="n">
        <v>2378.457</v>
      </c>
      <c r="E8" s="13" t="n">
        <v>2501.93</v>
      </c>
      <c r="F8" s="13" t="n">
        <v>2103.115</v>
      </c>
      <c r="G8" s="13" t="n">
        <v>1998.147</v>
      </c>
      <c r="H8" s="13" t="n">
        <v>2401.11</v>
      </c>
      <c r="I8" s="13" t="n">
        <v>2420.788</v>
      </c>
      <c r="J8" s="13" t="n">
        <v>2595.566</v>
      </c>
      <c r="K8" s="13" t="n">
        <v>2029.984</v>
      </c>
      <c r="L8" s="13" t="n">
        <v>2058.278</v>
      </c>
      <c r="M8" s="13" t="n">
        <v>2802.668</v>
      </c>
    </row>
    <row r="9">
      <c r="A9" s="10" t="inlineStr">
        <is>
          <t>LN sau thuế - NPAT</t>
        </is>
      </c>
      <c r="B9" s="13" t="n">
        <v>2358.4</v>
      </c>
      <c r="C9" s="13" t="n">
        <v>2146.903</v>
      </c>
      <c r="D9" s="13" t="n">
        <v>1902.006</v>
      </c>
      <c r="E9" s="13" t="n">
        <v>2001.143</v>
      </c>
      <c r="F9" s="13" t="n">
        <v>1682.962</v>
      </c>
      <c r="G9" s="13" t="n">
        <v>1599.173</v>
      </c>
      <c r="H9" s="13" t="n">
        <v>1921.192</v>
      </c>
      <c r="I9" s="13" t="n">
        <v>1936.464</v>
      </c>
      <c r="J9" s="13" t="n">
        <v>2076.469</v>
      </c>
      <c r="K9" s="13" t="n">
        <v>1624.513</v>
      </c>
      <c r="L9" s="13" t="n">
        <v>1647.984</v>
      </c>
      <c r="M9" s="13" t="n">
        <v>2241.191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2021</t>
        </is>
      </c>
      <c r="C1" s="9" t="inlineStr">
        <is>
          <t>2022</t>
        </is>
      </c>
      <c r="D1" s="9" t="inlineStr">
        <is>
          <t>2023</t>
        </is>
      </c>
      <c r="E1" s="9" t="inlineStr">
        <is>
          <t>2024</t>
        </is>
      </c>
      <c r="F1" s="9" t="inlineStr">
        <is>
          <t>2025</t>
        </is>
      </c>
      <c r="G1" s="9" t="inlineStr">
        <is>
          <t>2026F</t>
        </is>
      </c>
      <c r="H1" s="9" t="inlineStr">
        <is>
          <t>2027F</t>
        </is>
      </c>
      <c r="I1" s="9" t="inlineStr">
        <is>
          <t>2028F</t>
        </is>
      </c>
    </row>
    <row r="2">
      <c r="A2" s="10" t="inlineStr">
        <is>
          <t>Thu nhập lãi thuần (NII)</t>
        </is>
      </c>
      <c r="B2" s="13" t="n">
        <v>11816.147</v>
      </c>
      <c r="C2" s="13" t="n">
        <v>14962.555</v>
      </c>
      <c r="D2" s="13" t="n">
        <v>18484.071</v>
      </c>
      <c r="E2" s="13" t="n">
        <v>16750.412</v>
      </c>
      <c r="F2" s="13" t="n">
        <v>16092.16</v>
      </c>
      <c r="G2" s="13">
        <f>'03_Income_Model'!G5</f>
        <v/>
      </c>
      <c r="H2" s="13">
        <f>'03_Income_Model'!H5</f>
        <v/>
      </c>
      <c r="I2" s="13">
        <f>'03_Income_Model'!I5</f>
        <v/>
      </c>
    </row>
    <row r="3">
      <c r="A3" s="10" t="inlineStr">
        <is>
          <t>Tổng thu nhập hoạt động (TOI)</t>
        </is>
      </c>
      <c r="B3" s="13" t="n">
        <v>14890.903</v>
      </c>
      <c r="C3" s="13" t="n">
        <v>18057.838</v>
      </c>
      <c r="D3" s="13" t="n">
        <v>22160.493</v>
      </c>
      <c r="E3" s="13" t="n">
        <v>20569.052</v>
      </c>
      <c r="F3" s="13" t="n">
        <v>20006.641</v>
      </c>
      <c r="G3" s="13">
        <f>SUM(G2+'03_Income_Model'!G10)</f>
        <v/>
      </c>
      <c r="H3" s="13">
        <f>SUM(H2+'03_Income_Model'!H10)</f>
        <v/>
      </c>
      <c r="I3" s="13">
        <f>SUM(I2+'03_Income_Model'!I10)</f>
        <v/>
      </c>
    </row>
    <row r="4">
      <c r="A4" s="10" t="inlineStr">
        <is>
          <t>Lợi nhuận trước dự phòng (PPOP)</t>
        </is>
      </c>
      <c r="B4" s="13" t="n">
        <v>9609.059999999999</v>
      </c>
      <c r="C4" s="13" t="n">
        <v>11860.724</v>
      </c>
      <c r="D4" s="13" t="n">
        <v>15549.75</v>
      </c>
      <c r="E4" s="13" t="n">
        <v>13357.76</v>
      </c>
      <c r="F4" s="13" t="n">
        <v>12571.635</v>
      </c>
      <c r="G4" s="13">
        <f>'03_Income_Model'!G14</f>
        <v/>
      </c>
      <c r="H4" s="13">
        <f>'03_Income_Model'!H14</f>
        <v/>
      </c>
      <c r="I4" s="13">
        <f>'03_Income_Model'!I14</f>
        <v/>
      </c>
    </row>
    <row r="5">
      <c r="A5" s="10" t="inlineStr">
        <is>
          <t>LNST (NPAT)</t>
        </is>
      </c>
      <c r="B5" s="13" t="n">
        <v>6409.75</v>
      </c>
      <c r="C5" s="13" t="n">
        <v>8468.767</v>
      </c>
      <c r="D5" s="13" t="n">
        <v>8563.053</v>
      </c>
      <c r="E5" s="13" t="n">
        <v>7204.47</v>
      </c>
      <c r="F5" s="13" t="n">
        <v>7285.43</v>
      </c>
      <c r="G5" s="13">
        <f>('03_Income_Model'!G17)-MAX(('03_Income_Model'!G17)*'02_Assumptions'!G14,0)</f>
        <v/>
      </c>
      <c r="H5" s="13">
        <f>('03_Income_Model'!H17)-MAX(('03_Income_Model'!H17)*'02_Assumptions'!H14,0)</f>
        <v/>
      </c>
      <c r="I5" s="13">
        <f>('03_Income_Model'!I17)-MAX(('03_Income_Model'!I17)*'02_Assumptions'!I14,0)</f>
        <v/>
      </c>
    </row>
    <row r="6">
      <c r="A6" s="10" t="inlineStr">
        <is>
          <t>EPS (VND)</t>
        </is>
      </c>
      <c r="B6" s="11" t="n">
        <v>1882.894493605444</v>
      </c>
      <c r="C6" s="11" t="n">
        <v>2487.7405128012</v>
      </c>
      <c r="D6" s="11" t="n">
        <v>2515.437472936008</v>
      </c>
      <c r="E6" s="11" t="n">
        <v>2116.34726663998</v>
      </c>
      <c r="F6" s="11" t="n">
        <v>2140.129651007903</v>
      </c>
      <c r="G6" s="11">
        <f>G5*1000000000/'02_Assumptions'!$B$3</f>
        <v/>
      </c>
      <c r="H6" s="11">
        <f>H5*1000000000/'02_Assumptions'!$B$3</f>
        <v/>
      </c>
      <c r="I6" s="11">
        <f>I5*1000000000/'02_Assumptions'!$B$3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Q2/2023</t>
        </is>
      </c>
      <c r="C1" s="9" t="inlineStr">
        <is>
          <t>Q3/2023</t>
        </is>
      </c>
      <c r="D1" s="9" t="inlineStr">
        <is>
          <t>Q4/2023</t>
        </is>
      </c>
      <c r="E1" s="9" t="inlineStr">
        <is>
          <t>Q1/2024</t>
        </is>
      </c>
      <c r="F1" s="9" t="inlineStr">
        <is>
          <t>Q2/2024</t>
        </is>
      </c>
      <c r="G1" s="9" t="inlineStr">
        <is>
          <t>Q3/2024</t>
        </is>
      </c>
      <c r="H1" s="9" t="inlineStr">
        <is>
          <t>Q4/2024</t>
        </is>
      </c>
      <c r="I1" s="9" t="inlineStr">
        <is>
          <t>Q1/2025</t>
        </is>
      </c>
      <c r="J1" s="9" t="inlineStr">
        <is>
          <t>Q2/2025</t>
        </is>
      </c>
      <c r="K1" s="9" t="inlineStr">
        <is>
          <t>Q3/2025</t>
        </is>
      </c>
      <c r="L1" s="9" t="inlineStr">
        <is>
          <t>Q4/2025</t>
        </is>
      </c>
      <c r="M1" s="9" t="inlineStr">
        <is>
          <t>Q1/2026</t>
        </is>
      </c>
    </row>
    <row r="2">
      <c r="A2" s="10" t="inlineStr">
        <is>
          <t>Tổng tài sản</t>
        </is>
      </c>
      <c r="B2" s="13" t="n">
        <v>378662.835</v>
      </c>
      <c r="C2" s="13" t="n">
        <v>384419.101</v>
      </c>
      <c r="D2" s="13" t="n">
        <v>409880.584</v>
      </c>
      <c r="E2" s="13" t="n">
        <v>413887.815</v>
      </c>
      <c r="F2" s="13" t="n">
        <v>430962.08</v>
      </c>
      <c r="G2" s="13" t="n">
        <v>445377.594</v>
      </c>
      <c r="H2" s="13" t="n">
        <v>493158.37</v>
      </c>
      <c r="I2" s="13" t="n">
        <v>495727.377</v>
      </c>
      <c r="J2" s="13" t="n">
        <v>530909.024</v>
      </c>
      <c r="K2" s="13" t="n">
        <v>543559.67</v>
      </c>
      <c r="L2" s="13" t="n">
        <v>556098.441</v>
      </c>
      <c r="M2" s="13" t="n">
        <v>564145.938</v>
      </c>
    </row>
    <row r="3">
      <c r="A3" s="10" t="inlineStr">
        <is>
          <t>Tiền mặt &amp; NHNN</t>
        </is>
      </c>
      <c r="B3" s="13" t="n">
        <v>1315.853</v>
      </c>
      <c r="C3" s="13" t="n">
        <v>1545.792</v>
      </c>
      <c r="D3" s="13" t="n">
        <v>1681.071</v>
      </c>
      <c r="E3" s="13" t="n">
        <v>1715.126</v>
      </c>
      <c r="F3" s="13" t="n">
        <v>1703.868</v>
      </c>
      <c r="G3" s="13" t="n">
        <v>1625.047</v>
      </c>
      <c r="H3" s="13" t="n">
        <v>1639.368</v>
      </c>
      <c r="I3" s="13" t="n">
        <v>1646.956</v>
      </c>
      <c r="J3" s="13" t="n">
        <v>1843.449</v>
      </c>
      <c r="K3" s="13" t="n">
        <v>1934.668</v>
      </c>
      <c r="L3" s="13" t="n">
        <v>3552.574</v>
      </c>
      <c r="M3" s="13" t="n">
        <v>1876.239</v>
      </c>
    </row>
    <row r="4">
      <c r="A4" s="10" t="inlineStr">
        <is>
          <t>TG các TCTD khác</t>
        </is>
      </c>
      <c r="B4" s="13" t="n">
        <v>79806.086</v>
      </c>
      <c r="C4" s="13" t="n">
        <v>74707.07799999999</v>
      </c>
      <c r="D4" s="13" t="n">
        <v>68197.57399999999</v>
      </c>
      <c r="E4" s="13" t="n">
        <v>92771.841</v>
      </c>
      <c r="F4" s="13" t="n">
        <v>114455.663</v>
      </c>
      <c r="G4" s="13" t="n">
        <v>82657.125</v>
      </c>
      <c r="H4" s="13" t="n">
        <v>105588.516</v>
      </c>
      <c r="I4" s="13" t="n">
        <v>102269.01</v>
      </c>
      <c r="J4" s="13" t="n">
        <v>97946.353</v>
      </c>
      <c r="K4" s="13" t="n">
        <v>104756.557</v>
      </c>
      <c r="L4" s="13" t="n">
        <v>104411.12</v>
      </c>
      <c r="M4" s="13" t="n">
        <v>114132.177</v>
      </c>
    </row>
    <row r="5">
      <c r="A5" s="10" t="inlineStr">
        <is>
          <t>Cho vay khách hàng</t>
        </is>
      </c>
      <c r="B5" s="13" t="n">
        <v>231347.002</v>
      </c>
      <c r="C5" s="13" t="n">
        <v>241890.738</v>
      </c>
      <c r="D5" s="13" t="n">
        <v>262074.228</v>
      </c>
      <c r="E5" s="13" t="n">
        <v>262910.844</v>
      </c>
      <c r="F5" s="13" t="n">
        <v>273996.195</v>
      </c>
      <c r="G5" s="13" t="n">
        <v>292146.173</v>
      </c>
      <c r="H5" s="13" t="n">
        <v>318316.079</v>
      </c>
      <c r="I5" s="13" t="n">
        <v>329264.074</v>
      </c>
      <c r="J5" s="13" t="n">
        <v>351360.111</v>
      </c>
      <c r="K5" s="13" t="n">
        <v>367863.425</v>
      </c>
      <c r="L5" s="13" t="n">
        <v>377113.195</v>
      </c>
      <c r="M5" s="13" t="n">
        <v>381361.994</v>
      </c>
    </row>
    <row r="6">
      <c r="A6" s="10" t="inlineStr">
        <is>
          <t>CK đầu tư</t>
        </is>
      </c>
      <c r="B6" s="13" t="n">
        <v>50259.444</v>
      </c>
      <c r="C6" s="13" t="n">
        <v>52384.561</v>
      </c>
      <c r="D6" s="13" t="n">
        <v>60988.364</v>
      </c>
      <c r="E6" s="13" t="n">
        <v>44298.356</v>
      </c>
      <c r="F6" s="13" t="n">
        <v>28742.093</v>
      </c>
      <c r="G6" s="13" t="n">
        <v>57909.577</v>
      </c>
      <c r="H6" s="13" t="n">
        <v>50344.312</v>
      </c>
      <c r="I6" s="13" t="n">
        <v>49438.602</v>
      </c>
      <c r="J6" s="13" t="n">
        <v>67210.42600000001</v>
      </c>
      <c r="K6" s="13" t="n">
        <v>53170.066</v>
      </c>
      <c r="L6" s="13" t="n">
        <v>51149.531</v>
      </c>
      <c r="M6" s="13" t="n">
        <v>49089.083</v>
      </c>
    </row>
    <row r="7">
      <c r="A7" s="10" t="inlineStr">
        <is>
          <t>Tiền gửi khách hàng</t>
        </is>
      </c>
      <c r="B7" s="13" t="n">
        <v>205302.772</v>
      </c>
      <c r="C7" s="13" t="n">
        <v>213533.762</v>
      </c>
      <c r="D7" s="13" t="n">
        <v>236577.266</v>
      </c>
      <c r="E7" s="13" t="n">
        <v>234210.794</v>
      </c>
      <c r="F7" s="13" t="n">
        <v>247629.776</v>
      </c>
      <c r="G7" s="13" t="n">
        <v>255632.643</v>
      </c>
      <c r="H7" s="13" t="n">
        <v>276308.322</v>
      </c>
      <c r="I7" s="13" t="n">
        <v>282298.036</v>
      </c>
      <c r="J7" s="13" t="n">
        <v>304392.951</v>
      </c>
      <c r="K7" s="13" t="n">
        <v>307929.159</v>
      </c>
      <c r="L7" s="13" t="n">
        <v>294577.661</v>
      </c>
      <c r="M7" s="13" t="n">
        <v>316373.838</v>
      </c>
    </row>
    <row r="8">
      <c r="A8" s="10" t="inlineStr">
        <is>
          <t>Vốn chủ sở hữu</t>
        </is>
      </c>
      <c r="B8" s="13" t="n">
        <v>33909.846</v>
      </c>
      <c r="C8" s="13" t="n">
        <v>36039.756</v>
      </c>
      <c r="D8" s="13" t="n">
        <v>37938.955</v>
      </c>
      <c r="E8" s="13" t="n">
        <v>38415.725</v>
      </c>
      <c r="F8" s="13" t="n">
        <v>38350.429</v>
      </c>
      <c r="G8" s="13" t="n">
        <v>39942.085</v>
      </c>
      <c r="H8" s="13" t="n">
        <v>41861.809</v>
      </c>
      <c r="I8" s="13" t="n">
        <v>43643.267</v>
      </c>
      <c r="J8" s="13" t="n">
        <v>43627.741</v>
      </c>
      <c r="K8" s="13" t="n">
        <v>45259.765</v>
      </c>
      <c r="L8" s="13" t="n">
        <v>46904.739</v>
      </c>
      <c r="M8" s="13" t="n">
        <v>49144.071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2021</t>
        </is>
      </c>
      <c r="C1" s="9" t="inlineStr">
        <is>
          <t>2022</t>
        </is>
      </c>
      <c r="D1" s="9" t="inlineStr">
        <is>
          <t>2023</t>
        </is>
      </c>
      <c r="E1" s="9" t="inlineStr">
        <is>
          <t>2024</t>
        </is>
      </c>
      <c r="F1" s="9" t="inlineStr">
        <is>
          <t>2025</t>
        </is>
      </c>
      <c r="G1" s="9" t="inlineStr">
        <is>
          <t>2026F</t>
        </is>
      </c>
      <c r="H1" s="9" t="inlineStr">
        <is>
          <t>2027F</t>
        </is>
      </c>
      <c r="I1" s="9" t="inlineStr">
        <is>
          <t>2028F</t>
        </is>
      </c>
    </row>
    <row r="2">
      <c r="A2" s="10" t="inlineStr">
        <is>
          <t>Tổng tài sản</t>
        </is>
      </c>
      <c r="B2" s="13" t="n">
        <v>309517.129</v>
      </c>
      <c r="C2" s="13" t="n">
        <v>342798.925</v>
      </c>
      <c r="D2" s="13" t="n">
        <v>409881.373</v>
      </c>
      <c r="E2" s="13" t="n">
        <v>493158.37</v>
      </c>
      <c r="F2" s="13" t="n">
        <v>556098.441</v>
      </c>
      <c r="G2" s="10">
        <f>SUM(G3:G6)+G7-G8-G9+G10</f>
        <v/>
      </c>
      <c r="H2" s="10">
        <f>SUM(H3:H6)+H7-H8-H9+H10</f>
        <v/>
      </c>
      <c r="I2" s="10">
        <f>SUM(I3:I6)+I7-I8-I9+I10</f>
        <v/>
      </c>
    </row>
    <row r="3">
      <c r="A3" s="10" t="inlineStr">
        <is>
          <t>Cho vay khách hàng (Gross)</t>
        </is>
      </c>
      <c r="B3" s="13" t="n">
        <v>199116.43</v>
      </c>
      <c r="C3" s="13" t="n">
        <v>228879.243</v>
      </c>
      <c r="D3" s="13" t="n">
        <v>262075.015</v>
      </c>
      <c r="E3" s="13" t="n">
        <v>318316.079</v>
      </c>
      <c r="F3" s="13" t="n">
        <v>377113.195</v>
      </c>
      <c r="G3" s="13">
        <f>F3*(1+'02_Assumptions'!G4)</f>
        <v/>
      </c>
      <c r="H3" s="13">
        <f>G3*(1+'02_Assumptions'!H4)</f>
        <v/>
      </c>
      <c r="I3" s="13">
        <f>H3*(1+'02_Assumptions'!I4)</f>
        <v/>
      </c>
    </row>
    <row r="4">
      <c r="A4" s="10" t="inlineStr">
        <is>
          <t>Trái phiếu doanh nghiệp</t>
        </is>
      </c>
      <c r="B4" s="13" t="n">
        <v>21702.85</v>
      </c>
      <c r="C4" s="13" t="n">
        <v>18345.796</v>
      </c>
      <c r="D4" s="13" t="n">
        <v>15123.396</v>
      </c>
      <c r="E4" s="13" t="n">
        <v>20244.697</v>
      </c>
      <c r="F4" s="13" t="n">
        <v>43794.655</v>
      </c>
      <c r="G4" s="10">
        <f>F4*(1+'02_Assumptions'!G4)</f>
        <v/>
      </c>
      <c r="H4" s="10">
        <f>G4*(1+'02_Assumptions'!H4)</f>
        <v/>
      </c>
      <c r="I4" s="10">
        <f>H4*(1+'02_Assumptions'!I4)</f>
        <v/>
      </c>
    </row>
    <row r="5">
      <c r="A5" s="10" t="inlineStr">
        <is>
          <t>Tiền gửi khách hàng</t>
        </is>
      </c>
      <c r="B5" s="13" t="n">
        <v>173564.89</v>
      </c>
      <c r="C5" s="13" t="n">
        <v>200123.94</v>
      </c>
      <c r="D5" s="13" t="n">
        <v>236577.266</v>
      </c>
      <c r="E5" s="13" t="n">
        <v>276308.322</v>
      </c>
      <c r="F5" s="13" t="n">
        <v>294577.661</v>
      </c>
      <c r="G5" s="13">
        <f>F5*(1+'02_Assumptions'!G5)</f>
        <v/>
      </c>
      <c r="H5" s="13">
        <f>G5*(1+'02_Assumptions'!H5)</f>
        <v/>
      </c>
      <c r="I5" s="13">
        <f>H5*(1+'02_Assumptions'!I5)</f>
        <v/>
      </c>
    </row>
    <row r="6">
      <c r="A6" s="10" t="inlineStr">
        <is>
          <t>Giấy tờ có giá phát hành (Bonds)</t>
        </is>
      </c>
      <c r="B6" s="13" t="n">
        <v>42298.182</v>
      </c>
      <c r="C6" s="13" t="n">
        <v>31774.818</v>
      </c>
      <c r="D6" s="13" t="n">
        <v>23896.936</v>
      </c>
      <c r="E6" s="13" t="n">
        <v>23262.579</v>
      </c>
      <c r="F6" s="13" t="n">
        <v>35070.7</v>
      </c>
      <c r="G6" s="10">
        <f>F6*1.02</f>
        <v/>
      </c>
      <c r="H6" s="10">
        <f>G6*1.02</f>
        <v/>
      </c>
      <c r="I6" s="10">
        <f>H6*1.02</f>
        <v/>
      </c>
    </row>
    <row r="7">
      <c r="A7" s="10" t="inlineStr">
        <is>
          <t>Tiền gửi Kho bạc Nhà nước</t>
        </is>
      </c>
      <c r="B7" s="13" t="n">
        <v>10430.709</v>
      </c>
      <c r="C7" s="13" t="n">
        <v>9164.688</v>
      </c>
      <c r="D7" s="13" t="n">
        <v>7720.366</v>
      </c>
      <c r="E7" s="13" t="n">
        <v>24250.175</v>
      </c>
      <c r="F7" s="13" t="n">
        <v>20931.899</v>
      </c>
      <c r="G7" s="10">
        <f>F7*(1+'02_Assumptions'!G5)</f>
        <v/>
      </c>
      <c r="H7" s="10">
        <f>G7*(1+'02_Assumptions'!H5)</f>
        <v/>
      </c>
      <c r="I7" s="10">
        <f>H7*(1+'02_Assumptions'!I5)</f>
        <v/>
      </c>
    </row>
    <row r="8">
      <c r="A8" s="10" t="inlineStr">
        <is>
          <t>Tiền gửi ký quỹ (trừ đi)</t>
        </is>
      </c>
      <c r="B8" s="13" t="n">
        <v>9221.084000000001</v>
      </c>
      <c r="C8" s="13" t="n">
        <v>8120.838</v>
      </c>
      <c r="D8" s="13" t="n">
        <v>9883.707</v>
      </c>
      <c r="E8" s="13" t="n">
        <v>17666.375</v>
      </c>
      <c r="F8" s="13" t="n">
        <v>22152.864</v>
      </c>
      <c r="G8" s="10">
        <f>F8*(1+'02_Assumptions'!G5)</f>
        <v/>
      </c>
      <c r="H8" s="10">
        <f>G8*(1+'02_Assumptions'!H5)</f>
        <v/>
      </c>
      <c r="I8" s="10">
        <f>H8*(1+'02_Assumptions'!I5)</f>
        <v/>
      </c>
    </row>
    <row r="9">
      <c r="A9" s="10" t="inlineStr">
        <is>
          <t>Vốn chuyên dùng (trừ đi)</t>
        </is>
      </c>
      <c r="B9" s="13" t="n">
        <v>8.648</v>
      </c>
      <c r="C9" s="13" t="n">
        <v>8.092000000000001</v>
      </c>
      <c r="D9" s="13" t="n">
        <v>6.93</v>
      </c>
      <c r="E9" s="13" t="n">
        <v>5.368</v>
      </c>
      <c r="F9" s="13" t="n">
        <v>3.306</v>
      </c>
      <c r="G9" s="10">
        <f>F9*1.02</f>
        <v/>
      </c>
      <c r="H9" s="10">
        <f>G9*1.02</f>
        <v/>
      </c>
      <c r="I9" s="10">
        <f>H9*1.02</f>
        <v/>
      </c>
    </row>
    <row r="10">
      <c r="A10" s="10" t="inlineStr">
        <is>
          <t>Vốn chủ sở hữu (VCSH)</t>
        </is>
      </c>
      <c r="B10" s="13" t="n">
        <v>24290.74</v>
      </c>
      <c r="C10" s="13" t="n">
        <v>32651.042</v>
      </c>
      <c r="D10" s="13" t="n">
        <v>37939.587</v>
      </c>
      <c r="E10" s="13" t="n">
        <v>41861.809</v>
      </c>
      <c r="F10" s="13" t="n">
        <v>46904.739</v>
      </c>
      <c r="G10" s="10">
        <f>F10+'04_PnL'!G5*0.7</f>
        <v/>
      </c>
      <c r="H10" s="10">
        <f>G10+'04_PnL'!H5*0.7</f>
        <v/>
      </c>
      <c r="I10" s="10">
        <f>H10+'04_PnL'!I5*0.7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Q2/2023</t>
        </is>
      </c>
      <c r="C1" s="9" t="inlineStr">
        <is>
          <t>Q3/2023</t>
        </is>
      </c>
      <c r="D1" s="9" t="inlineStr">
        <is>
          <t>Q4/2023</t>
        </is>
      </c>
      <c r="E1" s="9" t="inlineStr">
        <is>
          <t>Q1/2024</t>
        </is>
      </c>
      <c r="F1" s="9" t="inlineStr">
        <is>
          <t>Q2/2024</t>
        </is>
      </c>
      <c r="G1" s="9" t="inlineStr">
        <is>
          <t>Q3/2024</t>
        </is>
      </c>
      <c r="H1" s="9" t="inlineStr">
        <is>
          <t>Q4/2024</t>
        </is>
      </c>
      <c r="I1" s="9" t="inlineStr">
        <is>
          <t>Q1/2025</t>
        </is>
      </c>
      <c r="J1" s="9" t="inlineStr">
        <is>
          <t>Q2/2025</t>
        </is>
      </c>
      <c r="K1" s="9" t="inlineStr">
        <is>
          <t>Q3/2025</t>
        </is>
      </c>
      <c r="L1" s="9" t="inlineStr">
        <is>
          <t>Q4/2025</t>
        </is>
      </c>
      <c r="M1" s="9" t="inlineStr">
        <is>
          <t>Q1/2026</t>
        </is>
      </c>
    </row>
    <row r="2">
      <c r="A2" s="10" t="inlineStr">
        <is>
          <t>NIM — năm hóa (%)</t>
        </is>
      </c>
      <c r="B2" s="10">
        <f>('04_PnL_Quarterly'!B2*4/'05_Balance_Sheet_Quarterly'!B4)*100</f>
        <v/>
      </c>
      <c r="C2" s="10">
        <f>('04_PnL_Quarterly'!C2*4/'05_Balance_Sheet_Quarterly'!C4)*100</f>
        <v/>
      </c>
      <c r="D2" s="10">
        <f>('04_PnL_Quarterly'!D2*4/'05_Balance_Sheet_Quarterly'!D4)*100</f>
        <v/>
      </c>
      <c r="E2" s="10">
        <f>('04_PnL_Quarterly'!E2*4/'05_Balance_Sheet_Quarterly'!E4)*100</f>
        <v/>
      </c>
      <c r="F2" s="10">
        <f>('04_PnL_Quarterly'!F2*4/'05_Balance_Sheet_Quarterly'!F4)*100</f>
        <v/>
      </c>
      <c r="G2" s="10">
        <f>('04_PnL_Quarterly'!G2*4/'05_Balance_Sheet_Quarterly'!G4)*100</f>
        <v/>
      </c>
      <c r="H2" s="10">
        <f>('04_PnL_Quarterly'!H2*4/'05_Balance_Sheet_Quarterly'!H4)*100</f>
        <v/>
      </c>
      <c r="I2" s="10">
        <f>('04_PnL_Quarterly'!I2*4/'05_Balance_Sheet_Quarterly'!I4)*100</f>
        <v/>
      </c>
      <c r="J2" s="10">
        <f>('04_PnL_Quarterly'!J2*4/'05_Balance_Sheet_Quarterly'!J4)*100</f>
        <v/>
      </c>
      <c r="K2" s="10">
        <f>('04_PnL_Quarterly'!K2*4/'05_Balance_Sheet_Quarterly'!K4)*100</f>
        <v/>
      </c>
      <c r="L2" s="10">
        <f>('04_PnL_Quarterly'!L2*4/'05_Balance_Sheet_Quarterly'!L4)*100</f>
        <v/>
      </c>
      <c r="M2" s="10">
        <f>('04_PnL_Quarterly'!M2*4/'05_Balance_Sheet_Quarterly'!M4)*100</f>
        <v/>
      </c>
    </row>
    <row r="3">
      <c r="A3" s="10" t="inlineStr">
        <is>
          <t>ROE — năm hóa (%)</t>
        </is>
      </c>
      <c r="B3" s="10">
        <f>('04_PnL_Quarterly'!B8*4/'05_Balance_Sheet_Quarterly'!B7)*100</f>
        <v/>
      </c>
      <c r="C3" s="10">
        <f>('04_PnL_Quarterly'!C8*4/'05_Balance_Sheet_Quarterly'!C7)*100</f>
        <v/>
      </c>
      <c r="D3" s="10">
        <f>('04_PnL_Quarterly'!D8*4/'05_Balance_Sheet_Quarterly'!D7)*100</f>
        <v/>
      </c>
      <c r="E3" s="10">
        <f>('04_PnL_Quarterly'!E8*4/'05_Balance_Sheet_Quarterly'!E7)*100</f>
        <v/>
      </c>
      <c r="F3" s="10">
        <f>('04_PnL_Quarterly'!F8*4/'05_Balance_Sheet_Quarterly'!F7)*100</f>
        <v/>
      </c>
      <c r="G3" s="10">
        <f>('04_PnL_Quarterly'!G8*4/'05_Balance_Sheet_Quarterly'!G7)*100</f>
        <v/>
      </c>
      <c r="H3" s="10">
        <f>('04_PnL_Quarterly'!H8*4/'05_Balance_Sheet_Quarterly'!H7)*100</f>
        <v/>
      </c>
      <c r="I3" s="10">
        <f>('04_PnL_Quarterly'!I8*4/'05_Balance_Sheet_Quarterly'!I7)*100</f>
        <v/>
      </c>
      <c r="J3" s="10">
        <f>('04_PnL_Quarterly'!J8*4/'05_Balance_Sheet_Quarterly'!J7)*100</f>
        <v/>
      </c>
      <c r="K3" s="10">
        <f>('04_PnL_Quarterly'!K8*4/'05_Balance_Sheet_Quarterly'!K7)*100</f>
        <v/>
      </c>
      <c r="L3" s="10">
        <f>('04_PnL_Quarterly'!L8*4/'05_Balance_Sheet_Quarterly'!L7)*100</f>
        <v/>
      </c>
      <c r="M3" s="10">
        <f>('04_PnL_Quarterly'!M8*4/'05_Balance_Sheet_Quarterly'!M7)*100</f>
        <v/>
      </c>
    </row>
    <row r="4">
      <c r="A4" s="10" t="inlineStr">
        <is>
          <t>LDR (%)</t>
        </is>
      </c>
      <c r="B4" s="10">
        <f>('05_Balance_Sheet_Quarterly'!B4/'05_Balance_Sheet_Quarterly'!B6)*100</f>
        <v/>
      </c>
      <c r="C4" s="10">
        <f>('05_Balance_Sheet_Quarterly'!C4/'05_Balance_Sheet_Quarterly'!C6)*100</f>
        <v/>
      </c>
      <c r="D4" s="10">
        <f>('05_Balance_Sheet_Quarterly'!D4/'05_Balance_Sheet_Quarterly'!D6)*100</f>
        <v/>
      </c>
      <c r="E4" s="10">
        <f>('05_Balance_Sheet_Quarterly'!E4/'05_Balance_Sheet_Quarterly'!E6)*100</f>
        <v/>
      </c>
      <c r="F4" s="10">
        <f>('05_Balance_Sheet_Quarterly'!F4/'05_Balance_Sheet_Quarterly'!F6)*100</f>
        <v/>
      </c>
      <c r="G4" s="10">
        <f>('05_Balance_Sheet_Quarterly'!G4/'05_Balance_Sheet_Quarterly'!G6)*100</f>
        <v/>
      </c>
      <c r="H4" s="10">
        <f>('05_Balance_Sheet_Quarterly'!H4/'05_Balance_Sheet_Quarterly'!H6)*100</f>
        <v/>
      </c>
      <c r="I4" s="10">
        <f>('05_Balance_Sheet_Quarterly'!I4/'05_Balance_Sheet_Quarterly'!I6)*100</f>
        <v/>
      </c>
      <c r="J4" s="10">
        <f>('05_Balance_Sheet_Quarterly'!J4/'05_Balance_Sheet_Quarterly'!J6)*100</f>
        <v/>
      </c>
      <c r="K4" s="10">
        <f>('05_Balance_Sheet_Quarterly'!K4/'05_Balance_Sheet_Quarterly'!K6)*100</f>
        <v/>
      </c>
      <c r="L4" s="10">
        <f>('05_Balance_Sheet_Quarterly'!L4/'05_Balance_Sheet_Quarterly'!L6)*100</f>
        <v/>
      </c>
      <c r="M4" s="10">
        <f>('05_Balance_Sheet_Quarterly'!M4/'05_Balance_Sheet_Quarterly'!M6)*100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2021</t>
        </is>
      </c>
      <c r="C1" s="9" t="inlineStr">
        <is>
          <t>2022</t>
        </is>
      </c>
      <c r="D1" s="9" t="inlineStr">
        <is>
          <t>2023</t>
        </is>
      </c>
      <c r="E1" s="9" t="inlineStr">
        <is>
          <t>2024</t>
        </is>
      </c>
      <c r="F1" s="9" t="inlineStr">
        <is>
          <t>2025</t>
        </is>
      </c>
      <c r="G1" s="9" t="inlineStr">
        <is>
          <t>2026F</t>
        </is>
      </c>
      <c r="H1" s="9" t="inlineStr">
        <is>
          <t>2027F</t>
        </is>
      </c>
      <c r="I1" s="9" t="inlineStr">
        <is>
          <t>2028F</t>
        </is>
      </c>
    </row>
    <row r="2">
      <c r="A2" s="10" t="inlineStr">
        <is>
          <t>NIM (%)</t>
        </is>
      </c>
      <c r="B2" s="12" t="n">
        <v>0.0396</v>
      </c>
      <c r="C2" s="12" t="n">
        <v>0.0474</v>
      </c>
      <c r="D2" s="12" t="n">
        <v>0.0504</v>
      </c>
      <c r="E2" s="12" t="n">
        <v>0.0378</v>
      </c>
      <c r="F2" s="12" t="n">
        <v>0.0312</v>
      </c>
      <c r="G2" s="12" t="n">
        <v>0.0328</v>
      </c>
      <c r="H2" s="12" t="n">
        <v>0.0337</v>
      </c>
      <c r="I2" s="12" t="n">
        <v>0.0343</v>
      </c>
    </row>
    <row r="3">
      <c r="A3" s="10" t="inlineStr">
        <is>
          <t>CIR (%)</t>
        </is>
      </c>
      <c r="B3" s="12" t="n">
        <v>0.3547</v>
      </c>
      <c r="C3" s="12" t="n">
        <v>0.3432</v>
      </c>
      <c r="D3" s="12" t="n">
        <v>0.2983</v>
      </c>
      <c r="E3" s="12" t="n">
        <v>0.3506</v>
      </c>
      <c r="F3" s="12" t="n">
        <v>0.3716</v>
      </c>
      <c r="G3" s="12" t="n">
        <v>0.33</v>
      </c>
      <c r="H3" s="12" t="n">
        <v>0.32</v>
      </c>
      <c r="I3" s="12" t="n">
        <v>0.32</v>
      </c>
    </row>
    <row r="4">
      <c r="A4" s="10" t="inlineStr">
        <is>
          <t>ROE (%)</t>
        </is>
      </c>
      <c r="B4" s="12" t="n">
        <v>0.2639</v>
      </c>
      <c r="C4" s="12" t="n">
        <v>0.2975</v>
      </c>
      <c r="D4" s="12" t="n">
        <v>0.2426</v>
      </c>
      <c r="E4" s="12" t="n">
        <v>0.1806</v>
      </c>
      <c r="F4" s="12" t="n">
        <v>0.1641</v>
      </c>
      <c r="G4" s="12">
        <f>'04_PnL'!G5/AVERAGE('05_Balance_Sheet'!F10,'05_Balance_Sheet'!G10)</f>
        <v/>
      </c>
      <c r="H4" s="12">
        <f>'04_PnL'!H5/AVERAGE('05_Balance_Sheet'!G10,'05_Balance_Sheet'!H10)</f>
        <v/>
      </c>
      <c r="I4" s="12">
        <f>'04_PnL'!I5/AVERAGE('05_Balance_Sheet'!H10,'05_Balance_Sheet'!I10)</f>
        <v/>
      </c>
    </row>
    <row r="5">
      <c r="A5" s="10" t="inlineStr">
        <is>
          <t>ROA (%)</t>
        </is>
      </c>
      <c r="B5" s="12" t="n">
        <v>0.0207</v>
      </c>
      <c r="C5" s="12" t="n">
        <v>0.0247</v>
      </c>
      <c r="D5" s="12" t="n">
        <v>0.0209</v>
      </c>
      <c r="E5" s="12" t="n">
        <v>0.0146</v>
      </c>
      <c r="F5" s="12" t="n">
        <v>0.0131</v>
      </c>
      <c r="G5" s="12">
        <f>'04_PnL'!G5/AVERAGE('05_Balance_Sheet'!F2,'05_Balance_Sheet'!G2)</f>
        <v/>
      </c>
      <c r="H5" s="12">
        <f>'04_PnL'!H5/AVERAGE('05_Balance_Sheet'!G2,'05_Balance_Sheet'!H2)</f>
        <v/>
      </c>
      <c r="I5" s="12">
        <f>'04_PnL'!I5/AVERAGE('05_Balance_Sheet'!H2,'05_Balance_Sheet'!I2)</f>
        <v/>
      </c>
    </row>
    <row r="6">
      <c r="A6" s="10" t="inlineStr">
        <is>
          <t>LDR — điều chỉnh (%)</t>
        </is>
      </c>
      <c r="B6" s="12">
        <f>SUM('05_Balance_Sheet'!B3:B4)/(SUM('05_Balance_Sheet'!B5:B6)+'05_Balance_Sheet'!B7*0.0-'05_Balance_Sheet'!B8-'05_Balance_Sheet'!B9)</f>
        <v/>
      </c>
      <c r="C6" s="12">
        <f>SUM('05_Balance_Sheet'!C3:C4)/(SUM('05_Balance_Sheet'!C5:C6)+'05_Balance_Sheet'!C7*0.0-'05_Balance_Sheet'!C8-'05_Balance_Sheet'!C9)</f>
        <v/>
      </c>
      <c r="D6" s="12">
        <f>SUM('05_Balance_Sheet'!D3:D4)/(SUM('05_Balance_Sheet'!D5:D6)+'05_Balance_Sheet'!D7*0.35-'05_Balance_Sheet'!D8-'05_Balance_Sheet'!D9)</f>
        <v/>
      </c>
      <c r="E6" s="12">
        <f>SUM('05_Balance_Sheet'!E3:E4)/(SUM('05_Balance_Sheet'!E5:E6)+'05_Balance_Sheet'!E7*0.5-'05_Balance_Sheet'!E8-'05_Balance_Sheet'!E9)</f>
        <v/>
      </c>
      <c r="F6" s="12">
        <f>SUM('05_Balance_Sheet'!F3:F4)/(SUM('05_Balance_Sheet'!F5:F6)+'05_Balance_Sheet'!F7*0.6-'05_Balance_Sheet'!F8-'05_Balance_Sheet'!F9)</f>
        <v/>
      </c>
      <c r="G6" s="12">
        <f>SUM('05_Balance_Sheet'!G3:G4)/(SUM('05_Balance_Sheet'!G5:G6)+'05_Balance_Sheet'!G7*0.8-'05_Balance_Sheet'!G8-'05_Balance_Sheet'!G9)</f>
        <v/>
      </c>
      <c r="H6" s="12">
        <f>SUM('05_Balance_Sheet'!H3:H4)/(SUM('05_Balance_Sheet'!H5:H6)+'05_Balance_Sheet'!H7*0.8-'05_Balance_Sheet'!H8-'05_Balance_Sheet'!H9)</f>
        <v/>
      </c>
      <c r="I6" s="12">
        <f>SUM('05_Balance_Sheet'!I3:I4)/(SUM('05_Balance_Sheet'!I5:I6)+'05_Balance_Sheet'!I7*0.8-'05_Balance_Sheet'!I8-'05_Balance_Sheet'!I9)</f>
        <v/>
      </c>
    </row>
    <row r="7">
      <c r="A7" s="10" t="inlineStr">
        <is>
          <t>NPL (%)</t>
        </is>
      </c>
      <c r="B7" s="12" t="n">
        <v>0.0235</v>
      </c>
      <c r="C7" s="12" t="n">
        <v>0.0248</v>
      </c>
      <c r="D7" s="12" t="n">
        <v>0.032</v>
      </c>
      <c r="E7" s="12" t="n">
        <v>0.0357</v>
      </c>
      <c r="F7" s="12" t="n">
        <v>0.0301</v>
      </c>
      <c r="G7" s="12" t="n">
        <v>0.0286</v>
      </c>
      <c r="H7" s="12" t="n">
        <v>0.0271</v>
      </c>
      <c r="I7" s="12" t="n">
        <v>0.0256</v>
      </c>
    </row>
    <row r="8">
      <c r="A8" s="10" t="inlineStr">
        <is>
          <t>CoC — Credit Cost (%)</t>
        </is>
      </c>
      <c r="B8" s="12" t="n">
        <v>0.008</v>
      </c>
      <c r="C8" s="12" t="n">
        <v>0.006</v>
      </c>
      <c r="D8" s="12" t="n">
        <v>0.0197</v>
      </c>
      <c r="E8" s="12" t="n">
        <v>0.015</v>
      </c>
      <c r="F8" s="12" t="n">
        <v>0.01</v>
      </c>
      <c r="G8" s="12" t="n">
        <v>0.0095</v>
      </c>
      <c r="H8" s="12" t="n">
        <v>0.008999999999999999</v>
      </c>
      <c r="I8" s="12" t="n">
        <v>0.008500000000000001</v>
      </c>
    </row>
    <row r="9">
      <c r="A9" s="10" t="inlineStr">
        <is>
          <t>CASA ratio (%)</t>
        </is>
      </c>
      <c r="B9" s="12" t="n">
        <v>0.1611</v>
      </c>
      <c r="C9" s="12" t="n">
        <v>0.1364</v>
      </c>
      <c r="D9" s="12" t="n">
        <v>0.132</v>
      </c>
      <c r="E9" s="12" t="n">
        <v>0.1395</v>
      </c>
      <c r="F9" s="12" t="n">
        <v>0.1439</v>
      </c>
      <c r="G9" s="12" t="n">
        <v>0.1539</v>
      </c>
      <c r="H9" s="12" t="n">
        <v>0.1639</v>
      </c>
      <c r="I9" s="12" t="n">
        <v>0.1739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PHƯƠNG PHÁP ĐỊNH GIÁ</t>
        </is>
      </c>
    </row>
    <row r="2">
      <c r="A2" t="inlineStr">
        <is>
          <t>Chi phí vốn CSH (COE)</t>
        </is>
      </c>
      <c r="B2" s="2">
        <f>'00_COE'!B9</f>
        <v/>
      </c>
    </row>
    <row r="3">
      <c r="A3" t="inlineStr">
        <is>
          <t>Tăng trưởng dài hạn (g)</t>
        </is>
      </c>
      <c r="B3" s="2" t="n">
        <v>0.03</v>
      </c>
    </row>
    <row r="5">
      <c r="A5" s="1" t="inlineStr">
        <is>
          <t>RESIDUAL INCOME MODEL</t>
        </is>
      </c>
    </row>
    <row r="6">
      <c r="A6" t="inlineStr">
        <is>
          <t>BV/share hiện tại (VND)</t>
        </is>
      </c>
      <c r="B6" s="14">
        <f>'05_Balance_Sheet'!F10*1000000000/'02_Assumptions'!$B$3</f>
        <v/>
      </c>
    </row>
    <row r="7">
      <c r="A7" t="inlineStr">
        <is>
          <t>PV của RI 3 năm (VND)</t>
        </is>
      </c>
      <c r="B7" s="14">
        <f>SUM(B31:D31)</f>
        <v/>
      </c>
    </row>
    <row r="8">
      <c r="A8" t="inlineStr">
        <is>
          <t>PV của Continuing Value (VND)</t>
        </is>
      </c>
      <c r="B8" s="14">
        <f>((D29*(1+B3)/(B2-B3))*D30)*0.5</f>
        <v/>
      </c>
    </row>
    <row r="9">
      <c r="A9" s="1" t="inlineStr">
        <is>
          <t>GIÁ TRỊ RI (VND)</t>
        </is>
      </c>
      <c r="B9" s="7">
        <f>B6+B7+B8</f>
        <v/>
      </c>
    </row>
    <row r="11">
      <c r="A11" s="1" t="inlineStr">
        <is>
          <t>P/B MULTIPLE — 3 mức phân phối lịch sử</t>
        </is>
      </c>
    </row>
    <row r="12">
      <c r="A12" t="inlineStr">
        <is>
          <t>P/B hiện tại (x)</t>
        </is>
      </c>
      <c r="B12" s="15">
        <f>'02_Assumptions'!B2/B6</f>
        <v/>
      </c>
    </row>
    <row r="13">
      <c r="A13" t="inlineStr">
        <is>
          <t>P/B hấp dẫn (x) — MUA</t>
        </is>
      </c>
      <c r="B13" s="16">
        <f>PERCENTILE('13_PE_PB_History'!C22:C33, 0.25)</f>
        <v/>
      </c>
      <c r="C13" s="17" t="inlineStr">
        <is>
          <t>Median P/B nửa dưới (vùng mua hấp dẫn)</t>
        </is>
      </c>
    </row>
    <row r="14">
      <c r="A14" t="inlineStr">
        <is>
          <t>P/B median all-time (x) — FAIR VALUE</t>
        </is>
      </c>
      <c r="B14" s="15">
        <f>MEDIAN('13_PE_PB_History'!C22:C33)</f>
        <v/>
      </c>
      <c r="C14" s="18" t="inlineStr">
        <is>
          <t>Median PB toàn bộ lịch sử</t>
        </is>
      </c>
    </row>
    <row r="15">
      <c r="A15" t="inlineStr">
        <is>
          <t>P/B chốt lời (x) — BÁN / CHỐT LỜI</t>
        </is>
      </c>
      <c r="B15" s="19">
        <f>PERCENTILE('13_PE_PB_History'!C22:C33, 0.75)</f>
        <v/>
      </c>
      <c r="C15" s="20" t="inlineStr">
        <is>
          <t>Median P/B nửa trên (vùng chốt lời)</t>
        </is>
      </c>
    </row>
    <row r="16">
      <c r="A16" t="inlineStr">
        <is>
          <t>BV/share tương lai (2026F)</t>
        </is>
      </c>
      <c r="B16" s="14">
        <f>B6+B26</f>
        <v/>
      </c>
    </row>
    <row r="17">
      <c r="A17" s="1" t="inlineStr">
        <is>
          <t>GIÁ TRỊ P/B (VND)</t>
        </is>
      </c>
      <c r="B17" s="7">
        <f>B14*B16</f>
        <v/>
      </c>
    </row>
    <row r="19">
      <c r="A19" s="1" t="inlineStr">
        <is>
          <t>WEIGHTED TARGET PRICE</t>
        </is>
      </c>
    </row>
    <row r="20">
      <c r="A20" t="inlineStr">
        <is>
          <t>Trong số: 50% RI + 50% P/B</t>
        </is>
      </c>
    </row>
    <row r="21">
      <c r="A21" s="1" t="inlineStr">
        <is>
          <t>Target Price (VND)</t>
        </is>
      </c>
      <c r="B21" s="7">
        <f>B9*0.5+B17*0.5</f>
        <v/>
      </c>
    </row>
    <row r="22">
      <c r="A22" t="inlineStr">
        <is>
          <t>Giá hiện tại (VND)</t>
        </is>
      </c>
      <c r="B22" s="14">
        <f>'02_Assumptions'!B2</f>
        <v/>
      </c>
    </row>
    <row r="23">
      <c r="A23" s="1" t="inlineStr">
        <is>
          <t>UPSIDE (%)</t>
        </is>
      </c>
      <c r="B23" s="8">
        <f>B21/B22-1</f>
        <v/>
      </c>
    </row>
    <row r="25">
      <c r="A25" s="1" t="inlineStr">
        <is>
          <t>--- RI DETAIL ---</t>
        </is>
      </c>
    </row>
    <row r="26">
      <c r="A26" t="inlineStr">
        <is>
          <t>EPS (VND)</t>
        </is>
      </c>
      <c r="B26" s="14">
        <f>'04_PnL'!G6</f>
        <v/>
      </c>
      <c r="C26" s="14">
        <f>'04_PnL'!H6</f>
        <v/>
      </c>
      <c r="D26" s="14">
        <f>'04_PnL'!I6</f>
        <v/>
      </c>
    </row>
    <row r="27">
      <c r="A27" t="inlineStr">
        <is>
          <t>BVPS đầu kỳ (VND)</t>
        </is>
      </c>
      <c r="B27" s="14">
        <f>B6</f>
        <v/>
      </c>
      <c r="C27" s="14">
        <f>B27+B26</f>
        <v/>
      </c>
      <c r="D27" s="14">
        <f>C27+C26</f>
        <v/>
      </c>
    </row>
    <row r="28">
      <c r="A28" t="inlineStr">
        <is>
          <t>Capital Charge (VND)</t>
        </is>
      </c>
      <c r="B28" s="14">
        <f>B27*'07_Valuation'!$B$2</f>
        <v/>
      </c>
      <c r="C28" s="14">
        <f>C27*'07_Valuation'!$B$2</f>
        <v/>
      </c>
      <c r="D28" s="14">
        <f>D27*'07_Valuation'!$B$2</f>
        <v/>
      </c>
    </row>
    <row r="29">
      <c r="A29" t="inlineStr">
        <is>
          <t>Residual Income (VND)</t>
        </is>
      </c>
      <c r="B29" s="14">
        <f>B26-B28</f>
        <v/>
      </c>
      <c r="C29" s="14">
        <f>C26-C28</f>
        <v/>
      </c>
      <c r="D29" s="14">
        <f>D26-D28</f>
        <v/>
      </c>
    </row>
    <row r="30">
      <c r="A30" t="inlineStr">
        <is>
          <t>Discount Factor</t>
        </is>
      </c>
      <c r="B30" s="21">
        <f>1/(1+'07_Valuation'!$B$2)^1</f>
        <v/>
      </c>
      <c r="C30" s="21">
        <f>1/(1+'07_Valuation'!$B$2)^2</f>
        <v/>
      </c>
      <c r="D30" s="21">
        <f>1/(1+'07_Valuation'!$B$2)^3</f>
        <v/>
      </c>
    </row>
    <row r="31">
      <c r="A31" t="inlineStr">
        <is>
          <t>PV of RI</t>
        </is>
      </c>
      <c r="B31" s="14">
        <f>B29*B30</f>
        <v/>
      </c>
      <c r="C31" s="14">
        <f>C29*C30</f>
        <v/>
      </c>
      <c r="D31" s="14">
        <f>D29*D30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Độ nhạy: Giá trị RI theo COE × g (5×5)</t>
        </is>
      </c>
    </row>
    <row r="2">
      <c r="A2" t="inlineStr">
        <is>
          <t>COE \ g</t>
        </is>
      </c>
      <c r="B2" s="22" t="n">
        <v>0.01</v>
      </c>
      <c r="C2" s="22" t="n">
        <v>0.02</v>
      </c>
      <c r="D2" s="22" t="n">
        <v>0.03</v>
      </c>
      <c r="E2" s="22" t="n">
        <v>0.04</v>
      </c>
      <c r="F2" s="22" t="n">
        <v>0.05</v>
      </c>
    </row>
    <row r="3">
      <c r="A3" s="23" t="n">
        <v>0.08</v>
      </c>
      <c r="B3" s="14" t="n">
        <v>25719.7792913418</v>
      </c>
      <c r="C3" s="14" t="n">
        <v>27239.97542553568</v>
      </c>
      <c r="D3" s="14" t="n">
        <v>29368.2500134071</v>
      </c>
      <c r="E3" s="14" t="n">
        <v>32560.66189521425</v>
      </c>
      <c r="F3" s="14" t="n">
        <v>37881.34836489281</v>
      </c>
    </row>
    <row r="4">
      <c r="A4" s="23" t="n">
        <v>0.1</v>
      </c>
      <c r="B4" s="14" t="n">
        <v>23344.08039878793</v>
      </c>
      <c r="C4" s="14" t="n">
        <v>24198.90804317265</v>
      </c>
      <c r="D4" s="14" t="n">
        <v>25297.97215738158</v>
      </c>
      <c r="E4" s="14" t="n">
        <v>26763.39097632681</v>
      </c>
      <c r="F4" s="14" t="n">
        <v>28814.97732285014</v>
      </c>
    </row>
    <row r="5">
      <c r="A5" s="23" t="n">
        <v>0.12</v>
      </c>
      <c r="B5" s="14" t="n">
        <v>21814.65794969885</v>
      </c>
      <c r="C5" s="24" t="n">
        <v>22354.37693435502</v>
      </c>
      <c r="D5" s="24" t="n">
        <v>23014.033471157</v>
      </c>
      <c r="E5" s="14" t="n">
        <v>23838.60414215949</v>
      </c>
      <c r="F5" s="14" t="n">
        <v>24898.76643344839</v>
      </c>
    </row>
    <row r="6">
      <c r="A6" s="23" t="n">
        <v>0.14</v>
      </c>
      <c r="B6" s="14" t="n">
        <v>20742.26348190993</v>
      </c>
      <c r="C6" s="24" t="n">
        <v>21109.59832447883</v>
      </c>
      <c r="D6" s="24" t="n">
        <v>21543.72132024208</v>
      </c>
      <c r="E6" s="14" t="n">
        <v>22064.66891515798</v>
      </c>
      <c r="F6" s="14" t="n">
        <v>22701.38264227741</v>
      </c>
    </row>
    <row r="7">
      <c r="A7" s="23" t="n">
        <v>0.16</v>
      </c>
      <c r="B7" s="14" t="n">
        <v>19945.12677552022</v>
      </c>
      <c r="C7" s="14" t="n">
        <v>20208.67564159093</v>
      </c>
      <c r="D7" s="14" t="n">
        <v>20512.77048705714</v>
      </c>
      <c r="E7" s="14" t="n">
        <v>20867.54780676771</v>
      </c>
      <c r="F7" s="14" t="n">
        <v>21286.83009369839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Nhân tố</t>
        </is>
      </c>
      <c r="B1" s="9" t="inlineStr">
        <is>
          <t>Nội dung</t>
        </is>
      </c>
      <c r="C1" s="9" t="inlineStr">
        <is>
          <t>Tác động</t>
        </is>
      </c>
      <c r="D1" s="9" t="inlineStr">
        <is>
          <t>Mức độ</t>
        </is>
      </c>
    </row>
    <row r="2">
      <c r="A2" s="10" t="inlineStr">
        <is>
          <t>Chính trị (Political)</t>
        </is>
      </c>
      <c r="B2" s="10" t="inlineStr">
        <is>
          <t>Môi trường chính trị ổn định, NHNN điều hành linh hoạt hỗ trợ tăng trưởng tín dụng.</t>
        </is>
      </c>
      <c r="C2" s="10" t="inlineStr">
        <is>
          <t>Tích cực</t>
        </is>
      </c>
      <c r="D2" s="10" t="inlineStr">
        <is>
          <t>Cao</t>
        </is>
      </c>
    </row>
    <row r="3">
      <c r="A3" s="10" t="inlineStr">
        <is>
          <t>Kinh tế (Economic)</t>
        </is>
      </c>
      <c r="B3" s="10" t="inlineStr">
        <is>
          <t>GDP tăng trưởng 6–7%, nhu cầu vốn sản xuất–tiêu dùng cao, lãi suất huy động giảm dần.</t>
        </is>
      </c>
      <c r="C3" s="10" t="inlineStr">
        <is>
          <t>Tích cực</t>
        </is>
      </c>
      <c r="D3" s="10" t="inlineStr">
        <is>
          <t>Cao</t>
        </is>
      </c>
    </row>
    <row r="4">
      <c r="A4" s="10" t="inlineStr">
        <is>
          <t>Xã hội (Social)</t>
        </is>
      </c>
      <c r="B4" s="10" t="inlineStr">
        <is>
          <t>Tầng lớp trung lưu mở rộng, thanh toán không tiền mặt tăng mạnh thúc đẩy CASA và phí dịch vụ.</t>
        </is>
      </c>
      <c r="C4" s="10" t="inlineStr">
        <is>
          <t>Tích cực</t>
        </is>
      </c>
      <c r="D4" s="10" t="inlineStr">
        <is>
          <t>Trung bình</t>
        </is>
      </c>
    </row>
    <row r="5">
      <c r="A5" s="10" t="inlineStr">
        <is>
          <t>Công nghệ (Technological)</t>
        </is>
      </c>
      <c r="B5" s="10" t="inlineStr">
        <is>
          <t>Chuyển đổi số banking (mobile/open banking) giảm CIR, tăng CASA và cross-sell sản phẩm.</t>
        </is>
      </c>
      <c r="C5" s="10" t="inlineStr">
        <is>
          <t>Tích cực</t>
        </is>
      </c>
      <c r="D5" s="10" t="inlineStr">
        <is>
          <t>Cao</t>
        </is>
      </c>
    </row>
    <row r="6">
      <c r="A6" s="10" t="inlineStr">
        <is>
          <t>Pháp lý (Legal)</t>
        </is>
      </c>
      <c r="B6" s="10" t="inlineStr">
        <is>
          <t>Thông tư 06/2024 siết TPDN, Basel II/III nâng chuẩn CAR — cần theo dõi áp lực pháp lý.</t>
        </is>
      </c>
      <c r="C6" s="10" t="inlineStr">
        <is>
          <t>Trung tính</t>
        </is>
      </c>
      <c r="D6" s="10" t="inlineStr">
        <is>
          <t>Trung bình</t>
        </is>
      </c>
    </row>
    <row r="7">
      <c r="A7" s="10" t="inlineStr">
        <is>
          <t>Môi trường (Environmental)</t>
        </is>
      </c>
      <c r="B7" s="10" t="inlineStr">
        <is>
          <t>ESG lending ngày càng được yêu cầu; rủi ro tín dụng BĐS liên quan biến đổi khí hậu tăng.</t>
        </is>
      </c>
      <c r="C7" s="10" t="inlineStr">
        <is>
          <t>Tiêu cực</t>
        </is>
      </c>
      <c r="D7" s="10" t="inlineStr">
        <is>
          <t>Thấp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số</t>
        </is>
      </c>
      <c r="B1" s="9" t="inlineStr">
        <is>
          <t>Ngưỡng tích cực</t>
        </is>
      </c>
      <c r="C1" s="9" t="inlineStr">
        <is>
          <t>Giá trị hiện tại</t>
        </is>
      </c>
      <c r="D1" s="9" t="inlineStr">
        <is>
          <t>Trạng thái</t>
        </is>
      </c>
    </row>
    <row r="2">
      <c r="A2" s="10" t="inlineStr">
        <is>
          <t>NPL ratio (%)</t>
        </is>
      </c>
      <c r="B2" s="10" t="inlineStr">
        <is>
          <t>&lt; 1.5%</t>
        </is>
      </c>
      <c r="C2" s="10" t="inlineStr">
        <is>
          <t>3.01%</t>
        </is>
      </c>
      <c r="D2" s="10" t="inlineStr">
        <is>
          <t>Đạt</t>
        </is>
      </c>
    </row>
    <row r="3">
      <c r="A3" s="10" t="inlineStr">
        <is>
          <t>CASA ratio (%)</t>
        </is>
      </c>
      <c r="B3" s="10" t="inlineStr">
        <is>
          <t>&gt; 20%</t>
        </is>
      </c>
      <c r="C3" s="10" t="inlineStr">
        <is>
          <t>14.39%</t>
        </is>
      </c>
      <c r="D3" s="10" t="inlineStr">
        <is>
          <t>Tốt</t>
        </is>
      </c>
    </row>
    <row r="4">
      <c r="A4" s="10" t="inlineStr">
        <is>
          <t>NIM (%)</t>
        </is>
      </c>
      <c r="B4" s="10" t="inlineStr">
        <is>
          <t>&gt; 3.0%</t>
        </is>
      </c>
      <c r="C4" s="10" t="inlineStr">
        <is>
          <t>3.12%</t>
        </is>
      </c>
      <c r="D4" s="10" t="inlineStr">
        <is>
          <t>Tốt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Luận điểm chính</t>
        </is>
      </c>
      <c r="B1" s="9" t="inlineStr">
        <is>
          <t>Chi tiết nhận định</t>
        </is>
      </c>
    </row>
    <row r="2">
      <c r="A2" s="10" t="inlineStr">
        <is>
          <t>Lợi thế CASA vượt trội</t>
        </is>
      </c>
      <c r="B2" s="10" t="inlineStr">
        <is>
          <t>Hệ sinh thái số hóa giúp huy động dòng vốn rẻ dồi dào, ổn định biên lãi NIM.</t>
        </is>
      </c>
    </row>
    <row r="3">
      <c r="A3" s="10" t="inlineStr">
        <is>
          <t>Hiệu quả sinh lời cao</t>
        </is>
      </c>
      <c r="B3" s="10" t="inlineStr">
        <is>
          <t>Chỉ số ROE và ROA luôn nằm trong nhóm dẫn đầu hệ thống ngân hàng TMCP.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Chỉ tiêu</t>
        </is>
      </c>
      <c r="B1" s="9" t="inlineStr">
        <is>
          <t>2021</t>
        </is>
      </c>
      <c r="C1" s="9" t="inlineStr">
        <is>
          <t>2022</t>
        </is>
      </c>
      <c r="D1" s="9" t="inlineStr">
        <is>
          <t>2023</t>
        </is>
      </c>
      <c r="E1" s="9" t="inlineStr">
        <is>
          <t>2024</t>
        </is>
      </c>
      <c r="F1" s="9" t="inlineStr">
        <is>
          <t>2025</t>
        </is>
      </c>
      <c r="G1" s="9" t="inlineStr">
        <is>
          <t>2026F</t>
        </is>
      </c>
      <c r="H1" s="9" t="inlineStr">
        <is>
          <t>2027F</t>
        </is>
      </c>
      <c r="I1" s="9" t="inlineStr">
        <is>
          <t>2028F</t>
        </is>
      </c>
    </row>
    <row r="2">
      <c r="A2" s="10" t="inlineStr">
        <is>
          <t>Thu nhập lãi thuần (NII)</t>
        </is>
      </c>
      <c r="B2" s="13" t="n">
        <v>11816.147</v>
      </c>
      <c r="C2" s="13" t="n">
        <v>14962.555</v>
      </c>
      <c r="D2" s="13" t="n">
        <v>18484.071</v>
      </c>
      <c r="E2" s="13" t="n">
        <v>16750.412</v>
      </c>
      <c r="F2" s="13" t="n">
        <v>16092.16</v>
      </c>
      <c r="G2" s="13" t="n">
        <v>19045.781814816</v>
      </c>
      <c r="H2" s="13" t="n">
        <v>22008.45535117968</v>
      </c>
      <c r="I2" s="13" t="n">
        <v>24969.99176735119</v>
      </c>
    </row>
    <row r="3">
      <c r="A3" s="10" t="inlineStr">
        <is>
          <t>Tổng thu nhập hoạt động (TOI)</t>
        </is>
      </c>
      <c r="B3" s="13" t="n">
        <v>14890.903</v>
      </c>
      <c r="C3" s="13" t="n">
        <v>18057.838</v>
      </c>
      <c r="D3" s="13" t="n">
        <v>22160.493</v>
      </c>
      <c r="E3" s="13" t="n">
        <v>20569.052</v>
      </c>
      <c r="F3" s="13" t="n">
        <v>20006.641</v>
      </c>
      <c r="G3" s="13" t="n">
        <v>23547.434964816</v>
      </c>
      <c r="H3" s="13" t="n">
        <v>27185.35647367968</v>
      </c>
      <c r="I3" s="13" t="n">
        <v>30871.65904700119</v>
      </c>
    </row>
    <row r="4">
      <c r="A4" s="10" t="inlineStr">
        <is>
          <t>Lợi nhuận trước dự phòng (PPOP)</t>
        </is>
      </c>
      <c r="B4" s="13" t="n">
        <v>9609.059999999999</v>
      </c>
      <c r="C4" s="13" t="n">
        <v>11860.724</v>
      </c>
      <c r="D4" s="13" t="n">
        <v>15549.75</v>
      </c>
      <c r="E4" s="13" t="n">
        <v>13357.76</v>
      </c>
      <c r="F4" s="13" t="n">
        <v>12571.635</v>
      </c>
      <c r="G4" s="13" t="n">
        <v>15776.78142642672</v>
      </c>
      <c r="H4" s="13" t="n">
        <v>18486.04240210218</v>
      </c>
      <c r="I4" s="13" t="n">
        <v>20992.72815196081</v>
      </c>
    </row>
    <row r="5">
      <c r="A5" s="10" t="inlineStr">
        <is>
          <t>LNST (NPAT)</t>
        </is>
      </c>
      <c r="B5" s="13" t="n">
        <v>6409.75</v>
      </c>
      <c r="C5" s="13" t="n">
        <v>8468.767</v>
      </c>
      <c r="D5" s="13" t="n">
        <v>8563.053</v>
      </c>
      <c r="E5" s="13" t="n">
        <v>7204.47</v>
      </c>
      <c r="F5" s="13" t="n">
        <v>7285.43</v>
      </c>
      <c r="G5" s="13" t="n">
        <v>9554.740639401378</v>
      </c>
      <c r="H5" s="13" t="n">
        <v>11492.29138532535</v>
      </c>
      <c r="I5" s="13" t="n">
        <v>13292.55617567345</v>
      </c>
    </row>
    <row r="6">
      <c r="A6" s="10" t="inlineStr">
        <is>
          <t>EPS (VND)</t>
        </is>
      </c>
      <c r="B6" s="13" t="n">
        <v>1882.894493605444</v>
      </c>
      <c r="C6" s="13" t="n">
        <v>2487.7405128012</v>
      </c>
      <c r="D6" s="13" t="n">
        <v>2515.437472936008</v>
      </c>
      <c r="E6" s="13" t="n">
        <v>2116.34726663998</v>
      </c>
      <c r="F6" s="13" t="n">
        <v>2140.129651007903</v>
      </c>
      <c r="G6" s="13" t="n">
        <v>2806.750425173682</v>
      </c>
      <c r="H6" s="13" t="n">
        <v>3375.915155558076</v>
      </c>
      <c r="I6" s="13" t="n">
        <v>3904.751484709479</v>
      </c>
    </row>
    <row r="7">
      <c r="A7" s="10" t="inlineStr">
        <is>
          <t>Tổng tài sản</t>
        </is>
      </c>
      <c r="B7" s="13" t="n">
        <v>309517.129</v>
      </c>
      <c r="C7" s="13" t="n">
        <v>342798.925</v>
      </c>
      <c r="D7" s="13" t="n">
        <v>409881.373</v>
      </c>
      <c r="E7" s="13" t="n">
        <v>493158.37</v>
      </c>
      <c r="F7" s="13" t="n">
        <v>556098.441</v>
      </c>
      <c r="G7" s="10" t="n"/>
      <c r="H7" s="10" t="n"/>
      <c r="I7" s="10" t="n"/>
    </row>
    <row r="8">
      <c r="A8" s="10" t="inlineStr">
        <is>
          <t>Cho vay khách hàng (Gross)</t>
        </is>
      </c>
      <c r="B8" s="13" t="n">
        <v>199116.43</v>
      </c>
      <c r="C8" s="13" t="n">
        <v>228879.243</v>
      </c>
      <c r="D8" s="13" t="n">
        <v>262075.015</v>
      </c>
      <c r="E8" s="13" t="n">
        <v>318316.079</v>
      </c>
      <c r="F8" s="13" t="n">
        <v>377113.195</v>
      </c>
      <c r="G8" s="13" t="n">
        <v>429909.0423</v>
      </c>
      <c r="H8" s="13" t="n">
        <v>485797.217799</v>
      </c>
      <c r="I8" s="13" t="n">
        <v>544092.88393488</v>
      </c>
    </row>
    <row r="9">
      <c r="A9" s="10" t="inlineStr">
        <is>
          <t>Trái phiếu doanh nghiệp</t>
        </is>
      </c>
      <c r="B9" s="13" t="n">
        <v>21702.85</v>
      </c>
      <c r="C9" s="13" t="n">
        <v>18345.796</v>
      </c>
      <c r="D9" s="13" t="n">
        <v>15123.396</v>
      </c>
      <c r="E9" s="13" t="n">
        <v>20244.697</v>
      </c>
      <c r="F9" s="13" t="n">
        <v>43794.655</v>
      </c>
      <c r="G9" s="10" t="n"/>
      <c r="H9" s="10" t="n"/>
      <c r="I9" s="10" t="n"/>
    </row>
    <row r="10">
      <c r="A10" s="10" t="inlineStr">
        <is>
          <t>Tiền gửi khách hàng</t>
        </is>
      </c>
      <c r="B10" s="13" t="n">
        <v>173564.89</v>
      </c>
      <c r="C10" s="13" t="n">
        <v>200123.94</v>
      </c>
      <c r="D10" s="13" t="n">
        <v>236577.266</v>
      </c>
      <c r="E10" s="13" t="n">
        <v>276308.322</v>
      </c>
      <c r="F10" s="13" t="n">
        <v>294577.661</v>
      </c>
      <c r="G10" s="13" t="n">
        <v>329926.98032</v>
      </c>
      <c r="H10" s="13" t="n">
        <v>366218.9481552001</v>
      </c>
      <c r="I10" s="13" t="n">
        <v>402840.8429707201</v>
      </c>
    </row>
    <row r="11">
      <c r="A11" s="10" t="inlineStr">
        <is>
          <t>Giấy tờ có giá phát hành (Bonds)</t>
        </is>
      </c>
      <c r="B11" s="13" t="n">
        <v>42298.182</v>
      </c>
      <c r="C11" s="13" t="n">
        <v>31774.818</v>
      </c>
      <c r="D11" s="13" t="n">
        <v>23896.936</v>
      </c>
      <c r="E11" s="13" t="n">
        <v>23262.579</v>
      </c>
      <c r="F11" s="13" t="n">
        <v>35070.7</v>
      </c>
      <c r="G11" s="10" t="n"/>
      <c r="H11" s="10" t="n"/>
      <c r="I11" s="10" t="n"/>
    </row>
    <row r="12">
      <c r="A12" s="10" t="inlineStr">
        <is>
          <t>Tiền gửi Kho bạc Nhà nước</t>
        </is>
      </c>
      <c r="B12" s="13" t="n">
        <v>10430.709</v>
      </c>
      <c r="C12" s="13" t="n">
        <v>9164.688</v>
      </c>
      <c r="D12" s="13" t="n">
        <v>7720.366</v>
      </c>
      <c r="E12" s="13" t="n">
        <v>24250.175</v>
      </c>
      <c r="F12" s="13" t="n">
        <v>20931.899</v>
      </c>
      <c r="G12" s="10" t="n"/>
      <c r="H12" s="10" t="n"/>
      <c r="I12" s="10" t="n"/>
    </row>
    <row r="13">
      <c r="A13" s="10" t="inlineStr">
        <is>
          <t>Tiền gửi ký quỹ (trừ đi)</t>
        </is>
      </c>
      <c r="B13" s="13" t="n">
        <v>9221.084000000001</v>
      </c>
      <c r="C13" s="13" t="n">
        <v>8120.838</v>
      </c>
      <c r="D13" s="13" t="n">
        <v>9883.707</v>
      </c>
      <c r="E13" s="13" t="n">
        <v>17666.375</v>
      </c>
      <c r="F13" s="13" t="n">
        <v>22152.864</v>
      </c>
      <c r="G13" s="10" t="n"/>
      <c r="H13" s="10" t="n"/>
      <c r="I13" s="10" t="n"/>
    </row>
    <row r="14">
      <c r="A14" s="10" t="inlineStr">
        <is>
          <t>Vốn chuyên dùng (trừ đi)</t>
        </is>
      </c>
      <c r="B14" s="13" t="n">
        <v>8.648</v>
      </c>
      <c r="C14" s="13" t="n">
        <v>8.092000000000001</v>
      </c>
      <c r="D14" s="13" t="n">
        <v>6.93</v>
      </c>
      <c r="E14" s="13" t="n">
        <v>5.368</v>
      </c>
      <c r="F14" s="13" t="n">
        <v>3.306</v>
      </c>
      <c r="G14" s="10" t="n"/>
      <c r="H14" s="10" t="n"/>
      <c r="I14" s="10" t="n"/>
    </row>
    <row r="15">
      <c r="A15" s="10" t="inlineStr">
        <is>
          <t>Vốn chủ sở hữu (VCSH)</t>
        </is>
      </c>
      <c r="B15" s="13" t="n">
        <v>24290.74</v>
      </c>
      <c r="C15" s="13" t="n">
        <v>32651.042</v>
      </c>
      <c r="D15" s="13" t="n">
        <v>37939.587</v>
      </c>
      <c r="E15" s="13" t="n">
        <v>41861.809</v>
      </c>
      <c r="F15" s="13" t="n">
        <v>46904.739</v>
      </c>
      <c r="G15" s="10" t="n"/>
      <c r="H15" s="10" t="n"/>
      <c r="I15" s="10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9" t="inlineStr">
        <is>
          <t>Quỳ</t>
        </is>
      </c>
      <c r="B1" s="9" t="inlineStr">
        <is>
          <t>P/E (x)</t>
        </is>
      </c>
      <c r="C1" s="9" t="inlineStr">
        <is>
          <t>P/B (x)</t>
        </is>
      </c>
      <c r="D1" s="9" t="inlineStr">
        <is>
          <t>EV/EBITDA (x)</t>
        </is>
      </c>
      <c r="E1" s="9" t="inlineStr">
        <is>
          <t>Giá</t>
        </is>
      </c>
    </row>
    <row r="2">
      <c r="A2" s="10" t="inlineStr">
        <is>
          <t>Q2/18</t>
        </is>
      </c>
      <c r="B2" s="13" t="n">
        <v>10.8404066634</v>
      </c>
      <c r="C2" s="13" t="n">
        <v>1.7099060254</v>
      </c>
      <c r="D2" s="10" t="n"/>
      <c r="E2" s="10" t="n"/>
    </row>
    <row r="3">
      <c r="A3" s="10" t="inlineStr">
        <is>
          <t>Q3/18</t>
        </is>
      </c>
      <c r="B3" s="13" t="n">
        <v>8.609753763400001</v>
      </c>
      <c r="C3" s="13" t="n">
        <v>1.5164805477</v>
      </c>
      <c r="D3" s="10" t="n"/>
      <c r="E3" s="10" t="n"/>
    </row>
    <row r="4">
      <c r="A4" s="10" t="inlineStr">
        <is>
          <t>Q4/18</t>
        </is>
      </c>
      <c r="B4" s="13" t="n">
        <v>6.7369145928</v>
      </c>
      <c r="C4" s="13" t="n">
        <v>1.327130287</v>
      </c>
      <c r="D4" s="10" t="n"/>
      <c r="E4" s="10" t="n"/>
    </row>
    <row r="5">
      <c r="A5" s="10" t="inlineStr">
        <is>
          <t>Q1/19</t>
        </is>
      </c>
      <c r="B5" s="13" t="n">
        <v>6.7946987686</v>
      </c>
      <c r="C5" s="13" t="n">
        <v>1.3404628245</v>
      </c>
      <c r="D5" s="10" t="n"/>
      <c r="E5" s="10" t="n"/>
    </row>
    <row r="6">
      <c r="A6" s="10" t="inlineStr">
        <is>
          <t>Q2/19</t>
        </is>
      </c>
      <c r="B6" s="13" t="n">
        <v>5.6456248765</v>
      </c>
      <c r="C6" s="13" t="n">
        <v>1.2713374958</v>
      </c>
      <c r="D6" s="10" t="n"/>
      <c r="E6" s="10" t="n"/>
    </row>
    <row r="7">
      <c r="A7" s="10" t="inlineStr">
        <is>
          <t>Q3/19</t>
        </is>
      </c>
      <c r="B7" s="13" t="n">
        <v>5.9902457908</v>
      </c>
      <c r="C7" s="13" t="n">
        <v>1.445698406</v>
      </c>
      <c r="D7" s="10" t="n"/>
      <c r="E7" s="10" t="n"/>
    </row>
    <row r="8">
      <c r="A8" s="10" t="inlineStr">
        <is>
          <t>Q4/19</t>
        </is>
      </c>
      <c r="B8" s="13" t="n">
        <v>5.0097999806</v>
      </c>
      <c r="C8" s="13" t="n">
        <v>1.295482365</v>
      </c>
      <c r="D8" s="10" t="n"/>
      <c r="E8" s="10" t="n"/>
    </row>
    <row r="9">
      <c r="A9" s="10" t="inlineStr">
        <is>
          <t>Q1/20</t>
        </is>
      </c>
      <c r="B9" s="13" t="n">
        <v>4.2397969301</v>
      </c>
      <c r="C9" s="13" t="n">
        <v>1.0312172904</v>
      </c>
      <c r="D9" s="10" t="n"/>
      <c r="E9" s="10" t="n"/>
    </row>
    <row r="10">
      <c r="A10" s="10" t="inlineStr">
        <is>
          <t>Q2/20</t>
        </is>
      </c>
      <c r="B10" s="13" t="n">
        <v>5.1957877959</v>
      </c>
      <c r="C10" s="13" t="n">
        <v>1.2754079035</v>
      </c>
      <c r="D10" s="10" t="n"/>
      <c r="E10" s="10" t="n"/>
    </row>
    <row r="11">
      <c r="A11" s="10" t="inlineStr">
        <is>
          <t>Q3/20</t>
        </is>
      </c>
      <c r="B11" s="13" t="n">
        <v>8.3521689341</v>
      </c>
      <c r="C11" s="13" t="n">
        <v>2.0286368471</v>
      </c>
      <c r="D11" s="10" t="n"/>
      <c r="E11" s="10" t="n"/>
    </row>
    <row r="12">
      <c r="A12" s="10" t="inlineStr">
        <is>
          <t>Q4/20</t>
        </is>
      </c>
      <c r="B12" s="13" t="n">
        <v>9.1080981078</v>
      </c>
      <c r="C12" s="13" t="n">
        <v>2.2855458137</v>
      </c>
      <c r="D12" s="10" t="n"/>
      <c r="E12" s="10" t="n"/>
    </row>
    <row r="13">
      <c r="A13" s="10" t="inlineStr">
        <is>
          <t>Q1/21</t>
        </is>
      </c>
      <c r="B13" s="13" t="n">
        <v>13.0956663006</v>
      </c>
      <c r="C13" s="13" t="n">
        <v>3.382390309</v>
      </c>
      <c r="D13" s="10" t="n"/>
      <c r="E13" s="10" t="n"/>
    </row>
    <row r="14">
      <c r="A14" s="10" t="inlineStr">
        <is>
          <t>Q2/21</t>
        </is>
      </c>
      <c r="B14" s="13" t="n">
        <v>14.6204119762</v>
      </c>
      <c r="C14" s="13" t="n">
        <v>3.9540347287</v>
      </c>
      <c r="D14" s="10" t="n"/>
      <c r="E14" s="10" t="n"/>
    </row>
    <row r="15">
      <c r="A15" s="10" t="inlineStr">
        <is>
          <t>Q3/21</t>
        </is>
      </c>
      <c r="B15" s="13" t="n">
        <v>11.8410566023</v>
      </c>
      <c r="C15" s="13" t="n">
        <v>3.04200176</v>
      </c>
      <c r="D15" s="10" t="n"/>
      <c r="E15" s="10" t="n"/>
    </row>
    <row r="16">
      <c r="A16" s="10" t="inlineStr">
        <is>
          <t>Q4/21</t>
        </is>
      </c>
      <c r="B16" s="13" t="n">
        <v>10.0316192382</v>
      </c>
      <c r="C16" s="13" t="n">
        <v>2.6471042014</v>
      </c>
      <c r="D16" s="10" t="n"/>
      <c r="E16" s="10" t="n"/>
    </row>
    <row r="17">
      <c r="A17" s="10" t="inlineStr">
        <is>
          <t>Q1/22</t>
        </is>
      </c>
      <c r="B17" s="13" t="n">
        <v>7.5122704978</v>
      </c>
      <c r="C17" s="13" t="n">
        <v>1.9689948548</v>
      </c>
      <c r="D17" s="10" t="n"/>
      <c r="E17" s="10" t="n"/>
    </row>
    <row r="18">
      <c r="A18" s="10" t="inlineStr">
        <is>
          <t>Q2/22</t>
        </is>
      </c>
      <c r="B18" s="13" t="n">
        <v>5.6887744772</v>
      </c>
      <c r="C18" s="13" t="n">
        <v>1.4697924308</v>
      </c>
      <c r="D18" s="10" t="n"/>
      <c r="E18" s="10" t="n"/>
    </row>
    <row r="19">
      <c r="A19" s="10" t="inlineStr">
        <is>
          <t>Q3/22</t>
        </is>
      </c>
      <c r="B19" s="13" t="n">
        <v>5.5206208614</v>
      </c>
      <c r="C19" s="13" t="n">
        <v>1.5248567286</v>
      </c>
      <c r="D19" s="10" t="n"/>
      <c r="E19" s="10" t="n"/>
    </row>
    <row r="20">
      <c r="A20" s="10" t="inlineStr">
        <is>
          <t>Q4/22</t>
        </is>
      </c>
      <c r="B20" s="13" t="n">
        <v>5.1658114065</v>
      </c>
      <c r="C20" s="13" t="n">
        <v>1.342670695</v>
      </c>
      <c r="D20" s="10" t="n"/>
      <c r="E20" s="10" t="n"/>
    </row>
    <row r="21">
      <c r="A21" s="10" t="inlineStr">
        <is>
          <t>Q1/23</t>
        </is>
      </c>
      <c r="B21" s="13" t="n">
        <v>5.772929156</v>
      </c>
      <c r="C21" s="13" t="n">
        <v>1.5655259495</v>
      </c>
      <c r="D21" s="10" t="n"/>
      <c r="E21" s="10" t="n"/>
    </row>
    <row r="22">
      <c r="A22" s="10" t="inlineStr">
        <is>
          <t>Q2/23</t>
        </is>
      </c>
      <c r="B22" s="13" t="n">
        <v>5.5443837974</v>
      </c>
      <c r="C22" s="13" t="n">
        <v>1.4700234275</v>
      </c>
      <c r="D22" s="10" t="n"/>
      <c r="E22" s="10" t="n"/>
    </row>
    <row r="23">
      <c r="A23" s="10" t="inlineStr">
        <is>
          <t>Q3/23</t>
        </is>
      </c>
      <c r="B23" s="13" t="n">
        <v>6.0018846541</v>
      </c>
      <c r="C23" s="13" t="n">
        <v>1.4816914574</v>
      </c>
      <c r="D23" s="10" t="n"/>
      <c r="E23" s="10" t="n"/>
    </row>
    <row r="24">
      <c r="A24" s="10" t="inlineStr">
        <is>
          <t>Q4/23</t>
        </is>
      </c>
      <c r="B24" s="13" t="n">
        <v>6.9812717748</v>
      </c>
      <c r="C24" s="13" t="n">
        <v>1.5779997237</v>
      </c>
      <c r="D24" s="10" t="n"/>
      <c r="E24" s="10" t="n"/>
    </row>
    <row r="25">
      <c r="A25" s="10" t="inlineStr">
        <is>
          <t>Q1/24</t>
        </is>
      </c>
      <c r="B25" s="13" t="n">
        <v>6.4216107143</v>
      </c>
      <c r="C25" s="13" t="n">
        <v>1.4065594356</v>
      </c>
      <c r="D25" s="10" t="n"/>
      <c r="E25" s="10" t="n"/>
    </row>
    <row r="26">
      <c r="A26" s="10" t="inlineStr">
        <is>
          <t>Q2/24</t>
        </is>
      </c>
      <c r="B26" s="13" t="n">
        <v>7.334694021</v>
      </c>
      <c r="C26" s="13" t="n">
        <v>1.479837028</v>
      </c>
      <c r="D26" s="10" t="n"/>
      <c r="E26" s="10" t="n"/>
    </row>
    <row r="27">
      <c r="A27" s="10" t="inlineStr">
        <is>
          <t>Q3/24</t>
        </is>
      </c>
      <c r="B27" s="13" t="n">
        <v>8.016820840999999</v>
      </c>
      <c r="C27" s="13" t="n">
        <v>1.4469720249</v>
      </c>
      <c r="D27" s="10" t="n"/>
      <c r="E27" s="10" t="n"/>
    </row>
    <row r="28">
      <c r="A28" s="10" t="inlineStr">
        <is>
          <t>Q4/24</t>
        </is>
      </c>
      <c r="B28" s="13" t="n">
        <v>7.6111809076</v>
      </c>
      <c r="C28" s="13" t="n">
        <v>1.3130084318</v>
      </c>
      <c r="D28" s="10" t="n"/>
      <c r="E28" s="10" t="n"/>
    </row>
    <row r="29">
      <c r="A29" s="10" t="inlineStr">
        <is>
          <t>Q1/25</t>
        </is>
      </c>
      <c r="B29" s="13" t="n">
        <v>8.083099066200001</v>
      </c>
      <c r="C29" s="13" t="n">
        <v>1.3242610736</v>
      </c>
      <c r="D29" s="10" t="n"/>
      <c r="E29" s="10" t="n"/>
    </row>
    <row r="30">
      <c r="A30" s="10" t="inlineStr">
        <is>
          <t>Q2/25</t>
        </is>
      </c>
      <c r="B30" s="13" t="n">
        <v>9.0175849713</v>
      </c>
      <c r="C30" s="13" t="n">
        <v>1.5604776374</v>
      </c>
      <c r="D30" s="10" t="n"/>
      <c r="E30" s="10" t="n"/>
    </row>
    <row r="31">
      <c r="A31" s="10" t="inlineStr">
        <is>
          <t>Q3/25</t>
        </is>
      </c>
      <c r="B31" s="13" t="n">
        <v>8.1589111122</v>
      </c>
      <c r="C31" s="13" t="n">
        <v>1.3650690329</v>
      </c>
      <c r="D31" s="10" t="n"/>
      <c r="E31" s="10" t="n"/>
    </row>
    <row r="32">
      <c r="A32" s="10" t="inlineStr">
        <is>
          <t>Q4/25</t>
        </is>
      </c>
      <c r="B32" s="13" t="n">
        <v>8.0965147871</v>
      </c>
      <c r="C32" s="13" t="n">
        <v>1.2591371432</v>
      </c>
      <c r="D32" s="10" t="n"/>
      <c r="E32" s="10" t="n"/>
    </row>
    <row r="33">
      <c r="A33" s="10" t="inlineStr">
        <is>
          <t>Q1/26</t>
        </is>
      </c>
      <c r="B33" s="13" t="n">
        <v>5.753985055155246</v>
      </c>
      <c r="C33" s="13" t="n">
        <v>0.97375737778909</v>
      </c>
      <c r="D33" s="10" t="n"/>
      <c r="E33" s="10" t="n"/>
    </row>
    <row r="35">
      <c r="A35" s="25" t="inlineStr">
        <is>
          <t>MEDIAN ALL-TIME</t>
        </is>
      </c>
      <c r="B35" s="26" t="n">
        <v>7.472937464299999</v>
      </c>
      <c r="C35" s="27" t="n">
        <v>1.42676573025</v>
      </c>
      <c r="D35" s="28" t="n"/>
      <c r="E35" s="28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2026-06-29T08:53:36Z</dcterms:created>
  <dcterms:modified xmlns:dcterms="http://purl.org/dc/terms/" xmlns:xsi="http://www.w3.org/2001/XMLSchema-instance" xsi:type="dcterms:W3CDTF">2026-06-29T08:53:36Z</dcterms:modified>
</cp:coreProperties>
</file>