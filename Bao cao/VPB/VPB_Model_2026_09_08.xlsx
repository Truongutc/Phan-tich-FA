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  <sheet xmlns:r="http://schemas.openxmlformats.org/officeDocument/2006/relationships" name="16_ALM_LaiSuat_ThanhKhoa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  <font>
      <name val="Calibri"/>
      <b val="1"/>
      <sz val="13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9" fillId="0" borderId="0" pivotButton="0" quotePrefix="0" xfId="0"/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5" fillId="5" borderId="1" pivotButton="0" quotePrefix="0" xfId="0"/>
    <xf numFmtId="10" fontId="15" fillId="5" borderId="1" pivotButton="0" quotePrefix="0" xfId="0"/>
    <xf numFmtId="2" fontId="15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  <xf numFmtId="0" fontId="16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VPB</t>
        </is>
      </c>
      <c r="C4" s="1" t="inlineStr">
        <is>
          <t>Tỷ suất sinh lời VPB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2024-08-30</t>
        </is>
      </c>
      <c r="B5" t="n">
        <v>18125</v>
      </c>
      <c r="D5" t="n">
        <v>1283.87</v>
      </c>
    </row>
    <row r="6">
      <c r="A6" t="inlineStr">
        <is>
          <t>2024-09-04</t>
        </is>
      </c>
      <c r="B6" t="n">
        <v>17695</v>
      </c>
      <c r="C6" s="4">
        <f>(B6-B5)/B5</f>
        <v/>
      </c>
      <c r="D6" t="n">
        <v>1275.8</v>
      </c>
      <c r="E6" s="4">
        <f>(D6-D5)/D5</f>
        <v/>
      </c>
    </row>
    <row r="7">
      <c r="A7" t="inlineStr">
        <is>
          <t>2024-09-05</t>
        </is>
      </c>
      <c r="B7" t="n">
        <v>17503</v>
      </c>
      <c r="C7" s="4">
        <f>(B7-B6)/B6</f>
        <v/>
      </c>
      <c r="D7" t="n">
        <v>1268.21</v>
      </c>
      <c r="E7" s="4">
        <f>(D7-D6)/D6</f>
        <v/>
      </c>
    </row>
    <row r="8">
      <c r="A8" t="inlineStr">
        <is>
          <t>2024-09-06</t>
        </is>
      </c>
      <c r="B8" t="n">
        <v>17647</v>
      </c>
      <c r="C8" s="4">
        <f>(B8-B7)/B7</f>
        <v/>
      </c>
      <c r="D8" t="n">
        <v>1273.96</v>
      </c>
      <c r="E8" s="4">
        <f>(D8-D7)/D7</f>
        <v/>
      </c>
    </row>
    <row r="9">
      <c r="A9" t="inlineStr">
        <is>
          <t>2024-09-09</t>
        </is>
      </c>
      <c r="B9" t="n">
        <v>17551</v>
      </c>
      <c r="C9" s="4">
        <f>(B9-B8)/B8</f>
        <v/>
      </c>
      <c r="D9" t="n">
        <v>1267.73</v>
      </c>
      <c r="E9" s="4">
        <f>(D9-D8)/D8</f>
        <v/>
      </c>
    </row>
    <row r="10">
      <c r="A10" t="inlineStr">
        <is>
          <t>2024-09-10</t>
        </is>
      </c>
      <c r="B10" t="n">
        <v>17360</v>
      </c>
      <c r="C10" s="4">
        <f>(B10-B9)/B9</f>
        <v/>
      </c>
      <c r="D10" t="n">
        <v>1255.23</v>
      </c>
      <c r="E10" s="4">
        <f>(D10-D9)/D9</f>
        <v/>
      </c>
    </row>
    <row r="11">
      <c r="A11" t="inlineStr">
        <is>
          <t>2024-09-11</t>
        </is>
      </c>
      <c r="B11" t="n">
        <v>17455</v>
      </c>
      <c r="C11" s="4">
        <f>(B11-B10)/B10</f>
        <v/>
      </c>
      <c r="D11" t="n">
        <v>1253.27</v>
      </c>
      <c r="E11" s="4">
        <f>(D11-D10)/D10</f>
        <v/>
      </c>
    </row>
    <row r="12">
      <c r="A12" t="inlineStr">
        <is>
          <t>2024-09-12</t>
        </is>
      </c>
      <c r="B12" t="n">
        <v>17695</v>
      </c>
      <c r="C12" s="4">
        <f>(B12-B11)/B11</f>
        <v/>
      </c>
      <c r="D12" t="n">
        <v>1256.35</v>
      </c>
      <c r="E12" s="4">
        <f>(D12-D11)/D11</f>
        <v/>
      </c>
    </row>
    <row r="13">
      <c r="A13" t="inlineStr">
        <is>
          <t>2024-09-13</t>
        </is>
      </c>
      <c r="B13" t="n">
        <v>17647</v>
      </c>
      <c r="C13" s="4">
        <f>(B13-B12)/B12</f>
        <v/>
      </c>
      <c r="D13" t="n">
        <v>1251.71</v>
      </c>
      <c r="E13" s="4">
        <f>(D13-D12)/D12</f>
        <v/>
      </c>
    </row>
    <row r="14">
      <c r="A14" t="inlineStr">
        <is>
          <t>2024-09-16</t>
        </is>
      </c>
      <c r="B14" t="n">
        <v>17551</v>
      </c>
      <c r="C14" s="4">
        <f>(B14-B13)/B13</f>
        <v/>
      </c>
      <c r="D14" t="n">
        <v>1239.26</v>
      </c>
      <c r="E14" s="4">
        <f>(D14-D13)/D13</f>
        <v/>
      </c>
    </row>
    <row r="15">
      <c r="A15" t="inlineStr">
        <is>
          <t>2024-09-17</t>
        </is>
      </c>
      <c r="B15" t="n">
        <v>17838</v>
      </c>
      <c r="C15" s="4">
        <f>(B15-B14)/B14</f>
        <v/>
      </c>
      <c r="D15" t="n">
        <v>1258.95</v>
      </c>
      <c r="E15" s="4">
        <f>(D15-D14)/D14</f>
        <v/>
      </c>
    </row>
    <row r="16">
      <c r="A16" t="inlineStr">
        <is>
          <t>2024-09-18</t>
        </is>
      </c>
      <c r="B16" t="n">
        <v>17838</v>
      </c>
      <c r="C16" s="4">
        <f>(B16-B15)/B15</f>
        <v/>
      </c>
      <c r="D16" t="n">
        <v>1264.9</v>
      </c>
      <c r="E16" s="4">
        <f>(D16-D15)/D15</f>
        <v/>
      </c>
    </row>
    <row r="17">
      <c r="A17" t="inlineStr">
        <is>
          <t>2024-09-19</t>
        </is>
      </c>
      <c r="B17" t="n">
        <v>17934</v>
      </c>
      <c r="C17" s="4">
        <f>(B17-B16)/B16</f>
        <v/>
      </c>
      <c r="D17" t="n">
        <v>1271.27</v>
      </c>
      <c r="E17" s="4">
        <f>(D17-D16)/D16</f>
        <v/>
      </c>
    </row>
    <row r="18">
      <c r="A18" t="inlineStr">
        <is>
          <t>2024-09-20</t>
        </is>
      </c>
      <c r="B18" t="n">
        <v>18125</v>
      </c>
      <c r="C18" s="4">
        <f>(B18-B17)/B17</f>
        <v/>
      </c>
      <c r="D18" t="n">
        <v>1272.04</v>
      </c>
      <c r="E18" s="4">
        <f>(D18-D17)/D17</f>
        <v/>
      </c>
    </row>
    <row r="19">
      <c r="A19" t="inlineStr">
        <is>
          <t>2024-09-23</t>
        </is>
      </c>
      <c r="B19" t="n">
        <v>18173</v>
      </c>
      <c r="C19" s="4">
        <f>(B19-B18)/B18</f>
        <v/>
      </c>
      <c r="D19" t="n">
        <v>1268.48</v>
      </c>
      <c r="E19" s="4">
        <f>(D19-D18)/D18</f>
        <v/>
      </c>
    </row>
    <row r="20">
      <c r="A20" t="inlineStr">
        <is>
          <t>2024-09-24</t>
        </is>
      </c>
      <c r="B20" t="n">
        <v>18364</v>
      </c>
      <c r="C20" s="4">
        <f>(B20-B19)/B19</f>
        <v/>
      </c>
      <c r="D20" t="n">
        <v>1276.99</v>
      </c>
      <c r="E20" s="4">
        <f>(D20-D19)/D19</f>
        <v/>
      </c>
    </row>
    <row r="21">
      <c r="A21" t="inlineStr">
        <is>
          <t>2024-09-25</t>
        </is>
      </c>
      <c r="B21" t="n">
        <v>18603</v>
      </c>
      <c r="C21" s="4">
        <f>(B21-B20)/B20</f>
        <v/>
      </c>
      <c r="D21" t="n">
        <v>1287.48</v>
      </c>
      <c r="E21" s="4">
        <f>(D21-D20)/D20</f>
        <v/>
      </c>
    </row>
    <row r="22">
      <c r="A22" t="inlineStr">
        <is>
          <t>2024-09-26</t>
        </is>
      </c>
      <c r="B22" t="n">
        <v>18747</v>
      </c>
      <c r="C22" s="4">
        <f>(B22-B21)/B21</f>
        <v/>
      </c>
      <c r="D22" t="n">
        <v>1291.49</v>
      </c>
      <c r="E22" s="4">
        <f>(D22-D21)/D21</f>
        <v/>
      </c>
    </row>
    <row r="23">
      <c r="A23" t="inlineStr">
        <is>
          <t>2024-09-27</t>
        </is>
      </c>
      <c r="B23" t="n">
        <v>18890</v>
      </c>
      <c r="C23" s="4">
        <f>(B23-B22)/B22</f>
        <v/>
      </c>
      <c r="D23" t="n">
        <v>1290.92</v>
      </c>
      <c r="E23" s="4">
        <f>(D23-D22)/D22</f>
        <v/>
      </c>
    </row>
    <row r="24">
      <c r="A24" t="inlineStr">
        <is>
          <t>2024-09-30</t>
        </is>
      </c>
      <c r="B24" t="n">
        <v>19225</v>
      </c>
      <c r="C24" s="4">
        <f>(B24-B23)/B23</f>
        <v/>
      </c>
      <c r="D24" t="n">
        <v>1287.94</v>
      </c>
      <c r="E24" s="4">
        <f>(D24-D23)/D23</f>
        <v/>
      </c>
    </row>
    <row r="25">
      <c r="A25" t="inlineStr">
        <is>
          <t>2024-10-01</t>
        </is>
      </c>
      <c r="B25" t="n">
        <v>19034</v>
      </c>
      <c r="C25" s="4">
        <f>(B25-B24)/B24</f>
        <v/>
      </c>
      <c r="D25" t="n">
        <v>1292.2</v>
      </c>
      <c r="E25" s="4">
        <f>(D25-D24)/D24</f>
        <v/>
      </c>
    </row>
    <row r="26">
      <c r="A26" t="inlineStr">
        <is>
          <t>2024-10-02</t>
        </is>
      </c>
      <c r="B26" t="n">
        <v>18842</v>
      </c>
      <c r="C26" s="4">
        <f>(B26-B25)/B25</f>
        <v/>
      </c>
      <c r="D26" t="n">
        <v>1287.84</v>
      </c>
      <c r="E26" s="4">
        <f>(D26-D25)/D25</f>
        <v/>
      </c>
    </row>
    <row r="27">
      <c r="A27" t="inlineStr">
        <is>
          <t>2024-10-03</t>
        </is>
      </c>
      <c r="B27" t="n">
        <v>19129</v>
      </c>
      <c r="C27" s="4">
        <f>(B27-B26)/B26</f>
        <v/>
      </c>
      <c r="D27" t="n">
        <v>1278.1</v>
      </c>
      <c r="E27" s="4">
        <f>(D27-D26)/D26</f>
        <v/>
      </c>
    </row>
    <row r="28">
      <c r="A28" t="inlineStr">
        <is>
          <t>2024-10-04</t>
        </is>
      </c>
      <c r="B28" t="n">
        <v>19129</v>
      </c>
      <c r="C28" s="4">
        <f>(B28-B27)/B27</f>
        <v/>
      </c>
      <c r="D28" t="n">
        <v>1270.6</v>
      </c>
      <c r="E28" s="4">
        <f>(D28-D27)/D27</f>
        <v/>
      </c>
    </row>
    <row r="29">
      <c r="A29" t="inlineStr">
        <is>
          <t>2024-10-07</t>
        </is>
      </c>
      <c r="B29" t="n">
        <v>19129</v>
      </c>
      <c r="C29" s="4">
        <f>(B29-B28)/B28</f>
        <v/>
      </c>
      <c r="D29" t="n">
        <v>1269.93</v>
      </c>
      <c r="E29" s="4">
        <f>(D29-D28)/D28</f>
        <v/>
      </c>
    </row>
    <row r="30">
      <c r="A30" t="inlineStr">
        <is>
          <t>2024-10-08</t>
        </is>
      </c>
      <c r="B30" t="n">
        <v>19225</v>
      </c>
      <c r="C30" s="4">
        <f>(B30-B29)/B29</f>
        <v/>
      </c>
      <c r="D30" t="n">
        <v>1271.98</v>
      </c>
      <c r="E30" s="4">
        <f>(D30-D29)/D29</f>
        <v/>
      </c>
    </row>
    <row r="31">
      <c r="A31" t="inlineStr">
        <is>
          <t>2024-10-09</t>
        </is>
      </c>
      <c r="B31" t="n">
        <v>19368</v>
      </c>
      <c r="C31" s="4">
        <f>(B31-B30)/B30</f>
        <v/>
      </c>
      <c r="D31" t="n">
        <v>1281.85</v>
      </c>
      <c r="E31" s="4">
        <f>(D31-D30)/D30</f>
        <v/>
      </c>
    </row>
    <row r="32">
      <c r="A32" t="inlineStr">
        <is>
          <t>2024-10-10</t>
        </is>
      </c>
      <c r="B32" t="n">
        <v>19655</v>
      </c>
      <c r="C32" s="4">
        <f>(B32-B31)/B31</f>
        <v/>
      </c>
      <c r="D32" t="n">
        <v>1286.36</v>
      </c>
      <c r="E32" s="4">
        <f>(D32-D31)/D31</f>
        <v/>
      </c>
    </row>
    <row r="33">
      <c r="A33" t="inlineStr">
        <is>
          <t>2024-10-11</t>
        </is>
      </c>
      <c r="B33" t="n">
        <v>19799</v>
      </c>
      <c r="C33" s="4">
        <f>(B33-B32)/B32</f>
        <v/>
      </c>
      <c r="D33" t="n">
        <v>1288.39</v>
      </c>
      <c r="E33" s="4">
        <f>(D33-D32)/D32</f>
        <v/>
      </c>
    </row>
    <row r="34">
      <c r="A34" t="inlineStr">
        <is>
          <t>2024-10-14</t>
        </is>
      </c>
      <c r="B34" t="n">
        <v>19751</v>
      </c>
      <c r="C34" s="4">
        <f>(B34-B33)/B33</f>
        <v/>
      </c>
      <c r="D34" t="n">
        <v>1286.34</v>
      </c>
      <c r="E34" s="4">
        <f>(D34-D33)/D33</f>
        <v/>
      </c>
    </row>
    <row r="35">
      <c r="A35" t="inlineStr">
        <is>
          <t>2024-10-15</t>
        </is>
      </c>
      <c r="B35" t="n">
        <v>19942</v>
      </c>
      <c r="C35" s="4">
        <f>(B35-B34)/B34</f>
        <v/>
      </c>
      <c r="D35" t="n">
        <v>1281.08</v>
      </c>
      <c r="E35" s="4">
        <f>(D35-D34)/D34</f>
        <v/>
      </c>
    </row>
    <row r="36">
      <c r="A36" t="inlineStr">
        <is>
          <t>2024-10-16</t>
        </is>
      </c>
      <c r="B36" t="n">
        <v>19942</v>
      </c>
      <c r="C36" s="4">
        <f>(B36-B35)/B35</f>
        <v/>
      </c>
      <c r="D36" t="n">
        <v>1279.48</v>
      </c>
      <c r="E36" s="4">
        <f>(D36-D35)/D35</f>
        <v/>
      </c>
    </row>
    <row r="37">
      <c r="A37" t="inlineStr">
        <is>
          <t>2024-10-17</t>
        </is>
      </c>
      <c r="B37" t="n">
        <v>19990</v>
      </c>
      <c r="C37" s="4">
        <f>(B37-B36)/B36</f>
        <v/>
      </c>
      <c r="D37" t="n">
        <v>1286.52</v>
      </c>
      <c r="E37" s="4">
        <f>(D37-D36)/D36</f>
        <v/>
      </c>
    </row>
    <row r="38">
      <c r="A38" t="inlineStr">
        <is>
          <t>2024-10-18</t>
        </is>
      </c>
      <c r="B38" t="n">
        <v>19655</v>
      </c>
      <c r="C38" s="4">
        <f>(B38-B37)/B37</f>
        <v/>
      </c>
      <c r="D38" t="n">
        <v>1285.46</v>
      </c>
      <c r="E38" s="4">
        <f>(D38-D37)/D37</f>
        <v/>
      </c>
    </row>
    <row r="39">
      <c r="A39" t="inlineStr">
        <is>
          <t>2024-10-21</t>
        </is>
      </c>
      <c r="B39" t="n">
        <v>19751</v>
      </c>
      <c r="C39" s="4">
        <f>(B39-B38)/B38</f>
        <v/>
      </c>
      <c r="D39" t="n">
        <v>1279.77</v>
      </c>
      <c r="E39" s="4">
        <f>(D39-D38)/D38</f>
        <v/>
      </c>
    </row>
    <row r="40">
      <c r="A40" t="inlineStr">
        <is>
          <t>2024-10-22</t>
        </is>
      </c>
      <c r="B40" t="n">
        <v>19703</v>
      </c>
      <c r="C40" s="4">
        <f>(B40-B39)/B39</f>
        <v/>
      </c>
      <c r="D40" t="n">
        <v>1269.89</v>
      </c>
      <c r="E40" s="4">
        <f>(D40-D39)/D39</f>
        <v/>
      </c>
    </row>
    <row r="41">
      <c r="A41" t="inlineStr">
        <is>
          <t>2024-10-23</t>
        </is>
      </c>
      <c r="B41" t="n">
        <v>19560</v>
      </c>
      <c r="C41" s="4">
        <f>(B41-B40)/B40</f>
        <v/>
      </c>
      <c r="D41" t="n">
        <v>1270.9</v>
      </c>
      <c r="E41" s="4">
        <f>(D41-D40)/D40</f>
        <v/>
      </c>
    </row>
    <row r="42">
      <c r="A42" t="inlineStr">
        <is>
          <t>2024-10-24</t>
        </is>
      </c>
      <c r="B42" t="n">
        <v>19129</v>
      </c>
      <c r="C42" s="4">
        <f>(B42-B41)/B41</f>
        <v/>
      </c>
      <c r="D42" t="n">
        <v>1257.41</v>
      </c>
      <c r="E42" s="4">
        <f>(D42-D41)/D41</f>
        <v/>
      </c>
    </row>
    <row r="43">
      <c r="A43" t="inlineStr">
        <is>
          <t>2024-10-25</t>
        </is>
      </c>
      <c r="B43" t="n">
        <v>19225</v>
      </c>
      <c r="C43" s="4">
        <f>(B43-B42)/B42</f>
        <v/>
      </c>
      <c r="D43" t="n">
        <v>1252.72</v>
      </c>
      <c r="E43" s="4">
        <f>(D43-D42)/D42</f>
        <v/>
      </c>
    </row>
    <row r="44">
      <c r="A44" t="inlineStr">
        <is>
          <t>2024-10-28</t>
        </is>
      </c>
      <c r="B44" t="n">
        <v>19225</v>
      </c>
      <c r="C44" s="4">
        <f>(B44-B43)/B43</f>
        <v/>
      </c>
      <c r="D44" t="n">
        <v>1254.77</v>
      </c>
      <c r="E44" s="4">
        <f>(D44-D43)/D43</f>
        <v/>
      </c>
    </row>
    <row r="45">
      <c r="A45" t="inlineStr">
        <is>
          <t>2024-10-29</t>
        </is>
      </c>
      <c r="B45" t="n">
        <v>19368</v>
      </c>
      <c r="C45" s="4">
        <f>(B45-B44)/B44</f>
        <v/>
      </c>
      <c r="D45" t="n">
        <v>1261.78</v>
      </c>
      <c r="E45" s="4">
        <f>(D45-D44)/D44</f>
        <v/>
      </c>
    </row>
    <row r="46">
      <c r="A46" t="inlineStr">
        <is>
          <t>2024-10-30</t>
        </is>
      </c>
      <c r="B46" t="n">
        <v>19368</v>
      </c>
      <c r="C46" s="4">
        <f>(B46-B45)/B45</f>
        <v/>
      </c>
      <c r="D46" t="n">
        <v>1258.63</v>
      </c>
      <c r="E46" s="4">
        <f>(D46-D45)/D45</f>
        <v/>
      </c>
    </row>
    <row r="47">
      <c r="A47" t="inlineStr">
        <is>
          <t>2024-10-31</t>
        </is>
      </c>
      <c r="B47" t="n">
        <v>19560</v>
      </c>
      <c r="C47" s="4">
        <f>(B47-B46)/B46</f>
        <v/>
      </c>
      <c r="D47" t="n">
        <v>1264.48</v>
      </c>
      <c r="E47" s="4">
        <f>(D47-D46)/D46</f>
        <v/>
      </c>
    </row>
    <row r="48">
      <c r="A48" t="inlineStr">
        <is>
          <t>2024-11-01</t>
        </is>
      </c>
      <c r="B48" t="n">
        <v>19273</v>
      </c>
      <c r="C48" s="4">
        <f>(B48-B47)/B47</f>
        <v/>
      </c>
      <c r="D48" t="n">
        <v>1254.89</v>
      </c>
      <c r="E48" s="4">
        <f>(D48-D47)/D47</f>
        <v/>
      </c>
    </row>
    <row r="49">
      <c r="A49" t="inlineStr">
        <is>
          <t>2024-11-04</t>
        </is>
      </c>
      <c r="B49" t="n">
        <v>18842</v>
      </c>
      <c r="C49" s="4">
        <f>(B49-B48)/B48</f>
        <v/>
      </c>
      <c r="D49" t="n">
        <v>1244.71</v>
      </c>
      <c r="E49" s="4">
        <f>(D49-D48)/D48</f>
        <v/>
      </c>
    </row>
    <row r="50">
      <c r="A50" t="inlineStr">
        <is>
          <t>2024-11-05</t>
        </is>
      </c>
      <c r="B50" t="n">
        <v>18842</v>
      </c>
      <c r="C50" s="4">
        <f>(B50-B49)/B49</f>
        <v/>
      </c>
      <c r="D50" t="n">
        <v>1245.76</v>
      </c>
      <c r="E50" s="4">
        <f>(D50-D49)/D49</f>
        <v/>
      </c>
    </row>
    <row r="51">
      <c r="A51" t="inlineStr">
        <is>
          <t>2024-11-06</t>
        </is>
      </c>
      <c r="B51" t="n">
        <v>18986</v>
      </c>
      <c r="C51" s="4">
        <f>(B51-B50)/B50</f>
        <v/>
      </c>
      <c r="D51" t="n">
        <v>1261.28</v>
      </c>
      <c r="E51" s="4">
        <f>(D51-D50)/D50</f>
        <v/>
      </c>
    </row>
    <row r="52">
      <c r="A52" t="inlineStr">
        <is>
          <t>2024-11-07</t>
        </is>
      </c>
      <c r="B52" t="n">
        <v>18842</v>
      </c>
      <c r="C52" s="4">
        <f>(B52-B51)/B51</f>
        <v/>
      </c>
      <c r="D52" t="n">
        <v>1259.75</v>
      </c>
      <c r="E52" s="4">
        <f>(D52-D51)/D51</f>
        <v/>
      </c>
    </row>
    <row r="53">
      <c r="A53" t="inlineStr">
        <is>
          <t>2024-11-08</t>
        </is>
      </c>
      <c r="B53" t="n">
        <v>18651</v>
      </c>
      <c r="C53" s="4">
        <f>(B53-B52)/B52</f>
        <v/>
      </c>
      <c r="D53" t="n">
        <v>1252.56</v>
      </c>
      <c r="E53" s="4">
        <f>(D53-D52)/D52</f>
        <v/>
      </c>
    </row>
    <row r="54">
      <c r="A54" t="inlineStr">
        <is>
          <t>2024-11-11</t>
        </is>
      </c>
      <c r="B54" t="n">
        <v>18364</v>
      </c>
      <c r="C54" s="4">
        <f>(B54-B53)/B53</f>
        <v/>
      </c>
      <c r="D54" t="n">
        <v>1250.32</v>
      </c>
      <c r="E54" s="4">
        <f>(D54-D53)/D53</f>
        <v/>
      </c>
    </row>
    <row r="55">
      <c r="A55" t="inlineStr">
        <is>
          <t>2024-11-12</t>
        </is>
      </c>
      <c r="B55" t="n">
        <v>18268</v>
      </c>
      <c r="C55" s="4">
        <f>(B55-B54)/B54</f>
        <v/>
      </c>
      <c r="D55" t="n">
        <v>1244.82</v>
      </c>
      <c r="E55" s="4">
        <f>(D55-D54)/D54</f>
        <v/>
      </c>
    </row>
    <row r="56">
      <c r="A56" t="inlineStr">
        <is>
          <t>2024-11-13</t>
        </is>
      </c>
      <c r="B56" t="n">
        <v>18508</v>
      </c>
      <c r="C56" s="4">
        <f>(B56-B55)/B55</f>
        <v/>
      </c>
      <c r="D56" t="n">
        <v>1246.04</v>
      </c>
      <c r="E56" s="4">
        <f>(D56-D55)/D55</f>
        <v/>
      </c>
    </row>
    <row r="57">
      <c r="A57" t="inlineStr">
        <is>
          <t>2024-11-14</t>
        </is>
      </c>
      <c r="B57" t="n">
        <v>18173</v>
      </c>
      <c r="C57" s="4">
        <f>(B57-B56)/B56</f>
        <v/>
      </c>
      <c r="D57" t="n">
        <v>1231.89</v>
      </c>
      <c r="E57" s="4">
        <f>(D57-D56)/D56</f>
        <v/>
      </c>
    </row>
    <row r="58">
      <c r="A58" t="inlineStr">
        <is>
          <t>2024-11-15</t>
        </is>
      </c>
      <c r="B58" t="n">
        <v>17886</v>
      </c>
      <c r="C58" s="4">
        <f>(B58-B57)/B57</f>
        <v/>
      </c>
      <c r="D58" t="n">
        <v>1218.57</v>
      </c>
      <c r="E58" s="4">
        <f>(D58-D57)/D57</f>
        <v/>
      </c>
    </row>
    <row r="59">
      <c r="A59" t="inlineStr">
        <is>
          <t>2024-11-18</t>
        </is>
      </c>
      <c r="B59" t="n">
        <v>17886</v>
      </c>
      <c r="C59" s="4">
        <f>(B59-B58)/B58</f>
        <v/>
      </c>
      <c r="D59" t="n">
        <v>1217.12</v>
      </c>
      <c r="E59" s="4">
        <f>(D59-D58)/D58</f>
        <v/>
      </c>
    </row>
    <row r="60">
      <c r="A60" t="inlineStr">
        <is>
          <t>2024-11-19</t>
        </is>
      </c>
      <c r="B60" t="n">
        <v>17695</v>
      </c>
      <c r="C60" s="4">
        <f>(B60-B59)/B59</f>
        <v/>
      </c>
      <c r="D60" t="n">
        <v>1205.15</v>
      </c>
      <c r="E60" s="4">
        <f>(D60-D59)/D59</f>
        <v/>
      </c>
    </row>
    <row r="61">
      <c r="A61" t="inlineStr">
        <is>
          <t>2024-11-20</t>
        </is>
      </c>
      <c r="B61" t="n">
        <v>17886</v>
      </c>
      <c r="C61" s="4">
        <f>(B61-B60)/B60</f>
        <v/>
      </c>
      <c r="D61" t="n">
        <v>1216.54</v>
      </c>
      <c r="E61" s="4">
        <f>(D61-D60)/D60</f>
        <v/>
      </c>
    </row>
    <row r="62">
      <c r="A62" t="inlineStr">
        <is>
          <t>2024-11-21</t>
        </is>
      </c>
      <c r="B62" t="n">
        <v>18364</v>
      </c>
      <c r="C62" s="4">
        <f>(B62-B61)/B61</f>
        <v/>
      </c>
      <c r="D62" t="n">
        <v>1228.33</v>
      </c>
      <c r="E62" s="4">
        <f>(D62-D61)/D61</f>
        <v/>
      </c>
    </row>
    <row r="63">
      <c r="A63" t="inlineStr">
        <is>
          <t>2024-11-22</t>
        </is>
      </c>
      <c r="B63" t="n">
        <v>18221</v>
      </c>
      <c r="C63" s="4">
        <f>(B63-B62)/B62</f>
        <v/>
      </c>
      <c r="D63" t="n">
        <v>1228.1</v>
      </c>
      <c r="E63" s="4">
        <f>(D63-D62)/D62</f>
        <v/>
      </c>
    </row>
    <row r="64">
      <c r="A64" t="inlineStr">
        <is>
          <t>2024-11-25</t>
        </is>
      </c>
      <c r="B64" t="n">
        <v>18221</v>
      </c>
      <c r="C64" s="4">
        <f>(B64-B63)/B63</f>
        <v/>
      </c>
      <c r="D64" t="n">
        <v>1234.7</v>
      </c>
      <c r="E64" s="4">
        <f>(D64-D63)/D63</f>
        <v/>
      </c>
    </row>
    <row r="65">
      <c r="A65" t="inlineStr">
        <is>
          <t>2024-11-26</t>
        </is>
      </c>
      <c r="B65" t="n">
        <v>18221</v>
      </c>
      <c r="C65" s="4">
        <f>(B65-B64)/B64</f>
        <v/>
      </c>
      <c r="D65" t="n">
        <v>1242.13</v>
      </c>
      <c r="E65" s="4">
        <f>(D65-D64)/D64</f>
        <v/>
      </c>
    </row>
    <row r="66">
      <c r="A66" t="inlineStr">
        <is>
          <t>2024-11-27</t>
        </is>
      </c>
      <c r="B66" t="n">
        <v>18221</v>
      </c>
      <c r="C66" s="4">
        <f>(B66-B65)/B65</f>
        <v/>
      </c>
      <c r="D66" t="n">
        <v>1241.97</v>
      </c>
      <c r="E66" s="4">
        <f>(D66-D65)/D65</f>
        <v/>
      </c>
    </row>
    <row r="67">
      <c r="A67" t="inlineStr">
        <is>
          <t>2024-11-28</t>
        </is>
      </c>
      <c r="B67" t="n">
        <v>18221</v>
      </c>
      <c r="C67" s="4">
        <f>(B67-B66)/B66</f>
        <v/>
      </c>
      <c r="D67" t="n">
        <v>1242.11</v>
      </c>
      <c r="E67" s="4">
        <f>(D67-D66)/D66</f>
        <v/>
      </c>
    </row>
    <row r="68">
      <c r="A68" t="inlineStr">
        <is>
          <t>2024-11-29</t>
        </is>
      </c>
      <c r="B68" t="n">
        <v>18316</v>
      </c>
      <c r="C68" s="4">
        <f>(B68-B67)/B67</f>
        <v/>
      </c>
      <c r="D68" t="n">
        <v>1250.46</v>
      </c>
      <c r="E68" s="4">
        <f>(D68-D67)/D67</f>
        <v/>
      </c>
    </row>
    <row r="69">
      <c r="A69" t="inlineStr">
        <is>
          <t>2024-12-02</t>
        </is>
      </c>
      <c r="B69" t="n">
        <v>18364</v>
      </c>
      <c r="C69" s="4">
        <f>(B69-B68)/B68</f>
        <v/>
      </c>
      <c r="D69" t="n">
        <v>1251.21</v>
      </c>
      <c r="E69" s="4">
        <f>(D69-D68)/D68</f>
        <v/>
      </c>
    </row>
    <row r="70">
      <c r="A70" t="inlineStr">
        <is>
          <t>2024-12-03</t>
        </is>
      </c>
      <c r="B70" t="n">
        <v>18364</v>
      </c>
      <c r="C70" s="4">
        <f>(B70-B69)/B69</f>
        <v/>
      </c>
      <c r="D70" t="n">
        <v>1249.83</v>
      </c>
      <c r="E70" s="4">
        <f>(D70-D69)/D69</f>
        <v/>
      </c>
    </row>
    <row r="71">
      <c r="A71" t="inlineStr">
        <is>
          <t>2024-12-04</t>
        </is>
      </c>
      <c r="B71" t="n">
        <v>18173</v>
      </c>
      <c r="C71" s="4">
        <f>(B71-B70)/B70</f>
        <v/>
      </c>
      <c r="D71" t="n">
        <v>1240.41</v>
      </c>
      <c r="E71" s="4">
        <f>(D71-D70)/D70</f>
        <v/>
      </c>
    </row>
    <row r="72">
      <c r="A72" t="inlineStr">
        <is>
          <t>2024-12-05</t>
        </is>
      </c>
      <c r="B72" t="n">
        <v>18651</v>
      </c>
      <c r="C72" s="4">
        <f>(B72-B71)/B71</f>
        <v/>
      </c>
      <c r="D72" t="n">
        <v>1267.53</v>
      </c>
      <c r="E72" s="4">
        <f>(D72-D71)/D71</f>
        <v/>
      </c>
    </row>
    <row r="73">
      <c r="A73" t="inlineStr">
        <is>
          <t>2024-12-06</t>
        </is>
      </c>
      <c r="B73" t="n">
        <v>18508</v>
      </c>
      <c r="C73" s="4">
        <f>(B73-B72)/B72</f>
        <v/>
      </c>
      <c r="D73" t="n">
        <v>1270.14</v>
      </c>
      <c r="E73" s="4">
        <f>(D73-D72)/D72</f>
        <v/>
      </c>
    </row>
    <row r="74">
      <c r="A74" t="inlineStr">
        <is>
          <t>2024-12-09</t>
        </is>
      </c>
      <c r="B74" t="n">
        <v>18555</v>
      </c>
      <c r="C74" s="4">
        <f>(B74-B73)/B73</f>
        <v/>
      </c>
      <c r="D74" t="n">
        <v>1273.84</v>
      </c>
      <c r="E74" s="4">
        <f>(D74-D73)/D73</f>
        <v/>
      </c>
    </row>
    <row r="75">
      <c r="A75" t="inlineStr">
        <is>
          <t>2024-12-10</t>
        </is>
      </c>
      <c r="B75" t="n">
        <v>18412</v>
      </c>
      <c r="C75" s="4">
        <f>(B75-B74)/B74</f>
        <v/>
      </c>
      <c r="D75" t="n">
        <v>1272.07</v>
      </c>
      <c r="E75" s="4">
        <f>(D75-D74)/D74</f>
        <v/>
      </c>
    </row>
    <row r="76">
      <c r="A76" t="inlineStr">
        <is>
          <t>2024-12-11</t>
        </is>
      </c>
      <c r="B76" t="n">
        <v>18412</v>
      </c>
      <c r="C76" s="4">
        <f>(B76-B75)/B75</f>
        <v/>
      </c>
      <c r="D76" t="n">
        <v>1268.86</v>
      </c>
      <c r="E76" s="4">
        <f>(D76-D75)/D75</f>
        <v/>
      </c>
    </row>
    <row r="77">
      <c r="A77" t="inlineStr">
        <is>
          <t>2024-12-12</t>
        </is>
      </c>
      <c r="B77" t="n">
        <v>18460</v>
      </c>
      <c r="C77" s="4">
        <f>(B77-B76)/B76</f>
        <v/>
      </c>
      <c r="D77" t="n">
        <v>1267.35</v>
      </c>
      <c r="E77" s="4">
        <f>(D77-D76)/D76</f>
        <v/>
      </c>
    </row>
    <row r="78">
      <c r="A78" t="inlineStr">
        <is>
          <t>2024-12-13</t>
        </is>
      </c>
      <c r="B78" t="n">
        <v>18316</v>
      </c>
      <c r="C78" s="4">
        <f>(B78-B77)/B77</f>
        <v/>
      </c>
      <c r="D78" t="n">
        <v>1262.57</v>
      </c>
      <c r="E78" s="4">
        <f>(D78-D77)/D77</f>
        <v/>
      </c>
    </row>
    <row r="79">
      <c r="A79" t="inlineStr">
        <is>
          <t>2024-12-16</t>
        </is>
      </c>
      <c r="B79" t="n">
        <v>18268</v>
      </c>
      <c r="C79" s="4">
        <f>(B79-B78)/B78</f>
        <v/>
      </c>
      <c r="D79" t="n">
        <v>1263.79</v>
      </c>
      <c r="E79" s="4">
        <f>(D79-D78)/D78</f>
        <v/>
      </c>
    </row>
    <row r="80">
      <c r="A80" t="inlineStr">
        <is>
          <t>2024-12-17</t>
        </is>
      </c>
      <c r="B80" t="n">
        <v>18125</v>
      </c>
      <c r="C80" s="4">
        <f>(B80-B79)/B79</f>
        <v/>
      </c>
      <c r="D80" t="n">
        <v>1261.72</v>
      </c>
      <c r="E80" s="4">
        <f>(D80-D79)/D79</f>
        <v/>
      </c>
    </row>
    <row r="81">
      <c r="A81" t="inlineStr">
        <is>
          <t>2024-12-18</t>
        </is>
      </c>
      <c r="B81" t="n">
        <v>18173</v>
      </c>
      <c r="C81" s="4">
        <f>(B81-B80)/B80</f>
        <v/>
      </c>
      <c r="D81" t="n">
        <v>1266</v>
      </c>
      <c r="E81" s="4">
        <f>(D81-D80)/D80</f>
        <v/>
      </c>
    </row>
    <row r="82">
      <c r="A82" t="inlineStr">
        <is>
          <t>2024-12-19</t>
        </is>
      </c>
      <c r="B82" t="n">
        <v>17982</v>
      </c>
      <c r="C82" s="4">
        <f>(B82-B81)/B81</f>
        <v/>
      </c>
      <c r="D82" t="n">
        <v>1254.67</v>
      </c>
      <c r="E82" s="4">
        <f>(D82-D81)/D81</f>
        <v/>
      </c>
    </row>
    <row r="83">
      <c r="A83" t="inlineStr">
        <is>
          <t>2024-12-20</t>
        </is>
      </c>
      <c r="B83" t="n">
        <v>18077</v>
      </c>
      <c r="C83" s="4">
        <f>(B83-B82)/B82</f>
        <v/>
      </c>
      <c r="D83" t="n">
        <v>1257.5</v>
      </c>
      <c r="E83" s="4">
        <f>(D83-D82)/D82</f>
        <v/>
      </c>
    </row>
    <row r="84">
      <c r="A84" t="inlineStr">
        <is>
          <t>2024-12-23</t>
        </is>
      </c>
      <c r="B84" t="n">
        <v>18125</v>
      </c>
      <c r="C84" s="4">
        <f>(B84-B83)/B83</f>
        <v/>
      </c>
      <c r="D84" t="n">
        <v>1262.76</v>
      </c>
      <c r="E84" s="4">
        <f>(D84-D83)/D83</f>
        <v/>
      </c>
    </row>
    <row r="85">
      <c r="A85" t="inlineStr">
        <is>
          <t>2024-12-24</t>
        </is>
      </c>
      <c r="B85" t="n">
        <v>18125</v>
      </c>
      <c r="C85" s="4">
        <f>(B85-B84)/B84</f>
        <v/>
      </c>
      <c r="D85" t="n">
        <v>1260.36</v>
      </c>
      <c r="E85" s="4">
        <f>(D85-D84)/D84</f>
        <v/>
      </c>
    </row>
    <row r="86">
      <c r="A86" t="inlineStr">
        <is>
          <t>2024-12-25</t>
        </is>
      </c>
      <c r="B86" t="n">
        <v>18364</v>
      </c>
      <c r="C86" s="4">
        <f>(B86-B85)/B85</f>
        <v/>
      </c>
      <c r="D86" t="n">
        <v>1274.04</v>
      </c>
      <c r="E86" s="4">
        <f>(D86-D85)/D85</f>
        <v/>
      </c>
    </row>
    <row r="87">
      <c r="A87" t="inlineStr">
        <is>
          <t>2024-12-26</t>
        </is>
      </c>
      <c r="B87" t="n">
        <v>18412</v>
      </c>
      <c r="C87" s="4">
        <f>(B87-B86)/B86</f>
        <v/>
      </c>
      <c r="D87" t="n">
        <v>1272.87</v>
      </c>
      <c r="E87" s="4">
        <f>(D87-D86)/D86</f>
        <v/>
      </c>
    </row>
    <row r="88">
      <c r="A88" t="inlineStr">
        <is>
          <t>2024-12-27</t>
        </is>
      </c>
      <c r="B88" t="n">
        <v>18412</v>
      </c>
      <c r="C88" s="4">
        <f>(B88-B87)/B87</f>
        <v/>
      </c>
      <c r="D88" t="n">
        <v>1275.14</v>
      </c>
      <c r="E88" s="4">
        <f>(D88-D87)/D87</f>
        <v/>
      </c>
    </row>
    <row r="89">
      <c r="A89" t="inlineStr">
        <is>
          <t>2024-12-30</t>
        </is>
      </c>
      <c r="B89" t="n">
        <v>18412</v>
      </c>
      <c r="C89" s="4">
        <f>(B89-B88)/B88</f>
        <v/>
      </c>
      <c r="D89" t="n">
        <v>1272.02</v>
      </c>
      <c r="E89" s="4">
        <f>(D89-D88)/D88</f>
        <v/>
      </c>
    </row>
    <row r="90">
      <c r="A90" t="inlineStr">
        <is>
          <t>2024-12-31</t>
        </is>
      </c>
      <c r="B90" t="n">
        <v>18364</v>
      </c>
      <c r="C90" s="4">
        <f>(B90-B89)/B89</f>
        <v/>
      </c>
      <c r="D90" t="n">
        <v>1266.78</v>
      </c>
      <c r="E90" s="4">
        <f>(D90-D89)/D89</f>
        <v/>
      </c>
    </row>
    <row r="91">
      <c r="A91" t="inlineStr">
        <is>
          <t>2025-01-02</t>
        </is>
      </c>
      <c r="B91" t="n">
        <v>18316</v>
      </c>
      <c r="C91" s="4">
        <f>(B91-B90)/B90</f>
        <v/>
      </c>
      <c r="D91" t="n">
        <v>1269.71</v>
      </c>
      <c r="E91" s="4">
        <f>(D91-D90)/D90</f>
        <v/>
      </c>
    </row>
    <row r="92">
      <c r="A92" t="inlineStr">
        <is>
          <t>2025-01-03</t>
        </is>
      </c>
      <c r="B92" t="n">
        <v>17934</v>
      </c>
      <c r="C92" s="4">
        <f>(B92-B91)/B91</f>
        <v/>
      </c>
      <c r="D92" t="n">
        <v>1254.59</v>
      </c>
      <c r="E92" s="4">
        <f>(D92-D91)/D91</f>
        <v/>
      </c>
    </row>
    <row r="93">
      <c r="A93" t="inlineStr">
        <is>
          <t>2025-01-06</t>
        </is>
      </c>
      <c r="B93" t="n">
        <v>17982</v>
      </c>
      <c r="C93" s="4">
        <f>(B93-B92)/B92</f>
        <v/>
      </c>
      <c r="D93" t="n">
        <v>1246.35</v>
      </c>
      <c r="E93" s="4">
        <f>(D93-D92)/D92</f>
        <v/>
      </c>
    </row>
    <row r="94">
      <c r="A94" t="inlineStr">
        <is>
          <t>2025-01-07</t>
        </is>
      </c>
      <c r="B94" t="n">
        <v>17886</v>
      </c>
      <c r="C94" s="4">
        <f>(B94-B93)/B93</f>
        <v/>
      </c>
      <c r="D94" t="n">
        <v>1246.95</v>
      </c>
      <c r="E94" s="4">
        <f>(D94-D93)/D93</f>
        <v/>
      </c>
    </row>
    <row r="95">
      <c r="A95" t="inlineStr">
        <is>
          <t>2025-01-08</t>
        </is>
      </c>
      <c r="B95" t="n">
        <v>18029</v>
      </c>
      <c r="C95" s="4">
        <f>(B95-B94)/B94</f>
        <v/>
      </c>
      <c r="D95" t="n">
        <v>1251.02</v>
      </c>
      <c r="E95" s="4">
        <f>(D95-D94)/D94</f>
        <v/>
      </c>
    </row>
    <row r="96">
      <c r="A96" t="inlineStr">
        <is>
          <t>2025-01-09</t>
        </is>
      </c>
      <c r="B96" t="n">
        <v>17886</v>
      </c>
      <c r="C96" s="4">
        <f>(B96-B95)/B95</f>
        <v/>
      </c>
      <c r="D96" t="n">
        <v>1245.77</v>
      </c>
      <c r="E96" s="4">
        <f>(D96-D95)/D95</f>
        <v/>
      </c>
    </row>
    <row r="97">
      <c r="A97" t="inlineStr">
        <is>
          <t>2025-01-10</t>
        </is>
      </c>
      <c r="B97" t="n">
        <v>17695</v>
      </c>
      <c r="C97" s="4">
        <f>(B97-B96)/B96</f>
        <v/>
      </c>
      <c r="D97" t="n">
        <v>1230.48</v>
      </c>
      <c r="E97" s="4">
        <f>(D97-D96)/D96</f>
        <v/>
      </c>
    </row>
    <row r="98">
      <c r="A98" t="inlineStr">
        <is>
          <t>2025-01-13</t>
        </is>
      </c>
      <c r="B98" t="n">
        <v>17503</v>
      </c>
      <c r="C98" s="4">
        <f>(B98-B97)/B97</f>
        <v/>
      </c>
      <c r="D98" t="n">
        <v>1235.65</v>
      </c>
      <c r="E98" s="4">
        <f>(D98-D97)/D97</f>
        <v/>
      </c>
    </row>
    <row r="99">
      <c r="A99" t="inlineStr">
        <is>
          <t>2025-01-14</t>
        </is>
      </c>
      <c r="B99" t="n">
        <v>17360</v>
      </c>
      <c r="C99" s="4">
        <f>(B99-B98)/B98</f>
        <v/>
      </c>
      <c r="D99" t="n">
        <v>1229.07</v>
      </c>
      <c r="E99" s="4">
        <f>(D99-D98)/D98</f>
        <v/>
      </c>
    </row>
    <row r="100">
      <c r="A100" t="inlineStr">
        <is>
          <t>2025-01-15</t>
        </is>
      </c>
      <c r="B100" t="n">
        <v>17599</v>
      </c>
      <c r="C100" s="4">
        <f>(B100-B99)/B99</f>
        <v/>
      </c>
      <c r="D100" t="n">
        <v>1236.18</v>
      </c>
      <c r="E100" s="4">
        <f>(D100-D99)/D99</f>
        <v/>
      </c>
    </row>
    <row r="101">
      <c r="A101" t="inlineStr">
        <is>
          <t>2025-01-16</t>
        </is>
      </c>
      <c r="B101" t="n">
        <v>17599</v>
      </c>
      <c r="C101" s="4">
        <f>(B101-B100)/B100</f>
        <v/>
      </c>
      <c r="D101" t="n">
        <v>1242.36</v>
      </c>
      <c r="E101" s="4">
        <f>(D101-D100)/D100</f>
        <v/>
      </c>
    </row>
    <row r="102">
      <c r="A102" t="inlineStr">
        <is>
          <t>2025-01-17</t>
        </is>
      </c>
      <c r="B102" t="n">
        <v>17647</v>
      </c>
      <c r="C102" s="4">
        <f>(B102-B101)/B101</f>
        <v/>
      </c>
      <c r="D102" t="n">
        <v>1249.11</v>
      </c>
      <c r="E102" s="4">
        <f>(D102-D101)/D101</f>
        <v/>
      </c>
    </row>
    <row r="103">
      <c r="A103" t="inlineStr">
        <is>
          <t>2025-01-20</t>
        </is>
      </c>
      <c r="B103" t="n">
        <v>17599</v>
      </c>
      <c r="C103" s="4">
        <f>(B103-B102)/B102</f>
        <v/>
      </c>
      <c r="D103" t="n">
        <v>1249.55</v>
      </c>
      <c r="E103" s="4">
        <f>(D103-D102)/D102</f>
        <v/>
      </c>
    </row>
    <row r="104">
      <c r="A104" t="inlineStr">
        <is>
          <t>2025-01-21</t>
        </is>
      </c>
      <c r="B104" t="n">
        <v>17599</v>
      </c>
      <c r="C104" s="4">
        <f>(B104-B103)/B103</f>
        <v/>
      </c>
      <c r="D104" t="n">
        <v>1246.09</v>
      </c>
      <c r="E104" s="4">
        <f>(D104-D103)/D103</f>
        <v/>
      </c>
    </row>
    <row r="105">
      <c r="A105" t="inlineStr">
        <is>
          <t>2025-01-22</t>
        </is>
      </c>
      <c r="B105" t="n">
        <v>17551</v>
      </c>
      <c r="C105" s="4">
        <f>(B105-B104)/B104</f>
        <v/>
      </c>
      <c r="D105" t="n">
        <v>1242.53</v>
      </c>
      <c r="E105" s="4">
        <f>(D105-D104)/D104</f>
        <v/>
      </c>
    </row>
    <row r="106">
      <c r="A106" t="inlineStr">
        <is>
          <t>2025-01-23</t>
        </is>
      </c>
      <c r="B106" t="n">
        <v>18077</v>
      </c>
      <c r="C106" s="4">
        <f>(B106-B105)/B105</f>
        <v/>
      </c>
      <c r="D106" t="n">
        <v>1259.63</v>
      </c>
      <c r="E106" s="4">
        <f>(D106-D105)/D105</f>
        <v/>
      </c>
    </row>
    <row r="107">
      <c r="A107" t="inlineStr">
        <is>
          <t>2025-01-24</t>
        </is>
      </c>
      <c r="B107" t="n">
        <v>18077</v>
      </c>
      <c r="C107" s="4">
        <f>(B107-B106)/B106</f>
        <v/>
      </c>
      <c r="D107" t="n">
        <v>1265.05</v>
      </c>
      <c r="E107" s="4">
        <f>(D107-D106)/D106</f>
        <v/>
      </c>
    </row>
    <row r="108">
      <c r="A108" t="inlineStr">
        <is>
          <t>2025-02-03</t>
        </is>
      </c>
      <c r="B108" t="n">
        <v>17695</v>
      </c>
      <c r="C108" s="4">
        <f>(B108-B107)/B107</f>
        <v/>
      </c>
      <c r="D108" t="n">
        <v>1253.03</v>
      </c>
      <c r="E108" s="4">
        <f>(D108-D107)/D107</f>
        <v/>
      </c>
    </row>
    <row r="109">
      <c r="A109" t="inlineStr">
        <is>
          <t>2025-02-04</t>
        </is>
      </c>
      <c r="B109" t="n">
        <v>17934</v>
      </c>
      <c r="C109" s="4">
        <f>(B109-B108)/B108</f>
        <v/>
      </c>
      <c r="D109" t="n">
        <v>1264.68</v>
      </c>
      <c r="E109" s="4">
        <f>(D109-D108)/D108</f>
        <v/>
      </c>
    </row>
    <row r="110">
      <c r="A110" t="inlineStr">
        <is>
          <t>2025-02-05</t>
        </is>
      </c>
      <c r="B110" t="n">
        <v>18221</v>
      </c>
      <c r="C110" s="4">
        <f>(B110-B109)/B109</f>
        <v/>
      </c>
      <c r="D110" t="n">
        <v>1269.61</v>
      </c>
      <c r="E110" s="4">
        <f>(D110-D109)/D109</f>
        <v/>
      </c>
    </row>
    <row r="111">
      <c r="A111" t="inlineStr">
        <is>
          <t>2025-02-06</t>
        </is>
      </c>
      <c r="B111" t="n">
        <v>18221</v>
      </c>
      <c r="C111" s="4">
        <f>(B111-B110)/B110</f>
        <v/>
      </c>
      <c r="D111" t="n">
        <v>1271.48</v>
      </c>
      <c r="E111" s="4">
        <f>(D111-D110)/D110</f>
        <v/>
      </c>
    </row>
    <row r="112">
      <c r="A112" t="inlineStr">
        <is>
          <t>2025-02-07</t>
        </is>
      </c>
      <c r="B112" t="n">
        <v>18125</v>
      </c>
      <c r="C112" s="4">
        <f>(B112-B111)/B111</f>
        <v/>
      </c>
      <c r="D112" t="n">
        <v>1275.2</v>
      </c>
      <c r="E112" s="4">
        <f>(D112-D111)/D111</f>
        <v/>
      </c>
    </row>
    <row r="113">
      <c r="A113" t="inlineStr">
        <is>
          <t>2025-02-10</t>
        </is>
      </c>
      <c r="B113" t="n">
        <v>18029</v>
      </c>
      <c r="C113" s="4">
        <f>(B113-B112)/B112</f>
        <v/>
      </c>
      <c r="D113" t="n">
        <v>1263.26</v>
      </c>
      <c r="E113" s="4">
        <f>(D113-D112)/D112</f>
        <v/>
      </c>
    </row>
    <row r="114">
      <c r="A114" t="inlineStr">
        <is>
          <t>2025-02-11</t>
        </is>
      </c>
      <c r="B114" t="n">
        <v>18077</v>
      </c>
      <c r="C114" s="4">
        <f>(B114-B113)/B113</f>
        <v/>
      </c>
      <c r="D114" t="n">
        <v>1268.45</v>
      </c>
      <c r="E114" s="4">
        <f>(D114-D113)/D113</f>
        <v/>
      </c>
    </row>
    <row r="115">
      <c r="A115" t="inlineStr">
        <is>
          <t>2025-02-12</t>
        </is>
      </c>
      <c r="B115" t="n">
        <v>18077</v>
      </c>
      <c r="C115" s="4">
        <f>(B115-B114)/B114</f>
        <v/>
      </c>
      <c r="D115" t="n">
        <v>1266.91</v>
      </c>
      <c r="E115" s="4">
        <f>(D115-D114)/D114</f>
        <v/>
      </c>
    </row>
    <row r="116">
      <c r="A116" t="inlineStr">
        <is>
          <t>2025-02-13</t>
        </is>
      </c>
      <c r="B116" t="n">
        <v>18077</v>
      </c>
      <c r="C116" s="4">
        <f>(B116-B115)/B115</f>
        <v/>
      </c>
      <c r="D116" t="n">
        <v>1270.35</v>
      </c>
      <c r="E116" s="4">
        <f>(D116-D115)/D115</f>
        <v/>
      </c>
    </row>
    <row r="117">
      <c r="A117" t="inlineStr">
        <is>
          <t>2025-02-14</t>
        </is>
      </c>
      <c r="B117" t="n">
        <v>18173</v>
      </c>
      <c r="C117" s="4">
        <f>(B117-B116)/B116</f>
        <v/>
      </c>
      <c r="D117" t="n">
        <v>1276.08</v>
      </c>
      <c r="E117" s="4">
        <f>(D117-D116)/D116</f>
        <v/>
      </c>
    </row>
    <row r="118">
      <c r="A118" t="inlineStr">
        <is>
          <t>2025-02-17</t>
        </is>
      </c>
      <c r="B118" t="n">
        <v>18029</v>
      </c>
      <c r="C118" s="4">
        <f>(B118-B117)/B117</f>
        <v/>
      </c>
      <c r="D118" t="n">
        <v>1272.72</v>
      </c>
      <c r="E118" s="4">
        <f>(D118-D117)/D117</f>
        <v/>
      </c>
    </row>
    <row r="119">
      <c r="A119" t="inlineStr">
        <is>
          <t>2025-02-18</t>
        </is>
      </c>
      <c r="B119" t="n">
        <v>18125</v>
      </c>
      <c r="C119" s="4">
        <f>(B119-B118)/B118</f>
        <v/>
      </c>
      <c r="D119" t="n">
        <v>1278.14</v>
      </c>
      <c r="E119" s="4">
        <f>(D119-D118)/D118</f>
        <v/>
      </c>
    </row>
    <row r="120">
      <c r="A120" t="inlineStr">
        <is>
          <t>2025-02-19</t>
        </is>
      </c>
      <c r="B120" t="n">
        <v>18221</v>
      </c>
      <c r="C120" s="4">
        <f>(B120-B119)/B119</f>
        <v/>
      </c>
      <c r="D120" t="n">
        <v>1288.56</v>
      </c>
      <c r="E120" s="4">
        <f>(D120-D119)/D119</f>
        <v/>
      </c>
    </row>
    <row r="121">
      <c r="A121" t="inlineStr">
        <is>
          <t>2025-02-20</t>
        </is>
      </c>
      <c r="B121" t="n">
        <v>18364</v>
      </c>
      <c r="C121" s="4">
        <f>(B121-B120)/B120</f>
        <v/>
      </c>
      <c r="D121" t="n">
        <v>1292.98</v>
      </c>
      <c r="E121" s="4">
        <f>(D121-D120)/D120</f>
        <v/>
      </c>
    </row>
    <row r="122">
      <c r="A122" t="inlineStr">
        <is>
          <t>2025-02-21</t>
        </is>
      </c>
      <c r="B122" t="n">
        <v>18603</v>
      </c>
      <c r="C122" s="4">
        <f>(B122-B121)/B121</f>
        <v/>
      </c>
      <c r="D122" t="n">
        <v>1296.75</v>
      </c>
      <c r="E122" s="4">
        <f>(D122-D121)/D121</f>
        <v/>
      </c>
    </row>
    <row r="123">
      <c r="A123" t="inlineStr">
        <is>
          <t>2025-02-24</t>
        </is>
      </c>
      <c r="B123" t="n">
        <v>18699</v>
      </c>
      <c r="C123" s="4">
        <f>(B123-B122)/B122</f>
        <v/>
      </c>
      <c r="D123" t="n">
        <v>1304.56</v>
      </c>
      <c r="E123" s="4">
        <f>(D123-D122)/D122</f>
        <v/>
      </c>
    </row>
    <row r="124">
      <c r="A124" t="inlineStr">
        <is>
          <t>2025-02-25</t>
        </is>
      </c>
      <c r="B124" t="n">
        <v>18508</v>
      </c>
      <c r="C124" s="4">
        <f>(B124-B123)/B123</f>
        <v/>
      </c>
      <c r="D124" t="n">
        <v>1303.16</v>
      </c>
      <c r="E124" s="4">
        <f>(D124-D123)/D123</f>
        <v/>
      </c>
    </row>
    <row r="125">
      <c r="A125" t="inlineStr">
        <is>
          <t>2025-02-26</t>
        </is>
      </c>
      <c r="B125" t="n">
        <v>18412</v>
      </c>
      <c r="C125" s="4">
        <f>(B125-B124)/B124</f>
        <v/>
      </c>
      <c r="D125" t="n">
        <v>1302.96</v>
      </c>
      <c r="E125" s="4">
        <f>(D125-D124)/D124</f>
        <v/>
      </c>
    </row>
    <row r="126">
      <c r="A126" t="inlineStr">
        <is>
          <t>2025-02-27</t>
        </is>
      </c>
      <c r="B126" t="n">
        <v>18460</v>
      </c>
      <c r="C126" s="4">
        <f>(B126-B125)/B125</f>
        <v/>
      </c>
      <c r="D126" t="n">
        <v>1307.8</v>
      </c>
      <c r="E126" s="4">
        <f>(D126-D125)/D125</f>
        <v/>
      </c>
    </row>
    <row r="127">
      <c r="A127" t="inlineStr">
        <is>
          <t>2025-02-28</t>
        </is>
      </c>
      <c r="B127" t="n">
        <v>18460</v>
      </c>
      <c r="C127" s="4">
        <f>(B127-B126)/B126</f>
        <v/>
      </c>
      <c r="D127" t="n">
        <v>1305.36</v>
      </c>
      <c r="E127" s="4">
        <f>(D127-D126)/D126</f>
        <v/>
      </c>
    </row>
    <row r="128">
      <c r="A128" t="inlineStr">
        <is>
          <t>2025-03-03</t>
        </is>
      </c>
      <c r="B128" t="n">
        <v>18364</v>
      </c>
      <c r="C128" s="4">
        <f>(B128-B127)/B127</f>
        <v/>
      </c>
      <c r="D128" t="n">
        <v>1309.37</v>
      </c>
      <c r="E128" s="4">
        <f>(D128-D127)/D127</f>
        <v/>
      </c>
    </row>
    <row r="129">
      <c r="A129" t="inlineStr">
        <is>
          <t>2025-03-04</t>
        </is>
      </c>
      <c r="B129" t="n">
        <v>18268</v>
      </c>
      <c r="C129" s="4">
        <f>(B129-B128)/B128</f>
        <v/>
      </c>
      <c r="D129" t="n">
        <v>1311.91</v>
      </c>
      <c r="E129" s="4">
        <f>(D129-D128)/D128</f>
        <v/>
      </c>
    </row>
    <row r="130">
      <c r="A130" t="inlineStr">
        <is>
          <t>2025-03-05</t>
        </is>
      </c>
      <c r="B130" t="n">
        <v>18173</v>
      </c>
      <c r="C130" s="4">
        <f>(B130-B129)/B129</f>
        <v/>
      </c>
      <c r="D130" t="n">
        <v>1304.71</v>
      </c>
      <c r="E130" s="4">
        <f>(D130-D129)/D129</f>
        <v/>
      </c>
    </row>
    <row r="131">
      <c r="A131" t="inlineStr">
        <is>
          <t>2025-03-06</t>
        </is>
      </c>
      <c r="B131" t="n">
        <v>18316</v>
      </c>
      <c r="C131" s="4">
        <f>(B131-B130)/B130</f>
        <v/>
      </c>
      <c r="D131" t="n">
        <v>1318.22</v>
      </c>
      <c r="E131" s="4">
        <f>(D131-D130)/D130</f>
        <v/>
      </c>
    </row>
    <row r="132">
      <c r="A132" t="inlineStr">
        <is>
          <t>2025-03-07</t>
        </is>
      </c>
      <c r="B132" t="n">
        <v>18412</v>
      </c>
      <c r="C132" s="4">
        <f>(B132-B131)/B131</f>
        <v/>
      </c>
      <c r="D132" t="n">
        <v>1326.05</v>
      </c>
      <c r="E132" s="4">
        <f>(D132-D131)/D131</f>
        <v/>
      </c>
    </row>
    <row r="133">
      <c r="A133" t="inlineStr">
        <is>
          <t>2025-03-10</t>
        </is>
      </c>
      <c r="B133" t="n">
        <v>18555</v>
      </c>
      <c r="C133" s="4">
        <f>(B133-B132)/B132</f>
        <v/>
      </c>
      <c r="D133" t="n">
        <v>1330.28</v>
      </c>
      <c r="E133" s="4">
        <f>(D133-D132)/D132</f>
        <v/>
      </c>
    </row>
    <row r="134">
      <c r="A134" t="inlineStr">
        <is>
          <t>2025-03-11</t>
        </is>
      </c>
      <c r="B134" t="n">
        <v>18842</v>
      </c>
      <c r="C134" s="4">
        <f>(B134-B133)/B133</f>
        <v/>
      </c>
      <c r="D134" t="n">
        <v>1332.54</v>
      </c>
      <c r="E134" s="4">
        <f>(D134-D133)/D133</f>
        <v/>
      </c>
    </row>
    <row r="135">
      <c r="A135" t="inlineStr">
        <is>
          <t>2025-03-12</t>
        </is>
      </c>
      <c r="B135" t="n">
        <v>18747</v>
      </c>
      <c r="C135" s="4">
        <f>(B135-B134)/B134</f>
        <v/>
      </c>
      <c r="D135" t="n">
        <v>1334.41</v>
      </c>
      <c r="E135" s="4">
        <f>(D135-D134)/D134</f>
        <v/>
      </c>
    </row>
    <row r="136">
      <c r="A136" t="inlineStr">
        <is>
          <t>2025-03-13</t>
        </is>
      </c>
      <c r="B136" t="n">
        <v>18412</v>
      </c>
      <c r="C136" s="4">
        <f>(B136-B135)/B135</f>
        <v/>
      </c>
      <c r="D136" t="n">
        <v>1326.27</v>
      </c>
      <c r="E136" s="4">
        <f>(D136-D135)/D135</f>
        <v/>
      </c>
    </row>
    <row r="137">
      <c r="A137" t="inlineStr">
        <is>
          <t>2025-03-14</t>
        </is>
      </c>
      <c r="B137" t="n">
        <v>18747</v>
      </c>
      <c r="C137" s="4">
        <f>(B137-B136)/B136</f>
        <v/>
      </c>
      <c r="D137" t="n">
        <v>1326.15</v>
      </c>
      <c r="E137" s="4">
        <f>(D137-D136)/D136</f>
        <v/>
      </c>
    </row>
    <row r="138">
      <c r="A138" t="inlineStr">
        <is>
          <t>2025-03-17</t>
        </is>
      </c>
      <c r="B138" t="n">
        <v>19321</v>
      </c>
      <c r="C138" s="4">
        <f>(B138-B137)/B137</f>
        <v/>
      </c>
      <c r="D138" t="n">
        <v>1336.26</v>
      </c>
      <c r="E138" s="4">
        <f>(D138-D137)/D137</f>
        <v/>
      </c>
    </row>
    <row r="139">
      <c r="A139" t="inlineStr">
        <is>
          <t>2025-03-18</t>
        </is>
      </c>
      <c r="B139" t="n">
        <v>18938</v>
      </c>
      <c r="C139" s="4">
        <f>(B139-B138)/B138</f>
        <v/>
      </c>
      <c r="D139" t="n">
        <v>1330.97</v>
      </c>
      <c r="E139" s="4">
        <f>(D139-D138)/D138</f>
        <v/>
      </c>
    </row>
    <row r="140">
      <c r="A140" t="inlineStr">
        <is>
          <t>2025-03-19</t>
        </is>
      </c>
      <c r="B140" t="n">
        <v>18603</v>
      </c>
      <c r="C140" s="4">
        <f>(B140-B139)/B139</f>
        <v/>
      </c>
      <c r="D140" t="n">
        <v>1324.63</v>
      </c>
      <c r="E140" s="4">
        <f>(D140-D139)/D139</f>
        <v/>
      </c>
    </row>
    <row r="141">
      <c r="A141" t="inlineStr">
        <is>
          <t>2025-03-20</t>
        </is>
      </c>
      <c r="B141" t="n">
        <v>18747</v>
      </c>
      <c r="C141" s="4">
        <f>(B141-B140)/B140</f>
        <v/>
      </c>
      <c r="D141" t="n">
        <v>1323.93</v>
      </c>
      <c r="E141" s="4">
        <f>(D141-D140)/D140</f>
        <v/>
      </c>
    </row>
    <row r="142">
      <c r="A142" t="inlineStr">
        <is>
          <t>2025-03-21</t>
        </is>
      </c>
      <c r="B142" t="n">
        <v>18651</v>
      </c>
      <c r="C142" s="4">
        <f>(B142-B141)/B141</f>
        <v/>
      </c>
      <c r="D142" t="n">
        <v>1321.88</v>
      </c>
      <c r="E142" s="4">
        <f>(D142-D141)/D141</f>
        <v/>
      </c>
    </row>
    <row r="143">
      <c r="A143" t="inlineStr">
        <is>
          <t>2025-03-24</t>
        </is>
      </c>
      <c r="B143" t="n">
        <v>18747</v>
      </c>
      <c r="C143" s="4">
        <f>(B143-B142)/B142</f>
        <v/>
      </c>
      <c r="D143" t="n">
        <v>1330.32</v>
      </c>
      <c r="E143" s="4">
        <f>(D143-D142)/D142</f>
        <v/>
      </c>
    </row>
    <row r="144">
      <c r="A144" t="inlineStr">
        <is>
          <t>2025-03-25</t>
        </is>
      </c>
      <c r="B144" t="n">
        <v>18651</v>
      </c>
      <c r="C144" s="4">
        <f>(B144-B143)/B143</f>
        <v/>
      </c>
      <c r="D144" t="n">
        <v>1331.92</v>
      </c>
      <c r="E144" s="4">
        <f>(D144-D143)/D143</f>
        <v/>
      </c>
    </row>
    <row r="145">
      <c r="A145" t="inlineStr">
        <is>
          <t>2025-03-26</t>
        </is>
      </c>
      <c r="B145" t="n">
        <v>18508</v>
      </c>
      <c r="C145" s="4">
        <f>(B145-B144)/B144</f>
        <v/>
      </c>
      <c r="D145" t="n">
        <v>1326.09</v>
      </c>
      <c r="E145" s="4">
        <f>(D145-D144)/D144</f>
        <v/>
      </c>
    </row>
    <row r="146">
      <c r="A146" t="inlineStr">
        <is>
          <t>2025-03-27</t>
        </is>
      </c>
      <c r="B146" t="n">
        <v>18412</v>
      </c>
      <c r="C146" s="4">
        <f>(B146-B145)/B145</f>
        <v/>
      </c>
      <c r="D146" t="n">
        <v>1323.81</v>
      </c>
      <c r="E146" s="4">
        <f>(D146-D145)/D145</f>
        <v/>
      </c>
    </row>
    <row r="147">
      <c r="A147" t="inlineStr">
        <is>
          <t>2025-03-28</t>
        </is>
      </c>
      <c r="B147" t="n">
        <v>18412</v>
      </c>
      <c r="C147" s="4">
        <f>(B147-B146)/B146</f>
        <v/>
      </c>
      <c r="D147" t="n">
        <v>1317.46</v>
      </c>
      <c r="E147" s="4">
        <f>(D147-D146)/D146</f>
        <v/>
      </c>
    </row>
    <row r="148">
      <c r="A148" t="inlineStr">
        <is>
          <t>2025-03-31</t>
        </is>
      </c>
      <c r="B148" t="n">
        <v>18173</v>
      </c>
      <c r="C148" s="4">
        <f>(B148-B147)/B147</f>
        <v/>
      </c>
      <c r="D148" t="n">
        <v>1306.86</v>
      </c>
      <c r="E148" s="4">
        <f>(D148-D147)/D147</f>
        <v/>
      </c>
    </row>
    <row r="149">
      <c r="A149" t="inlineStr">
        <is>
          <t>2025-04-01</t>
        </is>
      </c>
      <c r="B149" t="n">
        <v>18316</v>
      </c>
      <c r="C149" s="4">
        <f>(B149-B148)/B148</f>
        <v/>
      </c>
      <c r="D149" t="n">
        <v>1317.33</v>
      </c>
      <c r="E149" s="4">
        <f>(D149-D148)/D148</f>
        <v/>
      </c>
    </row>
    <row r="150">
      <c r="A150" t="inlineStr">
        <is>
          <t>2025-04-02</t>
        </is>
      </c>
      <c r="B150" t="n">
        <v>18316</v>
      </c>
      <c r="C150" s="4">
        <f>(B150-B149)/B149</f>
        <v/>
      </c>
      <c r="D150" t="n">
        <v>1317.83</v>
      </c>
      <c r="E150" s="4">
        <f>(D150-D149)/D149</f>
        <v/>
      </c>
    </row>
    <row r="151">
      <c r="A151" t="inlineStr">
        <is>
          <t>2025-04-03</t>
        </is>
      </c>
      <c r="B151" t="n">
        <v>17073</v>
      </c>
      <c r="C151" s="4">
        <f>(B151-B150)/B150</f>
        <v/>
      </c>
      <c r="D151" t="n">
        <v>1229.84</v>
      </c>
      <c r="E151" s="4">
        <f>(D151-D150)/D150</f>
        <v/>
      </c>
    </row>
    <row r="152">
      <c r="A152" t="inlineStr">
        <is>
          <t>2025-04-04</t>
        </is>
      </c>
      <c r="B152" t="n">
        <v>16690</v>
      </c>
      <c r="C152" s="4">
        <f>(B152-B151)/B151</f>
        <v/>
      </c>
      <c r="D152" t="n">
        <v>1210.67</v>
      </c>
      <c r="E152" s="4">
        <f>(D152-D151)/D151</f>
        <v/>
      </c>
    </row>
    <row r="153">
      <c r="A153" t="inlineStr">
        <is>
          <t>2025-04-08</t>
        </is>
      </c>
      <c r="B153" t="n">
        <v>15543</v>
      </c>
      <c r="C153" s="4">
        <f>(B153-B152)/B152</f>
        <v/>
      </c>
      <c r="D153" t="n">
        <v>1132.79</v>
      </c>
      <c r="E153" s="4">
        <f>(D153-D152)/D152</f>
        <v/>
      </c>
    </row>
    <row r="154">
      <c r="A154" t="inlineStr">
        <is>
          <t>2025-04-09</t>
        </is>
      </c>
      <c r="B154" t="n">
        <v>15256</v>
      </c>
      <c r="C154" s="4">
        <f>(B154-B153)/B153</f>
        <v/>
      </c>
      <c r="D154" t="n">
        <v>1094.3</v>
      </c>
      <c r="E154" s="4">
        <f>(D154-D153)/D153</f>
        <v/>
      </c>
    </row>
    <row r="155">
      <c r="A155" t="inlineStr">
        <is>
          <t>2025-04-10</t>
        </is>
      </c>
      <c r="B155" t="n">
        <v>16308</v>
      </c>
      <c r="C155" s="4">
        <f>(B155-B154)/B154</f>
        <v/>
      </c>
      <c r="D155" t="n">
        <v>1168.34</v>
      </c>
      <c r="E155" s="4">
        <f>(D155-D154)/D154</f>
        <v/>
      </c>
    </row>
    <row r="156">
      <c r="A156" t="inlineStr">
        <is>
          <t>2025-04-11</t>
        </is>
      </c>
      <c r="B156" t="n">
        <v>16690</v>
      </c>
      <c r="C156" s="4">
        <f>(B156-B155)/B155</f>
        <v/>
      </c>
      <c r="D156" t="n">
        <v>1222.46</v>
      </c>
      <c r="E156" s="4">
        <f>(D156-D155)/D155</f>
        <v/>
      </c>
    </row>
    <row r="157">
      <c r="A157" t="inlineStr">
        <is>
          <t>2025-04-14</t>
        </is>
      </c>
      <c r="B157" t="n">
        <v>16547</v>
      </c>
      <c r="C157" s="4">
        <f>(B157-B156)/B156</f>
        <v/>
      </c>
      <c r="D157" t="n">
        <v>1241.44</v>
      </c>
      <c r="E157" s="4">
        <f>(D157-D156)/D156</f>
        <v/>
      </c>
    </row>
    <row r="158">
      <c r="A158" t="inlineStr">
        <is>
          <t>2025-04-15</t>
        </is>
      </c>
      <c r="B158" t="n">
        <v>16164</v>
      </c>
      <c r="C158" s="4">
        <f>(B158-B157)/B157</f>
        <v/>
      </c>
      <c r="D158" t="n">
        <v>1227.79</v>
      </c>
      <c r="E158" s="4">
        <f>(D158-D157)/D157</f>
        <v/>
      </c>
    </row>
    <row r="159">
      <c r="A159" t="inlineStr">
        <is>
          <t>2025-04-16</t>
        </is>
      </c>
      <c r="B159" t="n">
        <v>16069</v>
      </c>
      <c r="C159" s="4">
        <f>(B159-B158)/B158</f>
        <v/>
      </c>
      <c r="D159" t="n">
        <v>1210.3</v>
      </c>
      <c r="E159" s="4">
        <f>(D159-D158)/D158</f>
        <v/>
      </c>
    </row>
    <row r="160">
      <c r="A160" t="inlineStr">
        <is>
          <t>2025-04-17</t>
        </is>
      </c>
      <c r="B160" t="n">
        <v>15829</v>
      </c>
      <c r="C160" s="4">
        <f>(B160-B159)/B159</f>
        <v/>
      </c>
      <c r="D160" t="n">
        <v>1217.25</v>
      </c>
      <c r="E160" s="4">
        <f>(D160-D159)/D159</f>
        <v/>
      </c>
    </row>
    <row r="161">
      <c r="A161" t="inlineStr">
        <is>
          <t>2025-04-18</t>
        </is>
      </c>
      <c r="B161" t="n">
        <v>16212</v>
      </c>
      <c r="C161" s="4">
        <f>(B161-B160)/B160</f>
        <v/>
      </c>
      <c r="D161" t="n">
        <v>1219.12</v>
      </c>
      <c r="E161" s="4">
        <f>(D161-D160)/D160</f>
        <v/>
      </c>
    </row>
    <row r="162">
      <c r="A162" t="inlineStr">
        <is>
          <t>2025-04-21</t>
        </is>
      </c>
      <c r="B162" t="n">
        <v>15973</v>
      </c>
      <c r="C162" s="4">
        <f>(B162-B161)/B161</f>
        <v/>
      </c>
      <c r="D162" t="n">
        <v>1207.07</v>
      </c>
      <c r="E162" s="4">
        <f>(D162-D161)/D161</f>
        <v/>
      </c>
    </row>
    <row r="163">
      <c r="A163" t="inlineStr">
        <is>
          <t>2025-04-22</t>
        </is>
      </c>
      <c r="B163" t="n">
        <v>15877</v>
      </c>
      <c r="C163" s="4">
        <f>(B163-B162)/B162</f>
        <v/>
      </c>
      <c r="D163" t="n">
        <v>1197.13</v>
      </c>
      <c r="E163" s="4">
        <f>(D163-D162)/D162</f>
        <v/>
      </c>
    </row>
    <row r="164">
      <c r="A164" t="inlineStr">
        <is>
          <t>2025-04-23</t>
        </is>
      </c>
      <c r="B164" t="n">
        <v>15973</v>
      </c>
      <c r="C164" s="4">
        <f>(B164-B163)/B163</f>
        <v/>
      </c>
      <c r="D164" t="n">
        <v>1211</v>
      </c>
      <c r="E164" s="4">
        <f>(D164-D163)/D163</f>
        <v/>
      </c>
    </row>
    <row r="165">
      <c r="A165" t="inlineStr">
        <is>
          <t>2025-04-24</t>
        </is>
      </c>
      <c r="B165" t="n">
        <v>15925</v>
      </c>
      <c r="C165" s="4">
        <f>(B165-B164)/B164</f>
        <v/>
      </c>
      <c r="D165" t="n">
        <v>1223.35</v>
      </c>
      <c r="E165" s="4">
        <f>(D165-D164)/D164</f>
        <v/>
      </c>
    </row>
    <row r="166">
      <c r="A166" t="inlineStr">
        <is>
          <t>2025-04-25</t>
        </is>
      </c>
      <c r="B166" t="n">
        <v>15782</v>
      </c>
      <c r="C166" s="4">
        <f>(B166-B165)/B165</f>
        <v/>
      </c>
      <c r="D166" t="n">
        <v>1229.23</v>
      </c>
      <c r="E166" s="4">
        <f>(D166-D165)/D165</f>
        <v/>
      </c>
    </row>
    <row r="167">
      <c r="A167" t="inlineStr">
        <is>
          <t>2025-04-28</t>
        </is>
      </c>
      <c r="B167" t="n">
        <v>15829</v>
      </c>
      <c r="C167" s="4">
        <f>(B167-B166)/B166</f>
        <v/>
      </c>
      <c r="D167" t="n">
        <v>1226.8</v>
      </c>
      <c r="E167" s="4">
        <f>(D167-D166)/D166</f>
        <v/>
      </c>
    </row>
    <row r="168">
      <c r="A168" t="inlineStr">
        <is>
          <t>2025-04-29</t>
        </is>
      </c>
      <c r="B168" t="n">
        <v>15829</v>
      </c>
      <c r="C168" s="4">
        <f>(B168-B167)/B167</f>
        <v/>
      </c>
      <c r="D168" t="n">
        <v>1226.3</v>
      </c>
      <c r="E168" s="4">
        <f>(D168-D167)/D167</f>
        <v/>
      </c>
    </row>
    <row r="169">
      <c r="A169" t="inlineStr">
        <is>
          <t>2025-05-05</t>
        </is>
      </c>
      <c r="B169" t="n">
        <v>15877</v>
      </c>
      <c r="C169" s="4">
        <f>(B169-B168)/B168</f>
        <v/>
      </c>
      <c r="D169" t="n">
        <v>1240.05</v>
      </c>
      <c r="E169" s="4">
        <f>(D169-D168)/D168</f>
        <v/>
      </c>
    </row>
    <row r="170">
      <c r="A170" t="inlineStr">
        <is>
          <t>2025-05-06</t>
        </is>
      </c>
      <c r="B170" t="n">
        <v>16164</v>
      </c>
      <c r="C170" s="4">
        <f>(B170-B169)/B169</f>
        <v/>
      </c>
      <c r="D170" t="n">
        <v>1241.95</v>
      </c>
      <c r="E170" s="4">
        <f>(D170-D169)/D169</f>
        <v/>
      </c>
    </row>
    <row r="171">
      <c r="A171" t="inlineStr">
        <is>
          <t>2025-05-07</t>
        </is>
      </c>
      <c r="B171" t="n">
        <v>16260</v>
      </c>
      <c r="C171" s="4">
        <f>(B171-B170)/B170</f>
        <v/>
      </c>
      <c r="D171" t="n">
        <v>1250.37</v>
      </c>
      <c r="E171" s="4">
        <f>(D171-D170)/D170</f>
        <v/>
      </c>
    </row>
    <row r="172">
      <c r="A172" t="inlineStr">
        <is>
          <t>2025-05-08</t>
        </is>
      </c>
      <c r="B172" t="n">
        <v>16260</v>
      </c>
      <c r="C172" s="4">
        <f>(B172-B171)/B171</f>
        <v/>
      </c>
      <c r="D172" t="n">
        <v>1269.8</v>
      </c>
      <c r="E172" s="4">
        <f>(D172-D171)/D171</f>
        <v/>
      </c>
    </row>
    <row r="173">
      <c r="A173" t="inlineStr">
        <is>
          <t>2025-05-09</t>
        </is>
      </c>
      <c r="B173" t="n">
        <v>16260</v>
      </c>
      <c r="C173" s="4">
        <f>(B173-B172)/B172</f>
        <v/>
      </c>
      <c r="D173" t="n">
        <v>1267.3</v>
      </c>
      <c r="E173" s="4">
        <f>(D173-D172)/D172</f>
        <v/>
      </c>
    </row>
    <row r="174">
      <c r="A174" t="inlineStr">
        <is>
          <t>2025-05-12</t>
        </is>
      </c>
      <c r="B174" t="n">
        <v>16595</v>
      </c>
      <c r="C174" s="4">
        <f>(B174-B173)/B173</f>
        <v/>
      </c>
      <c r="D174" t="n">
        <v>1283.26</v>
      </c>
      <c r="E174" s="4">
        <f>(D174-D173)/D173</f>
        <v/>
      </c>
    </row>
    <row r="175">
      <c r="A175" t="inlineStr">
        <is>
          <t>2025-05-13</t>
        </is>
      </c>
      <c r="B175" t="n">
        <v>16929</v>
      </c>
      <c r="C175" s="4">
        <f>(B175-B174)/B174</f>
        <v/>
      </c>
      <c r="D175" t="n">
        <v>1293.43</v>
      </c>
      <c r="E175" s="4">
        <f>(D175-D174)/D174</f>
        <v/>
      </c>
    </row>
    <row r="176">
      <c r="A176" t="inlineStr">
        <is>
          <t>2025-05-14</t>
        </is>
      </c>
      <c r="B176" t="n">
        <v>18077</v>
      </c>
      <c r="C176" s="4">
        <f>(B176-B175)/B175</f>
        <v/>
      </c>
      <c r="D176" t="n">
        <v>1309.73</v>
      </c>
      <c r="E176" s="4">
        <f>(D176-D175)/D175</f>
        <v/>
      </c>
    </row>
    <row r="177">
      <c r="A177" t="inlineStr">
        <is>
          <t>2025-05-15</t>
        </is>
      </c>
      <c r="B177" t="n">
        <v>18225</v>
      </c>
      <c r="C177" s="4">
        <f>(B177-B176)/B176</f>
        <v/>
      </c>
      <c r="D177" t="n">
        <v>1313.2</v>
      </c>
      <c r="E177" s="4">
        <f>(D177-D176)/D176</f>
        <v/>
      </c>
    </row>
    <row r="178">
      <c r="A178" t="inlineStr">
        <is>
          <t>2025-05-16</t>
        </is>
      </c>
      <c r="B178" t="n">
        <v>17734</v>
      </c>
      <c r="C178" s="4">
        <f>(B178-B177)/B177</f>
        <v/>
      </c>
      <c r="D178" t="n">
        <v>1301.39</v>
      </c>
      <c r="E178" s="4">
        <f>(D178-D177)/D177</f>
        <v/>
      </c>
    </row>
    <row r="179">
      <c r="A179" t="inlineStr">
        <is>
          <t>2025-05-19</t>
        </is>
      </c>
      <c r="B179" t="n">
        <v>17882</v>
      </c>
      <c r="C179" s="4">
        <f>(B179-B178)/B178</f>
        <v/>
      </c>
      <c r="D179" t="n">
        <v>1296.29</v>
      </c>
      <c r="E179" s="4">
        <f>(D179-D178)/D178</f>
        <v/>
      </c>
    </row>
    <row r="180">
      <c r="A180" t="inlineStr">
        <is>
          <t>2025-05-20</t>
        </is>
      </c>
      <c r="B180" t="n">
        <v>17882</v>
      </c>
      <c r="C180" s="4">
        <f>(B180-B179)/B179</f>
        <v/>
      </c>
      <c r="D180" t="n">
        <v>1315.15</v>
      </c>
      <c r="E180" s="4">
        <f>(D180-D179)/D179</f>
        <v/>
      </c>
    </row>
    <row r="181">
      <c r="A181" t="inlineStr">
        <is>
          <t>2025-05-21</t>
        </is>
      </c>
      <c r="B181" t="n">
        <v>18127</v>
      </c>
      <c r="C181" s="4">
        <f>(B181-B180)/B180</f>
        <v/>
      </c>
      <c r="D181" t="n">
        <v>1323.05</v>
      </c>
      <c r="E181" s="4">
        <f>(D181-D180)/D180</f>
        <v/>
      </c>
    </row>
    <row r="182">
      <c r="A182" t="inlineStr">
        <is>
          <t>2025-05-22</t>
        </is>
      </c>
      <c r="B182" t="n">
        <v>17980</v>
      </c>
      <c r="C182" s="4">
        <f>(B182-B181)/B181</f>
        <v/>
      </c>
      <c r="D182" t="n">
        <v>1313.84</v>
      </c>
      <c r="E182" s="4">
        <f>(D182-D181)/D181</f>
        <v/>
      </c>
    </row>
    <row r="183">
      <c r="A183" t="inlineStr">
        <is>
          <t>2025-05-23</t>
        </is>
      </c>
      <c r="B183" t="n">
        <v>17783</v>
      </c>
      <c r="C183" s="4">
        <f>(B183-B182)/B182</f>
        <v/>
      </c>
      <c r="D183" t="n">
        <v>1314.46</v>
      </c>
      <c r="E183" s="4">
        <f>(D183-D182)/D182</f>
        <v/>
      </c>
    </row>
    <row r="184">
      <c r="A184" t="inlineStr">
        <is>
          <t>2025-05-26</t>
        </is>
      </c>
      <c r="B184" t="n">
        <v>17832</v>
      </c>
      <c r="C184" s="4">
        <f>(B184-B183)/B183</f>
        <v/>
      </c>
      <c r="D184" t="n">
        <v>1332.51</v>
      </c>
      <c r="E184" s="4">
        <f>(D184-D183)/D183</f>
        <v/>
      </c>
    </row>
    <row r="185">
      <c r="A185" t="inlineStr">
        <is>
          <t>2025-05-27</t>
        </is>
      </c>
      <c r="B185" t="n">
        <v>17783</v>
      </c>
      <c r="C185" s="4">
        <f>(B185-B184)/B184</f>
        <v/>
      </c>
      <c r="D185" t="n">
        <v>1339.81</v>
      </c>
      <c r="E185" s="4">
        <f>(D185-D184)/D184</f>
        <v/>
      </c>
    </row>
    <row r="186">
      <c r="A186" t="inlineStr">
        <is>
          <t>2025-05-28</t>
        </is>
      </c>
      <c r="B186" t="n">
        <v>17685</v>
      </c>
      <c r="C186" s="4">
        <f>(B186-B185)/B185</f>
        <v/>
      </c>
      <c r="D186" t="n">
        <v>1341.87</v>
      </c>
      <c r="E186" s="4">
        <f>(D186-D185)/D185</f>
        <v/>
      </c>
    </row>
    <row r="187">
      <c r="A187" t="inlineStr">
        <is>
          <t>2025-05-29</t>
        </is>
      </c>
      <c r="B187" t="n">
        <v>17832</v>
      </c>
      <c r="C187" s="4">
        <f>(B187-B186)/B186</f>
        <v/>
      </c>
      <c r="D187" t="n">
        <v>1341.86</v>
      </c>
      <c r="E187" s="4">
        <f>(D187-D186)/D186</f>
        <v/>
      </c>
    </row>
    <row r="188">
      <c r="A188" t="inlineStr">
        <is>
          <t>2025-05-30</t>
        </is>
      </c>
      <c r="B188" t="n">
        <v>17636</v>
      </c>
      <c r="C188" s="4">
        <f>(B188-B187)/B187</f>
        <v/>
      </c>
      <c r="D188" t="n">
        <v>1332.6</v>
      </c>
      <c r="E188" s="4">
        <f>(D188-D187)/D187</f>
        <v/>
      </c>
    </row>
    <row r="189">
      <c r="A189" t="inlineStr">
        <is>
          <t>2025-06-02</t>
        </is>
      </c>
      <c r="B189" t="n">
        <v>17685</v>
      </c>
      <c r="C189" s="4">
        <f>(B189-B188)/B188</f>
        <v/>
      </c>
      <c r="D189" t="n">
        <v>1336.3</v>
      </c>
      <c r="E189" s="4">
        <f>(D189-D188)/D188</f>
        <v/>
      </c>
    </row>
    <row r="190">
      <c r="A190" t="inlineStr">
        <is>
          <t>2025-06-03</t>
        </is>
      </c>
      <c r="B190" t="n">
        <v>17980</v>
      </c>
      <c r="C190" s="4">
        <f>(B190-B189)/B189</f>
        <v/>
      </c>
      <c r="D190" t="n">
        <v>1347.25</v>
      </c>
      <c r="E190" s="4">
        <f>(D190-D189)/D189</f>
        <v/>
      </c>
    </row>
    <row r="191">
      <c r="A191" t="inlineStr">
        <is>
          <t>2025-06-04</t>
        </is>
      </c>
      <c r="B191" t="n">
        <v>17931</v>
      </c>
      <c r="C191" s="4">
        <f>(B191-B190)/B190</f>
        <v/>
      </c>
      <c r="D191" t="n">
        <v>1345.74</v>
      </c>
      <c r="E191" s="4">
        <f>(D191-D190)/D190</f>
        <v/>
      </c>
    </row>
    <row r="192">
      <c r="A192" t="inlineStr">
        <is>
          <t>2025-06-05</t>
        </is>
      </c>
      <c r="B192" t="n">
        <v>17783</v>
      </c>
      <c r="C192" s="4">
        <f>(B192-B191)/B191</f>
        <v/>
      </c>
      <c r="D192" t="n">
        <v>1342.09</v>
      </c>
      <c r="E192" s="4">
        <f>(D192-D191)/D191</f>
        <v/>
      </c>
    </row>
    <row r="193">
      <c r="A193" t="inlineStr">
        <is>
          <t>2025-06-06</t>
        </is>
      </c>
      <c r="B193" t="n">
        <v>17489</v>
      </c>
      <c r="C193" s="4">
        <f>(B193-B192)/B192</f>
        <v/>
      </c>
      <c r="D193" t="n">
        <v>1329.89</v>
      </c>
      <c r="E193" s="4">
        <f>(D193-D192)/D192</f>
        <v/>
      </c>
    </row>
    <row r="194">
      <c r="A194" t="inlineStr">
        <is>
          <t>2025-06-09</t>
        </is>
      </c>
      <c r="B194" t="n">
        <v>17538</v>
      </c>
      <c r="C194" s="4">
        <f>(B194-B193)/B193</f>
        <v/>
      </c>
      <c r="D194" t="n">
        <v>1310.57</v>
      </c>
      <c r="E194" s="4">
        <f>(D194-D193)/D193</f>
        <v/>
      </c>
    </row>
    <row r="195">
      <c r="A195" t="inlineStr">
        <is>
          <t>2025-06-10</t>
        </is>
      </c>
      <c r="B195" t="n">
        <v>17636</v>
      </c>
      <c r="C195" s="4">
        <f>(B195-B194)/B194</f>
        <v/>
      </c>
      <c r="D195" t="n">
        <v>1316.23</v>
      </c>
      <c r="E195" s="4">
        <f>(D195-D194)/D194</f>
        <v/>
      </c>
    </row>
    <row r="196">
      <c r="A196" t="inlineStr">
        <is>
          <t>2025-06-11</t>
        </is>
      </c>
      <c r="B196" t="n">
        <v>17685</v>
      </c>
      <c r="C196" s="4">
        <f>(B196-B195)/B195</f>
        <v/>
      </c>
      <c r="D196" t="n">
        <v>1315.2</v>
      </c>
      <c r="E196" s="4">
        <f>(D196-D195)/D195</f>
        <v/>
      </c>
    </row>
    <row r="197">
      <c r="A197" t="inlineStr">
        <is>
          <t>2025-06-12</t>
        </is>
      </c>
      <c r="B197" t="n">
        <v>17882</v>
      </c>
      <c r="C197" s="4">
        <f>(B197-B196)/B196</f>
        <v/>
      </c>
      <c r="D197" t="n">
        <v>1322.99</v>
      </c>
      <c r="E197" s="4">
        <f>(D197-D196)/D196</f>
        <v/>
      </c>
    </row>
    <row r="198">
      <c r="A198" t="inlineStr">
        <is>
          <t>2025-06-13</t>
        </is>
      </c>
      <c r="B198" t="n">
        <v>17832</v>
      </c>
      <c r="C198" s="4">
        <f>(B198-B197)/B197</f>
        <v/>
      </c>
      <c r="D198" t="n">
        <v>1315.49</v>
      </c>
      <c r="E198" s="4">
        <f>(D198-D197)/D197</f>
        <v/>
      </c>
    </row>
    <row r="199">
      <c r="A199" t="inlineStr">
        <is>
          <t>2025-06-16</t>
        </is>
      </c>
      <c r="B199" t="n">
        <v>18471</v>
      </c>
      <c r="C199" s="4">
        <f>(B199-B198)/B198</f>
        <v/>
      </c>
      <c r="D199" t="n">
        <v>1338.11</v>
      </c>
      <c r="E199" s="4">
        <f>(D199-D198)/D198</f>
        <v/>
      </c>
    </row>
    <row r="200">
      <c r="A200" t="inlineStr">
        <is>
          <t>2025-06-17</t>
        </is>
      </c>
      <c r="B200" t="n">
        <v>18471</v>
      </c>
      <c r="C200" s="4">
        <f>(B200-B199)/B199</f>
        <v/>
      </c>
      <c r="D200" t="n">
        <v>1347.69</v>
      </c>
      <c r="E200" s="4">
        <f>(D200-D199)/D199</f>
        <v/>
      </c>
    </row>
    <row r="201">
      <c r="A201" t="inlineStr">
        <is>
          <t>2025-06-18</t>
        </is>
      </c>
      <c r="B201" t="n">
        <v>18176</v>
      </c>
      <c r="C201" s="4">
        <f>(B201-B200)/B200</f>
        <v/>
      </c>
      <c r="D201" t="n">
        <v>1346.83</v>
      </c>
      <c r="E201" s="4">
        <f>(D201-D200)/D200</f>
        <v/>
      </c>
    </row>
    <row r="202">
      <c r="A202" t="inlineStr">
        <is>
          <t>2025-06-19</t>
        </is>
      </c>
      <c r="B202" t="n">
        <v>18176</v>
      </c>
      <c r="C202" s="4">
        <f>(B202-B201)/B201</f>
        <v/>
      </c>
      <c r="D202" t="n">
        <v>1352.04</v>
      </c>
      <c r="E202" s="4">
        <f>(D202-D201)/D201</f>
        <v/>
      </c>
    </row>
    <row r="203">
      <c r="A203" t="inlineStr">
        <is>
          <t>2025-06-20</t>
        </is>
      </c>
      <c r="B203" t="n">
        <v>18127</v>
      </c>
      <c r="C203" s="4">
        <f>(B203-B202)/B202</f>
        <v/>
      </c>
      <c r="D203" t="n">
        <v>1349.35</v>
      </c>
      <c r="E203" s="4">
        <f>(D203-D202)/D202</f>
        <v/>
      </c>
    </row>
    <row r="204">
      <c r="A204" t="inlineStr">
        <is>
          <t>2025-06-23</t>
        </is>
      </c>
      <c r="B204" t="n">
        <v>18078</v>
      </c>
      <c r="C204" s="4">
        <f>(B204-B203)/B203</f>
        <v/>
      </c>
      <c r="D204" t="n">
        <v>1358.18</v>
      </c>
      <c r="E204" s="4">
        <f>(D204-D203)/D203</f>
        <v/>
      </c>
    </row>
    <row r="205">
      <c r="A205" t="inlineStr">
        <is>
          <t>2025-06-24</t>
        </is>
      </c>
      <c r="B205" t="n">
        <v>18225</v>
      </c>
      <c r="C205" s="4">
        <f>(B205-B204)/B204</f>
        <v/>
      </c>
      <c r="D205" t="n">
        <v>1366.77</v>
      </c>
      <c r="E205" s="4">
        <f>(D205-D204)/D204</f>
        <v/>
      </c>
    </row>
    <row r="206">
      <c r="A206" t="inlineStr">
        <is>
          <t>2025-06-25</t>
        </is>
      </c>
      <c r="B206" t="n">
        <v>18078</v>
      </c>
      <c r="C206" s="4">
        <f>(B206-B205)/B205</f>
        <v/>
      </c>
      <c r="D206" t="n">
        <v>1366.75</v>
      </c>
      <c r="E206" s="4">
        <f>(D206-D205)/D205</f>
        <v/>
      </c>
    </row>
    <row r="207">
      <c r="A207" t="inlineStr">
        <is>
          <t>2025-06-26</t>
        </is>
      </c>
      <c r="B207" t="n">
        <v>18029</v>
      </c>
      <c r="C207" s="4">
        <f>(B207-B206)/B206</f>
        <v/>
      </c>
      <c r="D207" t="n">
        <v>1365.67</v>
      </c>
      <c r="E207" s="4">
        <f>(D207-D206)/D206</f>
        <v/>
      </c>
    </row>
    <row r="208">
      <c r="A208" t="inlineStr">
        <is>
          <t>2025-06-27</t>
        </is>
      </c>
      <c r="B208" t="n">
        <v>18176</v>
      </c>
      <c r="C208" s="4">
        <f>(B208-B207)/B207</f>
        <v/>
      </c>
      <c r="D208" t="n">
        <v>1371.44</v>
      </c>
      <c r="E208" s="4">
        <f>(D208-D207)/D207</f>
        <v/>
      </c>
    </row>
    <row r="209">
      <c r="A209" t="inlineStr">
        <is>
          <t>2025-06-30</t>
        </is>
      </c>
      <c r="B209" t="n">
        <v>18176</v>
      </c>
      <c r="C209" s="4">
        <f>(B209-B208)/B208</f>
        <v/>
      </c>
      <c r="D209" t="n">
        <v>1376.07</v>
      </c>
      <c r="E209" s="4">
        <f>(D209-D208)/D208</f>
        <v/>
      </c>
    </row>
    <row r="210">
      <c r="A210" t="inlineStr">
        <is>
          <t>2025-07-01</t>
        </is>
      </c>
      <c r="B210" t="n">
        <v>18127</v>
      </c>
      <c r="C210" s="4">
        <f>(B210-B209)/B209</f>
        <v/>
      </c>
      <c r="D210" t="n">
        <v>1377.84</v>
      </c>
      <c r="E210" s="4">
        <f>(D210-D209)/D209</f>
        <v/>
      </c>
    </row>
    <row r="211">
      <c r="A211" t="inlineStr">
        <is>
          <t>2025-07-02</t>
        </is>
      </c>
      <c r="B211" t="n">
        <v>18275</v>
      </c>
      <c r="C211" s="4">
        <f>(B211-B210)/B210</f>
        <v/>
      </c>
      <c r="D211" t="n">
        <v>1384.59</v>
      </c>
      <c r="E211" s="4">
        <f>(D211-D210)/D210</f>
        <v/>
      </c>
    </row>
    <row r="212">
      <c r="A212" t="inlineStr">
        <is>
          <t>2025-07-03</t>
        </is>
      </c>
      <c r="B212" t="n">
        <v>18324</v>
      </c>
      <c r="C212" s="4">
        <f>(B212-B211)/B211</f>
        <v/>
      </c>
      <c r="D212" t="n">
        <v>1381.96</v>
      </c>
      <c r="E212" s="4">
        <f>(D212-D211)/D211</f>
        <v/>
      </c>
    </row>
    <row r="213">
      <c r="A213" t="inlineStr">
        <is>
          <t>2025-07-04</t>
        </is>
      </c>
      <c r="B213" t="n">
        <v>18422</v>
      </c>
      <c r="C213" s="4">
        <f>(B213-B212)/B212</f>
        <v/>
      </c>
      <c r="D213" t="n">
        <v>1386.97</v>
      </c>
      <c r="E213" s="4">
        <f>(D213-D212)/D212</f>
        <v/>
      </c>
    </row>
    <row r="214">
      <c r="A214" t="inlineStr">
        <is>
          <t>2025-07-07</t>
        </is>
      </c>
      <c r="B214" t="n">
        <v>18962</v>
      </c>
      <c r="C214" s="4">
        <f>(B214-B213)/B213</f>
        <v/>
      </c>
      <c r="D214" t="n">
        <v>1402.06</v>
      </c>
      <c r="E214" s="4">
        <f>(D214-D213)/D213</f>
        <v/>
      </c>
    </row>
    <row r="215">
      <c r="A215" t="inlineStr">
        <is>
          <t>2025-07-08</t>
        </is>
      </c>
      <c r="B215" t="n">
        <v>19257</v>
      </c>
      <c r="C215" s="4">
        <f>(B215-B214)/B214</f>
        <v/>
      </c>
      <c r="D215" t="n">
        <v>1415.46</v>
      </c>
      <c r="E215" s="4">
        <f>(D215-D214)/D214</f>
        <v/>
      </c>
    </row>
    <row r="216">
      <c r="A216" t="inlineStr">
        <is>
          <t>2025-07-09</t>
        </is>
      </c>
      <c r="B216" t="n">
        <v>19699</v>
      </c>
      <c r="C216" s="4">
        <f>(B216-B215)/B215</f>
        <v/>
      </c>
      <c r="D216" t="n">
        <v>1431.32</v>
      </c>
      <c r="E216" s="4">
        <f>(D216-D215)/D215</f>
        <v/>
      </c>
    </row>
    <row r="217">
      <c r="A217" t="inlineStr">
        <is>
          <t>2025-07-10</t>
        </is>
      </c>
      <c r="B217" t="n">
        <v>19797</v>
      </c>
      <c r="C217" s="4">
        <f>(B217-B216)/B216</f>
        <v/>
      </c>
      <c r="D217" t="n">
        <v>1445.64</v>
      </c>
      <c r="E217" s="4">
        <f>(D217-D216)/D216</f>
        <v/>
      </c>
    </row>
    <row r="218">
      <c r="A218" t="inlineStr">
        <is>
          <t>2025-07-11</t>
        </is>
      </c>
      <c r="B218" t="n">
        <v>19797</v>
      </c>
      <c r="C218" s="4">
        <f>(B218-B217)/B217</f>
        <v/>
      </c>
      <c r="D218" t="n">
        <v>1457.76</v>
      </c>
      <c r="E218" s="4">
        <f>(D218-D217)/D217</f>
        <v/>
      </c>
    </row>
    <row r="219">
      <c r="A219" t="inlineStr">
        <is>
          <t>2025-07-14</t>
        </is>
      </c>
      <c r="B219" t="n">
        <v>20633</v>
      </c>
      <c r="C219" s="4">
        <f>(B219-B218)/B218</f>
        <v/>
      </c>
      <c r="D219" t="n">
        <v>1470.42</v>
      </c>
      <c r="E219" s="4">
        <f>(D219-D218)/D218</f>
        <v/>
      </c>
    </row>
    <row r="220">
      <c r="A220" t="inlineStr">
        <is>
          <t>2025-07-15</t>
        </is>
      </c>
      <c r="B220" t="n">
        <v>20387</v>
      </c>
      <c r="C220" s="4">
        <f>(B220-B219)/B219</f>
        <v/>
      </c>
      <c r="D220" t="n">
        <v>1460.65</v>
      </c>
      <c r="E220" s="4">
        <f>(D220-D219)/D219</f>
        <v/>
      </c>
    </row>
    <row r="221">
      <c r="A221" t="inlineStr">
        <is>
          <t>2025-07-16</t>
        </is>
      </c>
      <c r="B221" t="n">
        <v>20485</v>
      </c>
      <c r="C221" s="4">
        <f>(B221-B220)/B220</f>
        <v/>
      </c>
      <c r="D221" t="n">
        <v>1475.47</v>
      </c>
      <c r="E221" s="4">
        <f>(D221-D220)/D220</f>
        <v/>
      </c>
    </row>
    <row r="222">
      <c r="A222" t="inlineStr">
        <is>
          <t>2025-07-17</t>
        </is>
      </c>
      <c r="B222" t="n">
        <v>20534</v>
      </c>
      <c r="C222" s="4">
        <f>(B222-B221)/B221</f>
        <v/>
      </c>
      <c r="D222" t="n">
        <v>1490.01</v>
      </c>
      <c r="E222" s="4">
        <f>(D222-D221)/D221</f>
        <v/>
      </c>
    </row>
    <row r="223">
      <c r="A223" t="inlineStr">
        <is>
          <t>2025-07-18</t>
        </is>
      </c>
      <c r="B223" t="n">
        <v>20976</v>
      </c>
      <c r="C223" s="4">
        <f>(B223-B222)/B222</f>
        <v/>
      </c>
      <c r="D223" t="n">
        <v>1497.28</v>
      </c>
      <c r="E223" s="4">
        <f>(D223-D222)/D222</f>
        <v/>
      </c>
    </row>
    <row r="224">
      <c r="A224" t="inlineStr">
        <is>
          <t>2025-07-21</t>
        </is>
      </c>
      <c r="B224" t="n">
        <v>21910</v>
      </c>
      <c r="C224" s="4">
        <f>(B224-B223)/B223</f>
        <v/>
      </c>
      <c r="D224" t="n">
        <v>1485.05</v>
      </c>
      <c r="E224" s="4">
        <f>(D224-D223)/D223</f>
        <v/>
      </c>
    </row>
    <row r="225">
      <c r="A225" t="inlineStr">
        <is>
          <t>2025-07-22</t>
        </is>
      </c>
      <c r="B225" t="n">
        <v>22106</v>
      </c>
      <c r="C225" s="4">
        <f>(B225-B224)/B224</f>
        <v/>
      </c>
      <c r="D225" t="n">
        <v>1509.54</v>
      </c>
      <c r="E225" s="4">
        <f>(D225-D224)/D224</f>
        <v/>
      </c>
    </row>
    <row r="226">
      <c r="A226" t="inlineStr">
        <is>
          <t>2025-07-23</t>
        </is>
      </c>
      <c r="B226" t="n">
        <v>22941</v>
      </c>
      <c r="C226" s="4">
        <f>(B226-B225)/B225</f>
        <v/>
      </c>
      <c r="D226" t="n">
        <v>1512.31</v>
      </c>
      <c r="E226" s="4">
        <f>(D226-D225)/D225</f>
        <v/>
      </c>
    </row>
    <row r="227">
      <c r="A227" t="inlineStr">
        <is>
          <t>2025-07-24</t>
        </is>
      </c>
      <c r="B227" t="n">
        <v>23089</v>
      </c>
      <c r="C227" s="4">
        <f>(B227-B226)/B226</f>
        <v/>
      </c>
      <c r="D227" t="n">
        <v>1521.02</v>
      </c>
      <c r="E227" s="4">
        <f>(D227-D226)/D226</f>
        <v/>
      </c>
    </row>
    <row r="228">
      <c r="A228" t="inlineStr">
        <is>
          <t>2025-07-25</t>
        </is>
      </c>
      <c r="B228" t="n">
        <v>23629</v>
      </c>
      <c r="C228" s="4">
        <f>(B228-B227)/B227</f>
        <v/>
      </c>
      <c r="D228" t="n">
        <v>1531.13</v>
      </c>
      <c r="E228" s="4">
        <f>(D228-D227)/D227</f>
        <v/>
      </c>
    </row>
    <row r="229">
      <c r="A229" t="inlineStr">
        <is>
          <t>2025-07-28</t>
        </is>
      </c>
      <c r="B229" t="n">
        <v>24661</v>
      </c>
      <c r="C229" s="4">
        <f>(B229-B228)/B228</f>
        <v/>
      </c>
      <c r="D229" t="n">
        <v>1557.42</v>
      </c>
      <c r="E229" s="4">
        <f>(D229-D228)/D228</f>
        <v/>
      </c>
    </row>
    <row r="230">
      <c r="A230" t="inlineStr">
        <is>
          <t>2025-07-29</t>
        </is>
      </c>
      <c r="B230" t="n">
        <v>23187</v>
      </c>
      <c r="C230" s="4">
        <f>(B230-B229)/B229</f>
        <v/>
      </c>
      <c r="D230" t="n">
        <v>1493.41</v>
      </c>
      <c r="E230" s="4">
        <f>(D230-D229)/D229</f>
        <v/>
      </c>
    </row>
    <row r="231">
      <c r="A231" t="inlineStr">
        <is>
          <t>2025-07-30</t>
        </is>
      </c>
      <c r="B231" t="n">
        <v>24808</v>
      </c>
      <c r="C231" s="4">
        <f>(B231-B230)/B230</f>
        <v/>
      </c>
      <c r="D231" t="n">
        <v>1507.63</v>
      </c>
      <c r="E231" s="4">
        <f>(D231-D230)/D230</f>
        <v/>
      </c>
    </row>
    <row r="232">
      <c r="A232" t="inlineStr">
        <is>
          <t>2025-07-31</t>
        </is>
      </c>
      <c r="B232" t="n">
        <v>25349</v>
      </c>
      <c r="C232" s="4">
        <f>(B232-B231)/B231</f>
        <v/>
      </c>
      <c r="D232" t="n">
        <v>1502.52</v>
      </c>
      <c r="E232" s="4">
        <f>(D232-D231)/D231</f>
        <v/>
      </c>
    </row>
    <row r="233">
      <c r="A233" t="inlineStr">
        <is>
          <t>2025-08-01</t>
        </is>
      </c>
      <c r="B233" t="n">
        <v>25349</v>
      </c>
      <c r="C233" s="4">
        <f>(B233-B232)/B232</f>
        <v/>
      </c>
      <c r="D233" t="n">
        <v>1495.21</v>
      </c>
      <c r="E233" s="4">
        <f>(D233-D232)/D232</f>
        <v/>
      </c>
    </row>
    <row r="234">
      <c r="A234" t="inlineStr">
        <is>
          <t>2025-08-04</t>
        </is>
      </c>
      <c r="B234" t="n">
        <v>25938</v>
      </c>
      <c r="C234" s="4">
        <f>(B234-B233)/B233</f>
        <v/>
      </c>
      <c r="D234" t="n">
        <v>1528.19</v>
      </c>
      <c r="E234" s="4">
        <f>(D234-D233)/D233</f>
        <v/>
      </c>
    </row>
    <row r="235">
      <c r="A235" t="inlineStr">
        <is>
          <t>2025-08-05</t>
        </is>
      </c>
      <c r="B235" t="n">
        <v>26036</v>
      </c>
      <c r="C235" s="4">
        <f>(B235-B234)/B234</f>
        <v/>
      </c>
      <c r="D235" t="n">
        <v>1547.15</v>
      </c>
      <c r="E235" s="4">
        <f>(D235-D234)/D234</f>
        <v/>
      </c>
    </row>
    <row r="236">
      <c r="A236" t="inlineStr">
        <is>
          <t>2025-08-06</t>
        </is>
      </c>
      <c r="B236" t="n">
        <v>26626</v>
      </c>
      <c r="C236" s="4">
        <f>(B236-B235)/B235</f>
        <v/>
      </c>
      <c r="D236" t="n">
        <v>1573.71</v>
      </c>
      <c r="E236" s="4">
        <f>(D236-D235)/D235</f>
        <v/>
      </c>
    </row>
    <row r="237">
      <c r="A237" t="inlineStr">
        <is>
          <t>2025-08-07</t>
        </is>
      </c>
      <c r="B237" t="n">
        <v>28443</v>
      </c>
      <c r="C237" s="4">
        <f>(B237-B236)/B236</f>
        <v/>
      </c>
      <c r="D237" t="n">
        <v>1581.81</v>
      </c>
      <c r="E237" s="4">
        <f>(D237-D236)/D236</f>
        <v/>
      </c>
    </row>
    <row r="238">
      <c r="A238" t="inlineStr">
        <is>
          <t>2025-08-08</t>
        </is>
      </c>
      <c r="B238" t="n">
        <v>29033</v>
      </c>
      <c r="C238" s="4">
        <f>(B238-B237)/B237</f>
        <v/>
      </c>
      <c r="D238" t="n">
        <v>1584.95</v>
      </c>
      <c r="E238" s="4">
        <f>(D238-D237)/D237</f>
        <v/>
      </c>
    </row>
    <row r="239">
      <c r="A239" t="inlineStr">
        <is>
          <t>2025-08-11</t>
        </is>
      </c>
      <c r="B239" t="n">
        <v>29082</v>
      </c>
      <c r="C239" s="4">
        <f>(B239-B238)/B238</f>
        <v/>
      </c>
      <c r="D239" t="n">
        <v>1596.86</v>
      </c>
      <c r="E239" s="4">
        <f>(D239-D238)/D238</f>
        <v/>
      </c>
    </row>
    <row r="240">
      <c r="A240" t="inlineStr">
        <is>
          <t>2025-08-12</t>
        </is>
      </c>
      <c r="B240" t="n">
        <v>29082</v>
      </c>
      <c r="C240" s="4">
        <f>(B240-B239)/B239</f>
        <v/>
      </c>
      <c r="D240" t="n">
        <v>1608.22</v>
      </c>
      <c r="E240" s="4">
        <f>(D240-D239)/D239</f>
        <v/>
      </c>
    </row>
    <row r="241">
      <c r="A241" t="inlineStr">
        <is>
          <t>2025-08-13</t>
        </is>
      </c>
      <c r="B241" t="n">
        <v>28296</v>
      </c>
      <c r="C241" s="4">
        <f>(B241-B240)/B240</f>
        <v/>
      </c>
      <c r="D241" t="n">
        <v>1611.6</v>
      </c>
      <c r="E241" s="4">
        <f>(D241-D240)/D240</f>
        <v/>
      </c>
    </row>
    <row r="242">
      <c r="A242" t="inlineStr">
        <is>
          <t>2025-08-14</t>
        </is>
      </c>
      <c r="B242" t="n">
        <v>30261</v>
      </c>
      <c r="C242" s="4">
        <f>(B242-B241)/B241</f>
        <v/>
      </c>
      <c r="D242" t="n">
        <v>1640.69</v>
      </c>
      <c r="E242" s="4">
        <f>(D242-D241)/D241</f>
        <v/>
      </c>
    </row>
    <row r="243">
      <c r="A243" t="inlineStr">
        <is>
          <t>2025-08-15</t>
        </is>
      </c>
      <c r="B243" t="n">
        <v>30556</v>
      </c>
      <c r="C243" s="4">
        <f>(B243-B242)/B242</f>
        <v/>
      </c>
      <c r="D243" t="n">
        <v>1630</v>
      </c>
      <c r="E243" s="4">
        <f>(D243-D242)/D242</f>
        <v/>
      </c>
    </row>
    <row r="244">
      <c r="A244" t="inlineStr">
        <is>
          <t>2025-08-18</t>
        </is>
      </c>
      <c r="B244" t="n">
        <v>31440</v>
      </c>
      <c r="C244" s="4">
        <f>(B244-B243)/B243</f>
        <v/>
      </c>
      <c r="D244" t="n">
        <v>1636.37</v>
      </c>
      <c r="E244" s="4">
        <f>(D244-D243)/D243</f>
        <v/>
      </c>
    </row>
    <row r="245">
      <c r="A245" t="inlineStr">
        <is>
          <t>2025-08-19</t>
        </is>
      </c>
      <c r="B245" t="n">
        <v>33602</v>
      </c>
      <c r="C245" s="4">
        <f>(B245-B244)/B244</f>
        <v/>
      </c>
      <c r="D245" t="n">
        <v>1654.2</v>
      </c>
      <c r="E245" s="4">
        <f>(D245-D244)/D244</f>
        <v/>
      </c>
    </row>
    <row r="246">
      <c r="A246" t="inlineStr">
        <is>
          <t>2025-08-20</t>
        </is>
      </c>
      <c r="B246" t="n">
        <v>35910</v>
      </c>
      <c r="C246" s="4">
        <f>(B246-B245)/B245</f>
        <v/>
      </c>
      <c r="D246" t="n">
        <v>1664.36</v>
      </c>
      <c r="E246" s="4">
        <f>(D246-D245)/D245</f>
        <v/>
      </c>
    </row>
    <row r="247">
      <c r="A247" t="inlineStr">
        <is>
          <t>2025-08-21</t>
        </is>
      </c>
      <c r="B247" t="n">
        <v>37974</v>
      </c>
      <c r="C247" s="4">
        <f>(B247-B246)/B246</f>
        <v/>
      </c>
      <c r="D247" t="n">
        <v>1688</v>
      </c>
      <c r="E247" s="4">
        <f>(D247-D246)/D246</f>
        <v/>
      </c>
    </row>
    <row r="248">
      <c r="A248" t="inlineStr">
        <is>
          <t>2025-08-22</t>
        </is>
      </c>
      <c r="B248" t="n">
        <v>35321</v>
      </c>
      <c r="C248" s="4">
        <f>(B248-B247)/B247</f>
        <v/>
      </c>
      <c r="D248" t="n">
        <v>1645.47</v>
      </c>
      <c r="E248" s="4">
        <f>(D248-D247)/D247</f>
        <v/>
      </c>
    </row>
    <row r="249">
      <c r="A249" t="inlineStr">
        <is>
          <t>2025-08-25</t>
        </is>
      </c>
      <c r="B249" t="n">
        <v>32914</v>
      </c>
      <c r="C249" s="4">
        <f>(B249-B248)/B248</f>
        <v/>
      </c>
      <c r="D249" t="n">
        <v>1614.03</v>
      </c>
      <c r="E249" s="4">
        <f>(D249-D248)/D248</f>
        <v/>
      </c>
    </row>
    <row r="250">
      <c r="A250" t="inlineStr">
        <is>
          <t>2025-08-26</t>
        </is>
      </c>
      <c r="B250" t="n">
        <v>33700</v>
      </c>
      <c r="C250" s="4">
        <f>(B250-B249)/B249</f>
        <v/>
      </c>
      <c r="D250" t="n">
        <v>1667.63</v>
      </c>
      <c r="E250" s="4">
        <f>(D250-D249)/D249</f>
        <v/>
      </c>
    </row>
    <row r="251">
      <c r="A251" t="inlineStr">
        <is>
          <t>2025-08-27</t>
        </is>
      </c>
      <c r="B251" t="n">
        <v>32717</v>
      </c>
      <c r="C251" s="4">
        <f>(B251-B250)/B250</f>
        <v/>
      </c>
      <c r="D251" t="n">
        <v>1672.78</v>
      </c>
      <c r="E251" s="4">
        <f>(D251-D250)/D250</f>
        <v/>
      </c>
    </row>
    <row r="252">
      <c r="A252" t="inlineStr">
        <is>
          <t>2025-08-28</t>
        </is>
      </c>
      <c r="B252" t="n">
        <v>33405</v>
      </c>
      <c r="C252" s="4">
        <f>(B252-B251)/B251</f>
        <v/>
      </c>
      <c r="D252" t="n">
        <v>1680.86</v>
      </c>
      <c r="E252" s="4">
        <f>(D252-D251)/D251</f>
        <v/>
      </c>
    </row>
    <row r="253">
      <c r="A253" t="inlineStr">
        <is>
          <t>2025-08-29</t>
        </is>
      </c>
      <c r="B253" t="n">
        <v>34388</v>
      </c>
      <c r="C253" s="4">
        <f>(B253-B252)/B252</f>
        <v/>
      </c>
      <c r="D253" t="n">
        <v>1682.21</v>
      </c>
      <c r="E253" s="4">
        <f>(D253-D252)/D252</f>
        <v/>
      </c>
    </row>
    <row r="254">
      <c r="A254" t="inlineStr">
        <is>
          <t>2025-09-03</t>
        </is>
      </c>
      <c r="B254" t="n">
        <v>33896</v>
      </c>
      <c r="C254" s="4">
        <f>(B254-B253)/B253</f>
        <v/>
      </c>
      <c r="D254" t="n">
        <v>1681.3</v>
      </c>
      <c r="E254" s="4">
        <f>(D254-D253)/D253</f>
        <v/>
      </c>
    </row>
    <row r="255">
      <c r="A255" t="inlineStr">
        <is>
          <t>2025-09-04</t>
        </is>
      </c>
      <c r="B255" t="n">
        <v>34289</v>
      </c>
      <c r="C255" s="4">
        <f>(B255-B254)/B254</f>
        <v/>
      </c>
      <c r="D255" t="n">
        <v>1696.29</v>
      </c>
      <c r="E255" s="4">
        <f>(D255-D254)/D254</f>
        <v/>
      </c>
    </row>
    <row r="256">
      <c r="A256" t="inlineStr">
        <is>
          <t>2025-09-05</t>
        </is>
      </c>
      <c r="B256" t="n">
        <v>32914</v>
      </c>
      <c r="C256" s="4">
        <f>(B256-B255)/B255</f>
        <v/>
      </c>
      <c r="D256" t="n">
        <v>1666.97</v>
      </c>
      <c r="E256" s="4">
        <f>(D256-D255)/D255</f>
        <v/>
      </c>
    </row>
    <row r="257">
      <c r="A257" t="inlineStr">
        <is>
          <t>2025-09-08</t>
        </is>
      </c>
      <c r="B257" t="n">
        <v>30654</v>
      </c>
      <c r="C257" s="4">
        <f>(B257-B256)/B256</f>
        <v/>
      </c>
      <c r="D257" t="n">
        <v>1624.53</v>
      </c>
      <c r="E257" s="4">
        <f>(D257-D256)/D256</f>
        <v/>
      </c>
    </row>
    <row r="258">
      <c r="A258" t="inlineStr">
        <is>
          <t>2025-09-09</t>
        </is>
      </c>
      <c r="B258" t="n">
        <v>31833</v>
      </c>
      <c r="C258" s="4">
        <f>(B258-B257)/B257</f>
        <v/>
      </c>
      <c r="D258" t="n">
        <v>1637.32</v>
      </c>
      <c r="E258" s="4">
        <f>(D258-D257)/D257</f>
        <v/>
      </c>
    </row>
    <row r="259">
      <c r="A259" t="inlineStr">
        <is>
          <t>2025-09-10</t>
        </is>
      </c>
      <c r="B259" t="n">
        <v>31882</v>
      </c>
      <c r="C259" s="4">
        <f>(B259-B258)/B258</f>
        <v/>
      </c>
      <c r="D259" t="n">
        <v>1643.26</v>
      </c>
      <c r="E259" s="4">
        <f>(D259-D258)/D258</f>
        <v/>
      </c>
    </row>
    <row r="260">
      <c r="A260" t="inlineStr">
        <is>
          <t>2025-09-11</t>
        </is>
      </c>
      <c r="B260" t="n">
        <v>31686</v>
      </c>
      <c r="C260" s="4">
        <f>(B260-B259)/B259</f>
        <v/>
      </c>
      <c r="D260" t="n">
        <v>1657.75</v>
      </c>
      <c r="E260" s="4">
        <f>(D260-D259)/D259</f>
        <v/>
      </c>
    </row>
    <row r="261">
      <c r="A261" t="inlineStr">
        <is>
          <t>2025-09-12</t>
        </is>
      </c>
      <c r="B261" t="n">
        <v>31047</v>
      </c>
      <c r="C261" s="4">
        <f>(B261-B260)/B260</f>
        <v/>
      </c>
      <c r="D261" t="n">
        <v>1667.26</v>
      </c>
      <c r="E261" s="4">
        <f>(D261-D260)/D260</f>
        <v/>
      </c>
    </row>
    <row r="262">
      <c r="A262" t="inlineStr">
        <is>
          <t>2025-09-15</t>
        </is>
      </c>
      <c r="B262" t="n">
        <v>30998</v>
      </c>
      <c r="C262" s="4">
        <f>(B262-B261)/B261</f>
        <v/>
      </c>
      <c r="D262" t="n">
        <v>1684.9</v>
      </c>
      <c r="E262" s="4">
        <f>(D262-D261)/D261</f>
        <v/>
      </c>
    </row>
    <row r="263">
      <c r="A263" t="inlineStr">
        <is>
          <t>2025-09-16</t>
        </is>
      </c>
      <c r="B263" t="n">
        <v>31145</v>
      </c>
      <c r="C263" s="4">
        <f>(B263-B262)/B262</f>
        <v/>
      </c>
      <c r="D263" t="n">
        <v>1680.9</v>
      </c>
      <c r="E263" s="4">
        <f>(D263-D262)/D262</f>
        <v/>
      </c>
    </row>
    <row r="264">
      <c r="A264" t="inlineStr">
        <is>
          <t>2025-09-17</t>
        </is>
      </c>
      <c r="B264" t="n">
        <v>30458</v>
      </c>
      <c r="C264" s="4">
        <f>(B264-B263)/B263</f>
        <v/>
      </c>
      <c r="D264" t="n">
        <v>1670.97</v>
      </c>
      <c r="E264" s="4">
        <f>(D264-D263)/D263</f>
        <v/>
      </c>
    </row>
    <row r="265">
      <c r="A265" t="inlineStr">
        <is>
          <t>2025-09-18</t>
        </is>
      </c>
      <c r="B265" t="n">
        <v>30261</v>
      </c>
      <c r="C265" s="4">
        <f>(B265-B264)/B264</f>
        <v/>
      </c>
      <c r="D265" t="n">
        <v>1665.18</v>
      </c>
      <c r="E265" s="4">
        <f>(D265-D264)/D264</f>
        <v/>
      </c>
    </row>
    <row r="266">
      <c r="A266" t="inlineStr">
        <is>
          <t>2025-09-19</t>
        </is>
      </c>
      <c r="B266" t="n">
        <v>29868</v>
      </c>
      <c r="C266" s="4">
        <f>(B266-B265)/B265</f>
        <v/>
      </c>
      <c r="D266" t="n">
        <v>1658.62</v>
      </c>
      <c r="E266" s="4">
        <f>(D266-D265)/D265</f>
        <v/>
      </c>
    </row>
    <row r="267">
      <c r="A267" t="inlineStr">
        <is>
          <t>2025-09-22</t>
        </is>
      </c>
      <c r="B267" t="n">
        <v>28984</v>
      </c>
      <c r="C267" s="4">
        <f>(B267-B266)/B266</f>
        <v/>
      </c>
      <c r="D267" t="n">
        <v>1634.45</v>
      </c>
      <c r="E267" s="4">
        <f>(D267-D266)/D266</f>
        <v/>
      </c>
    </row>
    <row r="268">
      <c r="A268" t="inlineStr">
        <is>
          <t>2025-09-23</t>
        </is>
      </c>
      <c r="B268" t="n">
        <v>29377</v>
      </c>
      <c r="C268" s="4">
        <f>(B268-B267)/B267</f>
        <v/>
      </c>
      <c r="D268" t="n">
        <v>1635.26</v>
      </c>
      <c r="E268" s="4">
        <f>(D268-D267)/D267</f>
        <v/>
      </c>
    </row>
    <row r="269">
      <c r="A269" t="inlineStr">
        <is>
          <t>2025-09-24</t>
        </is>
      </c>
      <c r="B269" t="n">
        <v>31047</v>
      </c>
      <c r="C269" s="4">
        <f>(B269-B268)/B268</f>
        <v/>
      </c>
      <c r="D269" t="n">
        <v>1657.46</v>
      </c>
      <c r="E269" s="4">
        <f>(D269-D268)/D268</f>
        <v/>
      </c>
    </row>
    <row r="270">
      <c r="A270" t="inlineStr">
        <is>
          <t>2025-09-25</t>
        </is>
      </c>
      <c r="B270" t="n">
        <v>30408</v>
      </c>
      <c r="C270" s="4">
        <f>(B270-B269)/B269</f>
        <v/>
      </c>
      <c r="D270" t="n">
        <v>1666.09</v>
      </c>
      <c r="E270" s="4">
        <f>(D270-D269)/D269</f>
        <v/>
      </c>
    </row>
    <row r="271">
      <c r="A271" t="inlineStr">
        <is>
          <t>2025-09-26</t>
        </is>
      </c>
      <c r="B271" t="n">
        <v>29868</v>
      </c>
      <c r="C271" s="4">
        <f>(B271-B270)/B270</f>
        <v/>
      </c>
      <c r="D271" t="n">
        <v>1660.7</v>
      </c>
      <c r="E271" s="4">
        <f>(D271-D270)/D270</f>
        <v/>
      </c>
    </row>
    <row r="272">
      <c r="A272" t="inlineStr">
        <is>
          <t>2025-09-29</t>
        </is>
      </c>
      <c r="B272" t="n">
        <v>30556</v>
      </c>
      <c r="C272" s="4">
        <f>(B272-B271)/B271</f>
        <v/>
      </c>
      <c r="D272" t="n">
        <v>1666.48</v>
      </c>
      <c r="E272" s="4">
        <f>(D272-D271)/D271</f>
        <v/>
      </c>
    </row>
    <row r="273">
      <c r="A273" t="inlineStr">
        <is>
          <t>2025-09-30</t>
        </is>
      </c>
      <c r="B273" t="n">
        <v>30556</v>
      </c>
      <c r="C273" s="4">
        <f>(B273-B272)/B272</f>
        <v/>
      </c>
      <c r="D273" t="n">
        <v>1661.7</v>
      </c>
      <c r="E273" s="4">
        <f>(D273-D272)/D272</f>
        <v/>
      </c>
    </row>
    <row r="274">
      <c r="A274" t="inlineStr">
        <is>
          <t>2025-10-01</t>
        </is>
      </c>
      <c r="B274" t="n">
        <v>30359</v>
      </c>
      <c r="C274" s="4">
        <f>(B274-B273)/B273</f>
        <v/>
      </c>
      <c r="D274" t="n">
        <v>1665.05</v>
      </c>
      <c r="E274" s="4">
        <f>(D274-D273)/D273</f>
        <v/>
      </c>
    </row>
    <row r="275">
      <c r="A275" t="inlineStr">
        <is>
          <t>2025-10-02</t>
        </is>
      </c>
      <c r="B275" t="n">
        <v>29622</v>
      </c>
      <c r="C275" s="4">
        <f>(B275-B274)/B274</f>
        <v/>
      </c>
      <c r="D275" t="n">
        <v>1652.71</v>
      </c>
      <c r="E275" s="4">
        <f>(D275-D274)/D274</f>
        <v/>
      </c>
    </row>
    <row r="276">
      <c r="A276" t="inlineStr">
        <is>
          <t>2025-10-03</t>
        </is>
      </c>
      <c r="B276" t="n">
        <v>28984</v>
      </c>
      <c r="C276" s="4">
        <f>(B276-B275)/B275</f>
        <v/>
      </c>
      <c r="D276" t="n">
        <v>1645.82</v>
      </c>
      <c r="E276" s="4">
        <f>(D276-D275)/D275</f>
        <v/>
      </c>
    </row>
    <row r="277">
      <c r="A277" t="inlineStr">
        <is>
          <t>2025-10-06</t>
        </is>
      </c>
      <c r="B277" t="n">
        <v>30998</v>
      </c>
      <c r="C277" s="4">
        <f>(B277-B276)/B276</f>
        <v/>
      </c>
      <c r="D277" t="n">
        <v>1695.5</v>
      </c>
      <c r="E277" s="4">
        <f>(D277-D276)/D276</f>
        <v/>
      </c>
    </row>
    <row r="278">
      <c r="A278" t="inlineStr">
        <is>
          <t>2025-10-07</t>
        </is>
      </c>
      <c r="B278" t="n">
        <v>30507</v>
      </c>
      <c r="C278" s="4">
        <f>(B278-B277)/B277</f>
        <v/>
      </c>
      <c r="D278" t="n">
        <v>1685.3</v>
      </c>
      <c r="E278" s="4">
        <f>(D278-D277)/D277</f>
        <v/>
      </c>
    </row>
    <row r="279">
      <c r="A279" t="inlineStr">
        <is>
          <t>2025-10-08</t>
        </is>
      </c>
      <c r="B279" t="n">
        <v>30556</v>
      </c>
      <c r="C279" s="4">
        <f>(B279-B278)/B278</f>
        <v/>
      </c>
      <c r="D279" t="n">
        <v>1697.83</v>
      </c>
      <c r="E279" s="4">
        <f>(D279-D278)/D278</f>
        <v/>
      </c>
    </row>
    <row r="280">
      <c r="A280" t="inlineStr">
        <is>
          <t>2025-10-09</t>
        </is>
      </c>
      <c r="B280" t="n">
        <v>31538</v>
      </c>
      <c r="C280" s="4">
        <f>(B280-B279)/B279</f>
        <v/>
      </c>
      <c r="D280" t="n">
        <v>1716.47</v>
      </c>
      <c r="E280" s="4">
        <f>(D280-D279)/D279</f>
        <v/>
      </c>
    </row>
    <row r="281">
      <c r="A281" t="inlineStr">
        <is>
          <t>2025-10-10</t>
        </is>
      </c>
      <c r="B281" t="n">
        <v>31538</v>
      </c>
      <c r="C281" s="4">
        <f>(B281-B280)/B280</f>
        <v/>
      </c>
      <c r="D281" t="n">
        <v>1747.55</v>
      </c>
      <c r="E281" s="4">
        <f>(D281-D280)/D280</f>
        <v/>
      </c>
    </row>
    <row r="282">
      <c r="A282" t="inlineStr">
        <is>
          <t>2025-10-13</t>
        </is>
      </c>
      <c r="B282" t="n">
        <v>31145</v>
      </c>
      <c r="C282" s="4">
        <f>(B282-B281)/B281</f>
        <v/>
      </c>
      <c r="D282" t="n">
        <v>1765.12</v>
      </c>
      <c r="E282" s="4">
        <f>(D282-D281)/D281</f>
        <v/>
      </c>
    </row>
    <row r="283">
      <c r="A283" t="inlineStr">
        <is>
          <t>2025-10-14</t>
        </is>
      </c>
      <c r="B283" t="n">
        <v>31931</v>
      </c>
      <c r="C283" s="4">
        <f>(B283-B282)/B282</f>
        <v/>
      </c>
      <c r="D283" t="n">
        <v>1761.06</v>
      </c>
      <c r="E283" s="4">
        <f>(D283-D282)/D282</f>
        <v/>
      </c>
    </row>
    <row r="284">
      <c r="A284" t="inlineStr">
        <is>
          <t>2025-10-15</t>
        </is>
      </c>
      <c r="B284" t="n">
        <v>33110</v>
      </c>
      <c r="C284" s="4">
        <f>(B284-B283)/B283</f>
        <v/>
      </c>
      <c r="D284" t="n">
        <v>1757.95</v>
      </c>
      <c r="E284" s="4">
        <f>(D284-D283)/D283</f>
        <v/>
      </c>
    </row>
    <row r="285">
      <c r="A285" t="inlineStr">
        <is>
          <t>2025-10-16</t>
        </is>
      </c>
      <c r="B285" t="n">
        <v>32619</v>
      </c>
      <c r="C285" s="4">
        <f>(B285-B284)/B284</f>
        <v/>
      </c>
      <c r="D285" t="n">
        <v>1766.85</v>
      </c>
      <c r="E285" s="4">
        <f>(D285-D284)/D284</f>
        <v/>
      </c>
    </row>
    <row r="286">
      <c r="A286" t="inlineStr">
        <is>
          <t>2025-10-17</t>
        </is>
      </c>
      <c r="B286" t="n">
        <v>31391</v>
      </c>
      <c r="C286" s="4">
        <f>(B286-B285)/B285</f>
        <v/>
      </c>
      <c r="D286" t="n">
        <v>1731.19</v>
      </c>
      <c r="E286" s="4">
        <f>(D286-D285)/D285</f>
        <v/>
      </c>
    </row>
    <row r="287">
      <c r="A287" t="inlineStr">
        <is>
          <t>2025-10-20</t>
        </is>
      </c>
      <c r="B287" t="n">
        <v>29229</v>
      </c>
      <c r="C287" s="4">
        <f>(B287-B286)/B286</f>
        <v/>
      </c>
      <c r="D287" t="n">
        <v>1636.43</v>
      </c>
      <c r="E287" s="4">
        <f>(D287-D286)/D286</f>
        <v/>
      </c>
    </row>
    <row r="288">
      <c r="A288" t="inlineStr">
        <is>
          <t>2025-10-21</t>
        </is>
      </c>
      <c r="B288" t="n">
        <v>29819</v>
      </c>
      <c r="C288" s="4">
        <f>(B288-B287)/B287</f>
        <v/>
      </c>
      <c r="D288" t="n">
        <v>1663.43</v>
      </c>
      <c r="E288" s="4">
        <f>(D288-D287)/D287</f>
        <v/>
      </c>
    </row>
    <row r="289">
      <c r="A289" t="inlineStr">
        <is>
          <t>2025-10-22</t>
        </is>
      </c>
      <c r="B289" t="n">
        <v>29917</v>
      </c>
      <c r="C289" s="4">
        <f>(B289-B288)/B288</f>
        <v/>
      </c>
      <c r="D289" t="n">
        <v>1678.5</v>
      </c>
      <c r="E289" s="4">
        <f>(D289-D288)/D288</f>
        <v/>
      </c>
    </row>
    <row r="290">
      <c r="A290" t="inlineStr">
        <is>
          <t>2025-10-23</t>
        </is>
      </c>
      <c r="B290" t="n">
        <v>29475</v>
      </c>
      <c r="C290" s="4">
        <f>(B290-B289)/B289</f>
        <v/>
      </c>
      <c r="D290" t="n">
        <v>1687.06</v>
      </c>
      <c r="E290" s="4">
        <f>(D290-D289)/D289</f>
        <v/>
      </c>
    </row>
    <row r="291">
      <c r="A291" t="inlineStr">
        <is>
          <t>2025-10-24</t>
        </is>
      </c>
      <c r="B291" t="n">
        <v>28689</v>
      </c>
      <c r="C291" s="4">
        <f>(B291-B290)/B290</f>
        <v/>
      </c>
      <c r="D291" t="n">
        <v>1683.18</v>
      </c>
      <c r="E291" s="4">
        <f>(D291-D290)/D290</f>
        <v/>
      </c>
    </row>
    <row r="292">
      <c r="A292" t="inlineStr">
        <is>
          <t>2025-10-27</t>
        </is>
      </c>
      <c r="B292" t="n">
        <v>27805</v>
      </c>
      <c r="C292" s="4">
        <f>(B292-B291)/B291</f>
        <v/>
      </c>
      <c r="D292" t="n">
        <v>1652.54</v>
      </c>
      <c r="E292" s="4">
        <f>(D292-D291)/D291</f>
        <v/>
      </c>
    </row>
    <row r="293">
      <c r="A293" t="inlineStr">
        <is>
          <t>2025-10-28</t>
        </is>
      </c>
      <c r="B293" t="n">
        <v>28935</v>
      </c>
      <c r="C293" s="4">
        <f>(B293-B292)/B292</f>
        <v/>
      </c>
      <c r="D293" t="n">
        <v>1680.5</v>
      </c>
      <c r="E293" s="4">
        <f>(D293-D292)/D292</f>
        <v/>
      </c>
    </row>
    <row r="294">
      <c r="A294" t="inlineStr">
        <is>
          <t>2025-10-29</t>
        </is>
      </c>
      <c r="B294" t="n">
        <v>29328</v>
      </c>
      <c r="C294" s="4">
        <f>(B294-B293)/B293</f>
        <v/>
      </c>
      <c r="D294" t="n">
        <v>1685.83</v>
      </c>
      <c r="E294" s="4">
        <f>(D294-D293)/D293</f>
        <v/>
      </c>
    </row>
    <row r="295">
      <c r="A295" t="inlineStr">
        <is>
          <t>2025-10-30</t>
        </is>
      </c>
      <c r="B295" t="n">
        <v>28689</v>
      </c>
      <c r="C295" s="4">
        <f>(B295-B294)/B294</f>
        <v/>
      </c>
      <c r="D295" t="n">
        <v>1669.57</v>
      </c>
      <c r="E295" s="4">
        <f>(D295-D294)/D294</f>
        <v/>
      </c>
    </row>
    <row r="296">
      <c r="A296" t="inlineStr">
        <is>
          <t>2025-10-31</t>
        </is>
      </c>
      <c r="B296" t="n">
        <v>28198</v>
      </c>
      <c r="C296" s="4">
        <f>(B296-B295)/B295</f>
        <v/>
      </c>
      <c r="D296" t="n">
        <v>1639.65</v>
      </c>
      <c r="E296" s="4">
        <f>(D296-D295)/D295</f>
        <v/>
      </c>
    </row>
    <row r="297">
      <c r="A297" t="inlineStr">
        <is>
          <t>2025-11-03</t>
        </is>
      </c>
      <c r="B297" t="n">
        <v>27117</v>
      </c>
      <c r="C297" s="4">
        <f>(B297-B296)/B296</f>
        <v/>
      </c>
      <c r="D297" t="n">
        <v>1617</v>
      </c>
      <c r="E297" s="4">
        <f>(D297-D296)/D296</f>
        <v/>
      </c>
    </row>
    <row r="298">
      <c r="A298" t="inlineStr">
        <is>
          <t>2025-11-04</t>
        </is>
      </c>
      <c r="B298" t="n">
        <v>28984</v>
      </c>
      <c r="C298" s="4">
        <f>(B298-B297)/B297</f>
        <v/>
      </c>
      <c r="D298" t="n">
        <v>1651.98</v>
      </c>
      <c r="E298" s="4">
        <f>(D298-D297)/D297</f>
        <v/>
      </c>
    </row>
    <row r="299">
      <c r="A299" t="inlineStr">
        <is>
          <t>2025-11-05</t>
        </is>
      </c>
      <c r="B299" t="n">
        <v>28738</v>
      </c>
      <c r="C299" s="4">
        <f>(B299-B298)/B298</f>
        <v/>
      </c>
      <c r="D299" t="n">
        <v>1654.89</v>
      </c>
      <c r="E299" s="4">
        <f>(D299-D298)/D298</f>
        <v/>
      </c>
    </row>
    <row r="300">
      <c r="A300" t="inlineStr">
        <is>
          <t>2025-11-06</t>
        </is>
      </c>
      <c r="B300" t="n">
        <v>28001</v>
      </c>
      <c r="C300" s="4">
        <f>(B300-B299)/B299</f>
        <v/>
      </c>
      <c r="D300" t="n">
        <v>1642.64</v>
      </c>
      <c r="E300" s="4">
        <f>(D300-D299)/D299</f>
        <v/>
      </c>
    </row>
    <row r="301">
      <c r="A301" t="inlineStr">
        <is>
          <t>2025-11-07</t>
        </is>
      </c>
      <c r="B301" t="n">
        <v>27019</v>
      </c>
      <c r="C301" s="4">
        <f>(B301-B300)/B300</f>
        <v/>
      </c>
      <c r="D301" t="n">
        <v>1599.1</v>
      </c>
      <c r="E301" s="4">
        <f>(D301-D300)/D300</f>
        <v/>
      </c>
    </row>
    <row r="302">
      <c r="A302" t="inlineStr">
        <is>
          <t>2025-11-10</t>
        </is>
      </c>
      <c r="B302" t="n">
        <v>27019</v>
      </c>
      <c r="C302" s="4">
        <f>(B302-B301)/B301</f>
        <v/>
      </c>
      <c r="D302" t="n">
        <v>1580.54</v>
      </c>
      <c r="E302" s="4">
        <f>(D302-D301)/D301</f>
        <v/>
      </c>
    </row>
    <row r="303">
      <c r="A303" t="inlineStr">
        <is>
          <t>2025-11-11</t>
        </is>
      </c>
      <c r="B303" t="n">
        <v>27019</v>
      </c>
      <c r="C303" s="4">
        <f>(B303-B302)/B302</f>
        <v/>
      </c>
      <c r="D303" t="n">
        <v>1593.61</v>
      </c>
      <c r="E303" s="4">
        <f>(D303-D302)/D302</f>
        <v/>
      </c>
    </row>
    <row r="304">
      <c r="A304" t="inlineStr">
        <is>
          <t>2025-11-12</t>
        </is>
      </c>
      <c r="B304" t="n">
        <v>27510</v>
      </c>
      <c r="C304" s="4">
        <f>(B304-B303)/B303</f>
        <v/>
      </c>
      <c r="D304" t="n">
        <v>1631.86</v>
      </c>
      <c r="E304" s="4">
        <f>(D304-D303)/D303</f>
        <v/>
      </c>
    </row>
    <row r="305">
      <c r="A305" t="inlineStr">
        <is>
          <t>2025-11-13</t>
        </is>
      </c>
      <c r="B305" t="n">
        <v>27264</v>
      </c>
      <c r="C305" s="4">
        <f>(B305-B304)/B304</f>
        <v/>
      </c>
      <c r="D305" t="n">
        <v>1631.44</v>
      </c>
      <c r="E305" s="4">
        <f>(D305-D304)/D304</f>
        <v/>
      </c>
    </row>
    <row r="306">
      <c r="A306" t="inlineStr">
        <is>
          <t>2025-11-14</t>
        </is>
      </c>
      <c r="B306" t="n">
        <v>27314</v>
      </c>
      <c r="C306" s="4">
        <f>(B306-B305)/B305</f>
        <v/>
      </c>
      <c r="D306" t="n">
        <v>1635.46</v>
      </c>
      <c r="E306" s="4">
        <f>(D306-D305)/D305</f>
        <v/>
      </c>
    </row>
    <row r="307">
      <c r="A307" t="inlineStr">
        <is>
          <t>2025-11-17</t>
        </is>
      </c>
      <c r="B307" t="n">
        <v>27608</v>
      </c>
      <c r="C307" s="4">
        <f>(B307-B306)/B306</f>
        <v/>
      </c>
      <c r="D307" t="n">
        <v>1654.42</v>
      </c>
      <c r="E307" s="4">
        <f>(D307-D306)/D306</f>
        <v/>
      </c>
    </row>
    <row r="308">
      <c r="A308" t="inlineStr">
        <is>
          <t>2025-11-18</t>
        </is>
      </c>
      <c r="B308" t="n">
        <v>28296</v>
      </c>
      <c r="C308" s="4">
        <f>(B308-B307)/B307</f>
        <v/>
      </c>
      <c r="D308" t="n">
        <v>1659.92</v>
      </c>
      <c r="E308" s="4">
        <f>(D308-D307)/D307</f>
        <v/>
      </c>
    </row>
    <row r="309">
      <c r="A309" t="inlineStr">
        <is>
          <t>2025-11-19</t>
        </is>
      </c>
      <c r="B309" t="n">
        <v>27608</v>
      </c>
      <c r="C309" s="4">
        <f>(B309-B308)/B308</f>
        <v/>
      </c>
      <c r="D309" t="n">
        <v>1649</v>
      </c>
      <c r="E309" s="4">
        <f>(D309-D308)/D308</f>
        <v/>
      </c>
    </row>
    <row r="310">
      <c r="A310" t="inlineStr">
        <is>
          <t>2025-11-20</t>
        </is>
      </c>
      <c r="B310" t="n">
        <v>28050</v>
      </c>
      <c r="C310" s="4">
        <f>(B310-B309)/B309</f>
        <v/>
      </c>
      <c r="D310" t="n">
        <v>1655.99</v>
      </c>
      <c r="E310" s="4">
        <f>(D310-D309)/D309</f>
        <v/>
      </c>
    </row>
    <row r="311">
      <c r="A311" t="inlineStr">
        <is>
          <t>2025-11-21</t>
        </is>
      </c>
      <c r="B311" t="n">
        <v>28050</v>
      </c>
      <c r="C311" s="4">
        <f>(B311-B310)/B310</f>
        <v/>
      </c>
      <c r="D311" t="n">
        <v>1654.93</v>
      </c>
      <c r="E311" s="4">
        <f>(D311-D310)/D310</f>
        <v/>
      </c>
    </row>
    <row r="312">
      <c r="A312" t="inlineStr">
        <is>
          <t>2025-11-24</t>
        </is>
      </c>
      <c r="B312" t="n">
        <v>28493</v>
      </c>
      <c r="C312" s="4">
        <f>(B312-B311)/B311</f>
        <v/>
      </c>
      <c r="D312" t="n">
        <v>1667.98</v>
      </c>
      <c r="E312" s="4">
        <f>(D312-D311)/D311</f>
        <v/>
      </c>
    </row>
    <row r="313">
      <c r="A313" t="inlineStr">
        <is>
          <t>2025-11-25</t>
        </is>
      </c>
      <c r="B313" t="n">
        <v>27707</v>
      </c>
      <c r="C313" s="4">
        <f>(B313-B312)/B312</f>
        <v/>
      </c>
      <c r="D313" t="n">
        <v>1660.36</v>
      </c>
      <c r="E313" s="4">
        <f>(D313-D312)/D312</f>
        <v/>
      </c>
    </row>
    <row r="314">
      <c r="A314" t="inlineStr">
        <is>
          <t>2025-11-26</t>
        </is>
      </c>
      <c r="B314" t="n">
        <v>28493</v>
      </c>
      <c r="C314" s="4">
        <f>(B314-B313)/B313</f>
        <v/>
      </c>
      <c r="D314" t="n">
        <v>1680.36</v>
      </c>
      <c r="E314" s="4">
        <f>(D314-D313)/D313</f>
        <v/>
      </c>
    </row>
    <row r="315">
      <c r="A315" t="inlineStr">
        <is>
          <t>2025-11-27</t>
        </is>
      </c>
      <c r="B315" t="n">
        <v>28591</v>
      </c>
      <c r="C315" s="4">
        <f>(B315-B314)/B314</f>
        <v/>
      </c>
      <c r="D315" t="n">
        <v>1684.32</v>
      </c>
      <c r="E315" s="4">
        <f>(D315-D314)/D314</f>
        <v/>
      </c>
    </row>
    <row r="316">
      <c r="A316" t="inlineStr">
        <is>
          <t>2025-11-28</t>
        </is>
      </c>
      <c r="B316" t="n">
        <v>28738</v>
      </c>
      <c r="C316" s="4">
        <f>(B316-B315)/B315</f>
        <v/>
      </c>
      <c r="D316" t="n">
        <v>1690.99</v>
      </c>
      <c r="E316" s="4">
        <f>(D316-D315)/D315</f>
        <v/>
      </c>
    </row>
    <row r="317">
      <c r="A317" t="inlineStr">
        <is>
          <t>2025-12-01</t>
        </is>
      </c>
      <c r="B317" t="n">
        <v>28787</v>
      </c>
      <c r="C317" s="4">
        <f>(B317-B316)/B316</f>
        <v/>
      </c>
      <c r="D317" t="n">
        <v>1701.67</v>
      </c>
      <c r="E317" s="4">
        <f>(D317-D316)/D316</f>
        <v/>
      </c>
    </row>
    <row r="318">
      <c r="A318" t="inlineStr">
        <is>
          <t>2025-12-02</t>
        </is>
      </c>
      <c r="B318" t="n">
        <v>28394</v>
      </c>
      <c r="C318" s="4">
        <f>(B318-B317)/B317</f>
        <v/>
      </c>
      <c r="D318" t="n">
        <v>1717.06</v>
      </c>
      <c r="E318" s="4">
        <f>(D318-D317)/D317</f>
        <v/>
      </c>
    </row>
    <row r="319">
      <c r="A319" t="inlineStr">
        <is>
          <t>2025-12-03</t>
        </is>
      </c>
      <c r="B319" t="n">
        <v>29721</v>
      </c>
      <c r="C319" s="4">
        <f>(B319-B318)/B318</f>
        <v/>
      </c>
      <c r="D319" t="n">
        <v>1731.77</v>
      </c>
      <c r="E319" s="4">
        <f>(D319-D318)/D318</f>
        <v/>
      </c>
    </row>
    <row r="320">
      <c r="A320" t="inlineStr">
        <is>
          <t>2025-12-04</t>
        </is>
      </c>
      <c r="B320" t="n">
        <v>29721</v>
      </c>
      <c r="C320" s="4">
        <f>(B320-B319)/B319</f>
        <v/>
      </c>
      <c r="D320" t="n">
        <v>1737.24</v>
      </c>
      <c r="E320" s="4">
        <f>(D320-D319)/D319</f>
        <v/>
      </c>
    </row>
    <row r="321">
      <c r="A321" t="inlineStr">
        <is>
          <t>2025-12-05</t>
        </is>
      </c>
      <c r="B321" t="n">
        <v>29328</v>
      </c>
      <c r="C321" s="4">
        <f>(B321-B320)/B320</f>
        <v/>
      </c>
      <c r="D321" t="n">
        <v>1741.32</v>
      </c>
      <c r="E321" s="4">
        <f>(D321-D320)/D320</f>
        <v/>
      </c>
    </row>
    <row r="322">
      <c r="A322" t="inlineStr">
        <is>
          <t>2025-12-08</t>
        </is>
      </c>
      <c r="B322" t="n">
        <v>29180</v>
      </c>
      <c r="C322" s="4">
        <f>(B322-B321)/B321</f>
        <v/>
      </c>
      <c r="D322" t="n">
        <v>1753.74</v>
      </c>
      <c r="E322" s="4">
        <f>(D322-D321)/D321</f>
        <v/>
      </c>
    </row>
    <row r="323">
      <c r="A323" t="inlineStr">
        <is>
          <t>2025-12-09</t>
        </is>
      </c>
      <c r="B323" t="n">
        <v>28247</v>
      </c>
      <c r="C323" s="4">
        <f>(B323-B322)/B322</f>
        <v/>
      </c>
      <c r="D323" t="n">
        <v>1747.17</v>
      </c>
      <c r="E323" s="4">
        <f>(D323-D322)/D322</f>
        <v/>
      </c>
    </row>
    <row r="324">
      <c r="A324" t="inlineStr">
        <is>
          <t>2025-12-10</t>
        </is>
      </c>
      <c r="B324" t="n">
        <v>28493</v>
      </c>
      <c r="C324" s="4">
        <f>(B324-B323)/B323</f>
        <v/>
      </c>
      <c r="D324" t="n">
        <v>1718.98</v>
      </c>
      <c r="E324" s="4">
        <f>(D324-D323)/D323</f>
        <v/>
      </c>
    </row>
    <row r="325">
      <c r="A325" t="inlineStr">
        <is>
          <t>2025-12-11</t>
        </is>
      </c>
      <c r="B325" t="n">
        <v>27657</v>
      </c>
      <c r="C325" s="4">
        <f>(B325-B324)/B324</f>
        <v/>
      </c>
      <c r="D325" t="n">
        <v>1698.9</v>
      </c>
      <c r="E325" s="4">
        <f>(D325-D324)/D324</f>
        <v/>
      </c>
    </row>
    <row r="326">
      <c r="A326" t="inlineStr">
        <is>
          <t>2025-12-12</t>
        </is>
      </c>
      <c r="B326" t="n">
        <v>26085</v>
      </c>
      <c r="C326" s="4">
        <f>(B326-B325)/B325</f>
        <v/>
      </c>
      <c r="D326" t="n">
        <v>1646.89</v>
      </c>
      <c r="E326" s="4">
        <f>(D326-D325)/D325</f>
        <v/>
      </c>
    </row>
    <row r="327">
      <c r="A327" t="inlineStr">
        <is>
          <t>2025-12-15</t>
        </is>
      </c>
      <c r="B327" t="n">
        <v>27019</v>
      </c>
      <c r="C327" s="4">
        <f>(B327-B326)/B326</f>
        <v/>
      </c>
      <c r="D327" t="n">
        <v>1646.01</v>
      </c>
      <c r="E327" s="4">
        <f>(D327-D326)/D326</f>
        <v/>
      </c>
    </row>
    <row r="328">
      <c r="A328" t="inlineStr">
        <is>
          <t>2025-12-16</t>
        </is>
      </c>
      <c r="B328" t="n">
        <v>27756</v>
      </c>
      <c r="C328" s="4">
        <f>(B328-B327)/B327</f>
        <v/>
      </c>
      <c r="D328" t="n">
        <v>1679.18</v>
      </c>
      <c r="E328" s="4">
        <f>(D328-D327)/D327</f>
        <v/>
      </c>
    </row>
    <row r="329">
      <c r="A329" t="inlineStr">
        <is>
          <t>2025-12-17</t>
        </is>
      </c>
      <c r="B329" t="n">
        <v>27510</v>
      </c>
      <c r="C329" s="4">
        <f>(B329-B328)/B328</f>
        <v/>
      </c>
      <c r="D329" t="n">
        <v>1673.66</v>
      </c>
      <c r="E329" s="4">
        <f>(D329-D328)/D328</f>
        <v/>
      </c>
    </row>
    <row r="330">
      <c r="A330" t="inlineStr">
        <is>
          <t>2025-12-18</t>
        </is>
      </c>
      <c r="B330" t="n">
        <v>27805</v>
      </c>
      <c r="C330" s="4">
        <f>(B330-B329)/B329</f>
        <v/>
      </c>
      <c r="D330" t="n">
        <v>1676.98</v>
      </c>
      <c r="E330" s="4">
        <f>(D330-D329)/D329</f>
        <v/>
      </c>
    </row>
    <row r="331">
      <c r="A331" t="inlineStr">
        <is>
          <t>2025-12-19</t>
        </is>
      </c>
      <c r="B331" t="n">
        <v>27952</v>
      </c>
      <c r="C331" s="4">
        <f>(B331-B330)/B330</f>
        <v/>
      </c>
      <c r="D331" t="n">
        <v>1704.31</v>
      </c>
      <c r="E331" s="4">
        <f>(D331-D330)/D330</f>
        <v/>
      </c>
    </row>
    <row r="332">
      <c r="A332" t="inlineStr">
        <is>
          <t>2025-12-22</t>
        </is>
      </c>
      <c r="B332" t="n">
        <v>28493</v>
      </c>
      <c r="C332" s="4">
        <f>(B332-B331)/B331</f>
        <v/>
      </c>
      <c r="D332" t="n">
        <v>1751.03</v>
      </c>
      <c r="E332" s="4">
        <f>(D332-D331)/D331</f>
        <v/>
      </c>
    </row>
    <row r="333">
      <c r="A333" t="inlineStr">
        <is>
          <t>2025-12-23</t>
        </is>
      </c>
      <c r="B333" t="n">
        <v>28198</v>
      </c>
      <c r="C333" s="4">
        <f>(B333-B332)/B332</f>
        <v/>
      </c>
      <c r="D333" t="n">
        <v>1772.15</v>
      </c>
      <c r="E333" s="4">
        <f>(D333-D332)/D332</f>
        <v/>
      </c>
    </row>
    <row r="334">
      <c r="A334" t="inlineStr">
        <is>
          <t>2025-12-24</t>
        </is>
      </c>
      <c r="B334" t="n">
        <v>28787</v>
      </c>
      <c r="C334" s="4">
        <f>(B334-B333)/B333</f>
        <v/>
      </c>
      <c r="D334" t="n">
        <v>1782.82</v>
      </c>
      <c r="E334" s="4">
        <f>(D334-D333)/D333</f>
        <v/>
      </c>
    </row>
    <row r="335">
      <c r="A335" t="inlineStr">
        <is>
          <t>2025-12-25</t>
        </is>
      </c>
      <c r="B335" t="n">
        <v>28247</v>
      </c>
      <c r="C335" s="4">
        <f>(B335-B334)/B334</f>
        <v/>
      </c>
      <c r="D335" t="n">
        <v>1742.85</v>
      </c>
      <c r="E335" s="4">
        <f>(D335-D334)/D334</f>
        <v/>
      </c>
    </row>
    <row r="336">
      <c r="A336" t="inlineStr">
        <is>
          <t>2025-12-26</t>
        </is>
      </c>
      <c r="B336" t="n">
        <v>27657</v>
      </c>
      <c r="C336" s="4">
        <f>(B336-B335)/B335</f>
        <v/>
      </c>
      <c r="D336" t="n">
        <v>1729.8</v>
      </c>
      <c r="E336" s="4">
        <f>(D336-D335)/D335</f>
        <v/>
      </c>
    </row>
    <row r="337">
      <c r="A337" t="inlineStr">
        <is>
          <t>2025-12-29</t>
        </is>
      </c>
      <c r="B337" t="n">
        <v>27510</v>
      </c>
      <c r="C337" s="4">
        <f>(B337-B336)/B336</f>
        <v/>
      </c>
      <c r="D337" t="n">
        <v>1754.84</v>
      </c>
      <c r="E337" s="4">
        <f>(D337-D336)/D336</f>
        <v/>
      </c>
    </row>
    <row r="338">
      <c r="A338" t="inlineStr">
        <is>
          <t>2025-12-30</t>
        </is>
      </c>
      <c r="B338" t="n">
        <v>28198</v>
      </c>
      <c r="C338" s="4">
        <f>(B338-B337)/B337</f>
        <v/>
      </c>
      <c r="D338" t="n">
        <v>1766.9</v>
      </c>
      <c r="E338" s="4">
        <f>(D338-D337)/D337</f>
        <v/>
      </c>
    </row>
    <row r="339">
      <c r="A339" t="inlineStr">
        <is>
          <t>2025-12-31</t>
        </is>
      </c>
      <c r="B339" t="n">
        <v>28149</v>
      </c>
      <c r="C339" s="4">
        <f>(B339-B338)/B338</f>
        <v/>
      </c>
      <c r="D339" t="n">
        <v>1784.49</v>
      </c>
      <c r="E339" s="4">
        <f>(D339-D338)/D338</f>
        <v/>
      </c>
    </row>
    <row r="340">
      <c r="A340" t="inlineStr">
        <is>
          <t>2026-01-05</t>
        </is>
      </c>
      <c r="B340" t="n">
        <v>27412</v>
      </c>
      <c r="C340" s="4">
        <f>(B340-B339)/B339</f>
        <v/>
      </c>
      <c r="D340" t="n">
        <v>1788.4</v>
      </c>
      <c r="E340" s="4">
        <f>(D340-D339)/D339</f>
        <v/>
      </c>
    </row>
    <row r="341">
      <c r="A341" t="inlineStr">
        <is>
          <t>2026-01-06</t>
        </is>
      </c>
      <c r="B341" t="n">
        <v>28345</v>
      </c>
      <c r="C341" s="4">
        <f>(B341-B340)/B340</f>
        <v/>
      </c>
      <c r="D341" t="n">
        <v>1816.27</v>
      </c>
      <c r="E341" s="4">
        <f>(D341-D340)/D340</f>
        <v/>
      </c>
    </row>
    <row r="342">
      <c r="A342" t="inlineStr">
        <is>
          <t>2026-01-07</t>
        </is>
      </c>
      <c r="B342" t="n">
        <v>28738</v>
      </c>
      <c r="C342" s="4">
        <f>(B342-B341)/B341</f>
        <v/>
      </c>
      <c r="D342" t="n">
        <v>1861.58</v>
      </c>
      <c r="E342" s="4">
        <f>(D342-D341)/D341</f>
        <v/>
      </c>
    </row>
    <row r="343">
      <c r="A343" t="inlineStr">
        <is>
          <t>2026-01-08</t>
        </is>
      </c>
      <c r="B343" t="n">
        <v>28738</v>
      </c>
      <c r="C343" s="4">
        <f>(B343-B342)/B342</f>
        <v/>
      </c>
      <c r="D343" t="n">
        <v>1855.56</v>
      </c>
      <c r="E343" s="4">
        <f>(D343-D342)/D342</f>
        <v/>
      </c>
    </row>
    <row r="344">
      <c r="A344" t="inlineStr">
        <is>
          <t>2026-01-09</t>
        </is>
      </c>
      <c r="B344" t="n">
        <v>27756</v>
      </c>
      <c r="C344" s="4">
        <f>(B344-B343)/B343</f>
        <v/>
      </c>
      <c r="D344" t="n">
        <v>1867.9</v>
      </c>
      <c r="E344" s="4">
        <f>(D344-D343)/D343</f>
        <v/>
      </c>
    </row>
    <row r="345">
      <c r="A345" t="inlineStr">
        <is>
          <t>2026-01-12</t>
        </is>
      </c>
      <c r="B345" t="n">
        <v>29672</v>
      </c>
      <c r="C345" s="4">
        <f>(B345-B344)/B344</f>
        <v/>
      </c>
      <c r="D345" t="n">
        <v>1877.33</v>
      </c>
      <c r="E345" s="4">
        <f>(D345-D344)/D344</f>
        <v/>
      </c>
    </row>
    <row r="346">
      <c r="A346" t="inlineStr">
        <is>
          <t>2026-01-13</t>
        </is>
      </c>
      <c r="B346" t="n">
        <v>29966</v>
      </c>
      <c r="C346" s="4">
        <f>(B346-B345)/B345</f>
        <v/>
      </c>
      <c r="D346" t="n">
        <v>1902.93</v>
      </c>
      <c r="E346" s="4">
        <f>(D346-D345)/D345</f>
        <v/>
      </c>
    </row>
    <row r="347">
      <c r="A347" t="inlineStr">
        <is>
          <t>2026-01-14</t>
        </is>
      </c>
      <c r="B347" t="n">
        <v>28984</v>
      </c>
      <c r="C347" s="4">
        <f>(B347-B346)/B346</f>
        <v/>
      </c>
      <c r="D347" t="n">
        <v>1894.44</v>
      </c>
      <c r="E347" s="4">
        <f>(D347-D346)/D346</f>
        <v/>
      </c>
    </row>
    <row r="348">
      <c r="A348" t="inlineStr">
        <is>
          <t>2026-01-15</t>
        </is>
      </c>
      <c r="B348" t="n">
        <v>28493</v>
      </c>
      <c r="C348" s="4">
        <f>(B348-B347)/B347</f>
        <v/>
      </c>
      <c r="D348" t="n">
        <v>1864.8</v>
      </c>
      <c r="E348" s="4">
        <f>(D348-D347)/D347</f>
        <v/>
      </c>
    </row>
    <row r="349">
      <c r="A349" t="inlineStr">
        <is>
          <t>2026-01-16</t>
        </is>
      </c>
      <c r="B349" t="n">
        <v>28394</v>
      </c>
      <c r="C349" s="4">
        <f>(B349-B348)/B348</f>
        <v/>
      </c>
      <c r="D349" t="n">
        <v>1879.13</v>
      </c>
      <c r="E349" s="4">
        <f>(D349-D348)/D348</f>
        <v/>
      </c>
    </row>
    <row r="350">
      <c r="A350" t="inlineStr">
        <is>
          <t>2026-01-19</t>
        </is>
      </c>
      <c r="B350" t="n">
        <v>29131</v>
      </c>
      <c r="C350" s="4">
        <f>(B350-B349)/B349</f>
        <v/>
      </c>
      <c r="D350" t="n">
        <v>1896.59</v>
      </c>
      <c r="E350" s="4">
        <f>(D350-D349)/D349</f>
        <v/>
      </c>
    </row>
    <row r="351">
      <c r="A351" t="inlineStr">
        <is>
          <t>2026-01-20</t>
        </is>
      </c>
      <c r="B351" t="n">
        <v>29229</v>
      </c>
      <c r="C351" s="4">
        <f>(B351-B350)/B350</f>
        <v/>
      </c>
      <c r="D351" t="n">
        <v>1893.78</v>
      </c>
      <c r="E351" s="4">
        <f>(D351-D350)/D350</f>
        <v/>
      </c>
    </row>
    <row r="352">
      <c r="A352" t="inlineStr">
        <is>
          <t>2026-01-21</t>
        </is>
      </c>
      <c r="B352" t="n">
        <v>28542</v>
      </c>
      <c r="C352" s="4">
        <f>(B352-B351)/B351</f>
        <v/>
      </c>
      <c r="D352" t="n">
        <v>1885.44</v>
      </c>
      <c r="E352" s="4">
        <f>(D352-D351)/D351</f>
        <v/>
      </c>
    </row>
    <row r="353">
      <c r="A353" t="inlineStr">
        <is>
          <t>2026-01-22</t>
        </is>
      </c>
      <c r="B353" t="n">
        <v>28689</v>
      </c>
      <c r="C353" s="4">
        <f>(B353-B352)/B352</f>
        <v/>
      </c>
      <c r="D353" t="n">
        <v>1882.73</v>
      </c>
      <c r="E353" s="4">
        <f>(D353-D352)/D352</f>
        <v/>
      </c>
    </row>
    <row r="354">
      <c r="A354" t="inlineStr">
        <is>
          <t>2026-01-23</t>
        </is>
      </c>
      <c r="B354" t="n">
        <v>28001</v>
      </c>
      <c r="C354" s="4">
        <f>(B354-B353)/B353</f>
        <v/>
      </c>
      <c r="D354" t="n">
        <v>1870.79</v>
      </c>
      <c r="E354" s="4">
        <f>(D354-D353)/D353</f>
        <v/>
      </c>
    </row>
    <row r="355">
      <c r="A355" t="inlineStr">
        <is>
          <t>2026-01-26</t>
        </is>
      </c>
      <c r="B355" t="n">
        <v>27264</v>
      </c>
      <c r="C355" s="4">
        <f>(B355-B354)/B354</f>
        <v/>
      </c>
      <c r="D355" t="n">
        <v>1843.72</v>
      </c>
      <c r="E355" s="4">
        <f>(D355-D354)/D354</f>
        <v/>
      </c>
    </row>
    <row r="356">
      <c r="A356" t="inlineStr">
        <is>
          <t>2026-01-27</t>
        </is>
      </c>
      <c r="B356" t="n">
        <v>27314</v>
      </c>
      <c r="C356" s="4">
        <f>(B356-B355)/B355</f>
        <v/>
      </c>
      <c r="D356" t="n">
        <v>1830.5</v>
      </c>
      <c r="E356" s="4">
        <f>(D356-D355)/D355</f>
        <v/>
      </c>
    </row>
    <row r="357">
      <c r="A357" t="inlineStr">
        <is>
          <t>2026-01-28</t>
        </is>
      </c>
      <c r="B357" t="n">
        <v>27264</v>
      </c>
      <c r="C357" s="4">
        <f>(B357-B356)/B356</f>
        <v/>
      </c>
      <c r="D357" t="n">
        <v>1802.91</v>
      </c>
      <c r="E357" s="4">
        <f>(D357-D356)/D356</f>
        <v/>
      </c>
    </row>
    <row r="358">
      <c r="A358" t="inlineStr">
        <is>
          <t>2026-01-29</t>
        </is>
      </c>
      <c r="B358" t="n">
        <v>27166</v>
      </c>
      <c r="C358" s="4">
        <f>(B358-B357)/B357</f>
        <v/>
      </c>
      <c r="D358" t="n">
        <v>1814.98</v>
      </c>
      <c r="E358" s="4">
        <f>(D358-D357)/D357</f>
        <v/>
      </c>
    </row>
    <row r="359">
      <c r="A359" t="inlineStr">
        <is>
          <t>2026-01-30</t>
        </is>
      </c>
      <c r="B359" t="n">
        <v>27510</v>
      </c>
      <c r="C359" s="4">
        <f>(B359-B358)/B358</f>
        <v/>
      </c>
      <c r="D359" t="n">
        <v>1829.04</v>
      </c>
      <c r="E359" s="4">
        <f>(D359-D358)/D358</f>
        <v/>
      </c>
    </row>
    <row r="360">
      <c r="A360" t="inlineStr">
        <is>
          <t>2026-02-02</t>
        </is>
      </c>
      <c r="B360" t="n">
        <v>27117</v>
      </c>
      <c r="C360" s="4">
        <f>(B360-B359)/B359</f>
        <v/>
      </c>
      <c r="D360" t="n">
        <v>1806.5</v>
      </c>
      <c r="E360" s="4">
        <f>(D360-D359)/D359</f>
        <v/>
      </c>
    </row>
    <row r="361">
      <c r="A361" t="inlineStr">
        <is>
          <t>2026-02-03</t>
        </is>
      </c>
      <c r="B361" t="n">
        <v>27019</v>
      </c>
      <c r="C361" s="4">
        <f>(B361-B360)/B360</f>
        <v/>
      </c>
      <c r="D361" t="n">
        <v>1813.4</v>
      </c>
      <c r="E361" s="4">
        <f>(D361-D360)/D360</f>
        <v/>
      </c>
    </row>
    <row r="362">
      <c r="A362" t="inlineStr">
        <is>
          <t>2026-02-04</t>
        </is>
      </c>
      <c r="B362" t="n">
        <v>27264</v>
      </c>
      <c r="C362" s="4">
        <f>(B362-B361)/B361</f>
        <v/>
      </c>
      <c r="D362" t="n">
        <v>1791.43</v>
      </c>
      <c r="E362" s="4">
        <f>(D362-D361)/D361</f>
        <v/>
      </c>
    </row>
    <row r="363">
      <c r="A363" t="inlineStr">
        <is>
          <t>2026-02-05</t>
        </is>
      </c>
      <c r="B363" t="n">
        <v>26921</v>
      </c>
      <c r="C363" s="4">
        <f>(B363-B362)/B362</f>
        <v/>
      </c>
      <c r="D363" t="n">
        <v>1782.56</v>
      </c>
      <c r="E363" s="4">
        <f>(D363-D362)/D362</f>
        <v/>
      </c>
    </row>
    <row r="364">
      <c r="A364" t="inlineStr">
        <is>
          <t>2026-02-06</t>
        </is>
      </c>
      <c r="B364" t="n">
        <v>26331</v>
      </c>
      <c r="C364" s="4">
        <f>(B364-B363)/B363</f>
        <v/>
      </c>
      <c r="D364" t="n">
        <v>1755.49</v>
      </c>
      <c r="E364" s="4">
        <f>(D364-D363)/D363</f>
        <v/>
      </c>
    </row>
    <row r="365">
      <c r="A365" t="inlineStr">
        <is>
          <t>2026-02-09</t>
        </is>
      </c>
      <c r="B365" t="n">
        <v>26282</v>
      </c>
      <c r="C365" s="4">
        <f>(B365-B364)/B364</f>
        <v/>
      </c>
      <c r="D365" t="n">
        <v>1754.82</v>
      </c>
      <c r="E365" s="4">
        <f>(D365-D364)/D364</f>
        <v/>
      </c>
    </row>
    <row r="366">
      <c r="A366" t="inlineStr">
        <is>
          <t>2026-02-10</t>
        </is>
      </c>
      <c r="B366" t="n">
        <v>26135</v>
      </c>
      <c r="C366" s="4">
        <f>(B366-B365)/B365</f>
        <v/>
      </c>
      <c r="D366" t="n">
        <v>1754.03</v>
      </c>
      <c r="E366" s="4">
        <f>(D366-D365)/D365</f>
        <v/>
      </c>
    </row>
    <row r="367">
      <c r="A367" t="inlineStr">
        <is>
          <t>2026-02-11</t>
        </is>
      </c>
      <c r="B367" t="n">
        <v>27805</v>
      </c>
      <c r="C367" s="4">
        <f>(B367-B366)/B366</f>
        <v/>
      </c>
      <c r="D367" t="n">
        <v>1796.85</v>
      </c>
      <c r="E367" s="4">
        <f>(D367-D366)/D366</f>
        <v/>
      </c>
    </row>
    <row r="368">
      <c r="A368" t="inlineStr">
        <is>
          <t>2026-02-12</t>
        </is>
      </c>
      <c r="B368" t="n">
        <v>27756</v>
      </c>
      <c r="C368" s="4">
        <f>(B368-B367)/B367</f>
        <v/>
      </c>
      <c r="D368" t="n">
        <v>1814.09</v>
      </c>
      <c r="E368" s="4">
        <f>(D368-D367)/D367</f>
        <v/>
      </c>
    </row>
    <row r="369">
      <c r="A369" t="inlineStr">
        <is>
          <t>2026-02-13</t>
        </is>
      </c>
      <c r="B369" t="n">
        <v>27805</v>
      </c>
      <c r="C369" s="4">
        <f>(B369-B368)/B368</f>
        <v/>
      </c>
      <c r="D369" t="n">
        <v>1824.09</v>
      </c>
      <c r="E369" s="4">
        <f>(D369-D368)/D368</f>
        <v/>
      </c>
    </row>
    <row r="370">
      <c r="A370" t="inlineStr">
        <is>
          <t>2026-02-23</t>
        </is>
      </c>
      <c r="B370" t="n">
        <v>28296</v>
      </c>
      <c r="C370" s="4">
        <f>(B370-B369)/B369</f>
        <v/>
      </c>
      <c r="D370" t="n">
        <v>1860.14</v>
      </c>
      <c r="E370" s="4">
        <f>(D370-D369)/D369</f>
        <v/>
      </c>
    </row>
    <row r="371">
      <c r="A371" t="inlineStr">
        <is>
          <t>2026-02-24</t>
        </is>
      </c>
      <c r="B371" t="n">
        <v>28493</v>
      </c>
      <c r="C371" s="4">
        <f>(B371-B370)/B370</f>
        <v/>
      </c>
      <c r="D371" t="n">
        <v>1867.62</v>
      </c>
      <c r="E371" s="4">
        <f>(D371-D370)/D370</f>
        <v/>
      </c>
    </row>
    <row r="372">
      <c r="A372" t="inlineStr">
        <is>
          <t>2026-02-25</t>
        </is>
      </c>
      <c r="B372" t="n">
        <v>28345</v>
      </c>
      <c r="C372" s="4">
        <f>(B372-B371)/B371</f>
        <v/>
      </c>
      <c r="D372" t="n">
        <v>1860.91</v>
      </c>
      <c r="E372" s="4">
        <f>(D372-D371)/D371</f>
        <v/>
      </c>
    </row>
    <row r="373">
      <c r="A373" t="inlineStr">
        <is>
          <t>2026-02-26</t>
        </is>
      </c>
      <c r="B373" t="n">
        <v>28394</v>
      </c>
      <c r="C373" s="4">
        <f>(B373-B372)/B372</f>
        <v/>
      </c>
      <c r="D373" t="n">
        <v>1879.64</v>
      </c>
      <c r="E373" s="4">
        <f>(D373-D372)/D372</f>
        <v/>
      </c>
    </row>
    <row r="374">
      <c r="A374" t="inlineStr">
        <is>
          <t>2026-02-27</t>
        </is>
      </c>
      <c r="B374" t="n">
        <v>28443</v>
      </c>
      <c r="C374" s="4">
        <f>(B374-B373)/B373</f>
        <v/>
      </c>
      <c r="D374" t="n">
        <v>1880.33</v>
      </c>
      <c r="E374" s="4">
        <f>(D374-D373)/D373</f>
        <v/>
      </c>
    </row>
    <row r="375">
      <c r="A375" t="inlineStr">
        <is>
          <t>2026-03-02</t>
        </is>
      </c>
      <c r="B375" t="n">
        <v>27559</v>
      </c>
      <c r="C375" s="4">
        <f>(B375-B374)/B374</f>
        <v/>
      </c>
      <c r="D375" t="n">
        <v>1846.1</v>
      </c>
      <c r="E375" s="4">
        <f>(D375-D374)/D374</f>
        <v/>
      </c>
    </row>
    <row r="376">
      <c r="A376" t="inlineStr">
        <is>
          <t>2026-03-03</t>
        </is>
      </c>
      <c r="B376" t="n">
        <v>26970</v>
      </c>
      <c r="C376" s="4">
        <f>(B376-B375)/B375</f>
        <v/>
      </c>
      <c r="D376" t="n">
        <v>1813.14</v>
      </c>
      <c r="E376" s="4">
        <f>(D376-D375)/D375</f>
        <v/>
      </c>
    </row>
    <row r="377">
      <c r="A377" t="inlineStr">
        <is>
          <t>2026-03-04</t>
        </is>
      </c>
      <c r="B377" t="n">
        <v>26675</v>
      </c>
      <c r="C377" s="4">
        <f>(B377-B376)/B376</f>
        <v/>
      </c>
      <c r="D377" t="n">
        <v>1818.27</v>
      </c>
      <c r="E377" s="4">
        <f>(D377-D376)/D376</f>
        <v/>
      </c>
    </row>
    <row r="378">
      <c r="A378" t="inlineStr">
        <is>
          <t>2026-03-05</t>
        </is>
      </c>
      <c r="B378" t="n">
        <v>26528</v>
      </c>
      <c r="C378" s="4">
        <f>(B378-B377)/B377</f>
        <v/>
      </c>
      <c r="D378" t="n">
        <v>1808.51</v>
      </c>
      <c r="E378" s="4">
        <f>(D378-D377)/D377</f>
        <v/>
      </c>
    </row>
    <row r="379">
      <c r="A379" t="inlineStr">
        <is>
          <t>2026-03-06</t>
        </is>
      </c>
      <c r="B379" t="n">
        <v>26184</v>
      </c>
      <c r="C379" s="4">
        <f>(B379-B378)/B378</f>
        <v/>
      </c>
      <c r="D379" t="n">
        <v>1767.84</v>
      </c>
      <c r="E379" s="4">
        <f>(D379-D378)/D378</f>
        <v/>
      </c>
    </row>
    <row r="380">
      <c r="A380" t="inlineStr">
        <is>
          <t>2026-03-09</t>
        </is>
      </c>
      <c r="B380" t="n">
        <v>24366</v>
      </c>
      <c r="C380" s="4">
        <f>(B380-B379)/B379</f>
        <v/>
      </c>
      <c r="D380" t="n">
        <v>1652.79</v>
      </c>
      <c r="E380" s="4">
        <f>(D380-D379)/D379</f>
        <v/>
      </c>
    </row>
    <row r="381">
      <c r="A381" t="inlineStr">
        <is>
          <t>2026-03-10</t>
        </is>
      </c>
      <c r="B381" t="n">
        <v>25054</v>
      </c>
      <c r="C381" s="4">
        <f>(B381-B380)/B380</f>
        <v/>
      </c>
      <c r="D381" t="n">
        <v>1676.73</v>
      </c>
      <c r="E381" s="4">
        <f>(D381-D380)/D380</f>
        <v/>
      </c>
    </row>
    <row r="382">
      <c r="A382" t="inlineStr">
        <is>
          <t>2026-03-11</t>
        </is>
      </c>
      <c r="B382" t="n">
        <v>25987</v>
      </c>
      <c r="C382" s="4">
        <f>(B382-B381)/B381</f>
        <v/>
      </c>
      <c r="D382" t="n">
        <v>1728.34</v>
      </c>
      <c r="E382" s="4">
        <f>(D382-D381)/D381</f>
        <v/>
      </c>
    </row>
    <row r="383">
      <c r="A383" t="inlineStr">
        <is>
          <t>2026-03-12</t>
        </is>
      </c>
      <c r="B383" t="n">
        <v>25299</v>
      </c>
      <c r="C383" s="4">
        <f>(B383-B382)/B382</f>
        <v/>
      </c>
      <c r="D383" t="n">
        <v>1709.61</v>
      </c>
      <c r="E383" s="4">
        <f>(D383-D382)/D382</f>
        <v/>
      </c>
    </row>
    <row r="384">
      <c r="A384" t="inlineStr">
        <is>
          <t>2026-03-13</t>
        </is>
      </c>
      <c r="B384" t="n">
        <v>25201</v>
      </c>
      <c r="C384" s="4">
        <f>(B384-B383)/B383</f>
        <v/>
      </c>
      <c r="D384" t="n">
        <v>1696.24</v>
      </c>
      <c r="E384" s="4">
        <f>(D384-D383)/D383</f>
        <v/>
      </c>
    </row>
    <row r="385">
      <c r="A385" t="inlineStr">
        <is>
          <t>2026-03-16</t>
        </is>
      </c>
      <c r="B385" t="n">
        <v>25054</v>
      </c>
      <c r="C385" s="4">
        <f>(B385-B384)/B384</f>
        <v/>
      </c>
      <c r="D385" t="n">
        <v>1693.21</v>
      </c>
      <c r="E385" s="4">
        <f>(D385-D384)/D384</f>
        <v/>
      </c>
    </row>
    <row r="386">
      <c r="A386" t="inlineStr">
        <is>
          <t>2026-03-17</t>
        </is>
      </c>
      <c r="B386" t="n">
        <v>25250</v>
      </c>
      <c r="C386" s="4">
        <f>(B386-B385)/B385</f>
        <v/>
      </c>
      <c r="D386" t="n">
        <v>1710.29</v>
      </c>
      <c r="E386" s="4">
        <f>(D386-D385)/D385</f>
        <v/>
      </c>
    </row>
    <row r="387">
      <c r="A387" t="inlineStr">
        <is>
          <t>2026-03-18</t>
        </is>
      </c>
      <c r="B387" t="n">
        <v>25152</v>
      </c>
      <c r="C387" s="4">
        <f>(B387-B386)/B386</f>
        <v/>
      </c>
      <c r="D387" t="n">
        <v>1713.83</v>
      </c>
      <c r="E387" s="4">
        <f>(D387-D386)/D386</f>
        <v/>
      </c>
    </row>
    <row r="388">
      <c r="A388" t="inlineStr">
        <is>
          <t>2026-03-19</t>
        </is>
      </c>
      <c r="B388" t="n">
        <v>25152</v>
      </c>
      <c r="C388" s="4">
        <f>(B388-B387)/B387</f>
        <v/>
      </c>
      <c r="D388" t="n">
        <v>1699.13</v>
      </c>
      <c r="E388" s="4">
        <f>(D388-D387)/D387</f>
        <v/>
      </c>
    </row>
    <row r="389">
      <c r="A389" t="inlineStr">
        <is>
          <t>2026-03-20</t>
        </is>
      </c>
      <c r="B389" t="n">
        <v>24612</v>
      </c>
      <c r="C389" s="4">
        <f>(B389-B388)/B388</f>
        <v/>
      </c>
      <c r="D389" t="n">
        <v>1647.81</v>
      </c>
      <c r="E389" s="4">
        <f>(D389-D388)/D388</f>
        <v/>
      </c>
    </row>
    <row r="390">
      <c r="A390" t="inlineStr">
        <is>
          <t>2026-03-23</t>
        </is>
      </c>
      <c r="B390" t="n">
        <v>23580</v>
      </c>
      <c r="C390" s="4">
        <f>(B390-B389)/B389</f>
        <v/>
      </c>
      <c r="D390" t="n">
        <v>1591.17</v>
      </c>
      <c r="E390" s="4">
        <f>(D390-D389)/D389</f>
        <v/>
      </c>
    </row>
    <row r="391">
      <c r="A391" t="inlineStr">
        <is>
          <t>2026-03-24</t>
        </is>
      </c>
      <c r="B391" t="n">
        <v>24808</v>
      </c>
      <c r="C391" s="4">
        <f>(B391-B390)/B390</f>
        <v/>
      </c>
      <c r="D391" t="n">
        <v>1614.77</v>
      </c>
      <c r="E391" s="4">
        <f>(D391-D390)/D390</f>
        <v/>
      </c>
    </row>
    <row r="392">
      <c r="A392" t="inlineStr">
        <is>
          <t>2026-03-25</t>
        </is>
      </c>
      <c r="B392" t="n">
        <v>25840</v>
      </c>
      <c r="C392" s="4">
        <f>(B392-B391)/B391</f>
        <v/>
      </c>
      <c r="D392" t="n">
        <v>1658.19</v>
      </c>
      <c r="E392" s="4">
        <f>(D392-D391)/D391</f>
        <v/>
      </c>
    </row>
    <row r="393">
      <c r="A393" t="inlineStr">
        <is>
          <t>2026-03-26</t>
        </is>
      </c>
      <c r="B393" t="n">
        <v>25742</v>
      </c>
      <c r="C393" s="4">
        <f>(B393-B392)/B392</f>
        <v/>
      </c>
      <c r="D393" t="n">
        <v>1644.63</v>
      </c>
      <c r="E393" s="4">
        <f>(D393-D392)/D392</f>
        <v/>
      </c>
    </row>
    <row r="394">
      <c r="A394" t="inlineStr">
        <is>
          <t>2026-03-27</t>
        </is>
      </c>
      <c r="B394" t="n">
        <v>25987</v>
      </c>
      <c r="C394" s="4">
        <f>(B394-B393)/B393</f>
        <v/>
      </c>
      <c r="D394" t="n">
        <v>1672.8</v>
      </c>
      <c r="E394" s="4">
        <f>(D394-D393)/D393</f>
        <v/>
      </c>
    </row>
    <row r="395">
      <c r="A395" t="inlineStr">
        <is>
          <t>2026-03-30</t>
        </is>
      </c>
      <c r="B395" t="n">
        <v>25643</v>
      </c>
      <c r="C395" s="4">
        <f>(B395-B394)/B394</f>
        <v/>
      </c>
      <c r="D395" t="n">
        <v>1662.54</v>
      </c>
      <c r="E395" s="4">
        <f>(D395-D394)/D394</f>
        <v/>
      </c>
    </row>
    <row r="396">
      <c r="A396" t="inlineStr">
        <is>
          <t>2026-03-31</t>
        </is>
      </c>
      <c r="B396" t="n">
        <v>26233</v>
      </c>
      <c r="C396" s="4">
        <f>(B396-B395)/B395</f>
        <v/>
      </c>
      <c r="D396" t="n">
        <v>1674.49</v>
      </c>
      <c r="E396" s="4">
        <f>(D396-D395)/D395</f>
        <v/>
      </c>
    </row>
    <row r="397">
      <c r="A397" t="inlineStr">
        <is>
          <t>2026-04-01</t>
        </is>
      </c>
      <c r="B397" t="n">
        <v>26331</v>
      </c>
      <c r="C397" s="4">
        <f>(B397-B396)/B396</f>
        <v/>
      </c>
      <c r="D397" t="n">
        <v>1702.93</v>
      </c>
      <c r="E397" s="4">
        <f>(D397-D396)/D396</f>
        <v/>
      </c>
    </row>
    <row r="398">
      <c r="A398" t="inlineStr">
        <is>
          <t>2026-04-02</t>
        </is>
      </c>
      <c r="B398" t="n">
        <v>25791</v>
      </c>
      <c r="C398" s="4">
        <f>(B398-B397)/B397</f>
        <v/>
      </c>
      <c r="D398" t="n">
        <v>1694.82</v>
      </c>
      <c r="E398" s="4">
        <f>(D398-D397)/D397</f>
        <v/>
      </c>
    </row>
    <row r="399">
      <c r="A399" t="inlineStr">
        <is>
          <t>2026-04-03</t>
        </is>
      </c>
      <c r="B399" t="n">
        <v>25349</v>
      </c>
      <c r="C399" s="4">
        <f>(B399-B398)/B398</f>
        <v/>
      </c>
      <c r="D399" t="n">
        <v>1684.04</v>
      </c>
      <c r="E399" s="4">
        <f>(D399-D398)/D398</f>
        <v/>
      </c>
    </row>
    <row r="400">
      <c r="A400" t="inlineStr">
        <is>
          <t>2026-04-06</t>
        </is>
      </c>
      <c r="B400" t="n">
        <v>25152</v>
      </c>
      <c r="C400" s="4">
        <f>(B400-B399)/B399</f>
        <v/>
      </c>
      <c r="D400" t="n">
        <v>1674.99</v>
      </c>
      <c r="E400" s="4">
        <f>(D400-D399)/D399</f>
        <v/>
      </c>
    </row>
    <row r="401">
      <c r="A401" t="inlineStr">
        <is>
          <t>2026-04-07</t>
        </is>
      </c>
      <c r="B401" t="n">
        <v>25594</v>
      </c>
      <c r="C401" s="4">
        <f>(B401-B400)/B400</f>
        <v/>
      </c>
      <c r="D401" t="n">
        <v>1677.54</v>
      </c>
      <c r="E401" s="4">
        <f>(D401-D400)/D400</f>
        <v/>
      </c>
    </row>
    <row r="402">
      <c r="A402" t="inlineStr">
        <is>
          <t>2026-04-08</t>
        </is>
      </c>
      <c r="B402" t="n">
        <v>27117</v>
      </c>
      <c r="C402" s="4">
        <f>(B402-B401)/B401</f>
        <v/>
      </c>
      <c r="D402" t="n">
        <v>1756.55</v>
      </c>
      <c r="E402" s="4">
        <f>(D402-D401)/D401</f>
        <v/>
      </c>
    </row>
    <row r="403">
      <c r="A403" t="inlineStr">
        <is>
          <t>2026-04-09</t>
        </is>
      </c>
      <c r="B403" t="n">
        <v>26626</v>
      </c>
      <c r="C403" s="4">
        <f>(B403-B402)/B402</f>
        <v/>
      </c>
      <c r="D403" t="n">
        <v>1736.68</v>
      </c>
      <c r="E403" s="4">
        <f>(D403-D402)/D402</f>
        <v/>
      </c>
    </row>
    <row r="404">
      <c r="A404" t="inlineStr">
        <is>
          <t>2026-04-10</t>
        </is>
      </c>
      <c r="B404" t="n">
        <v>26822</v>
      </c>
      <c r="C404" s="4">
        <f>(B404-B403)/B403</f>
        <v/>
      </c>
      <c r="D404" t="n">
        <v>1750</v>
      </c>
      <c r="E404" s="4">
        <f>(D404-D403)/D403</f>
        <v/>
      </c>
    </row>
    <row r="405">
      <c r="A405" t="inlineStr">
        <is>
          <t>2026-04-13</t>
        </is>
      </c>
      <c r="B405" t="n">
        <v>26429</v>
      </c>
      <c r="C405" s="4">
        <f>(B405-B404)/B404</f>
        <v/>
      </c>
      <c r="D405" t="n">
        <v>1758.96</v>
      </c>
      <c r="E405" s="4">
        <f>(D405-D404)/D404</f>
        <v/>
      </c>
    </row>
    <row r="406">
      <c r="A406" t="inlineStr">
        <is>
          <t>2026-04-14</t>
        </is>
      </c>
      <c r="B406" t="n">
        <v>26871</v>
      </c>
      <c r="C406" s="4">
        <f>(B406-B405)/B405</f>
        <v/>
      </c>
      <c r="D406" t="n">
        <v>1775.65</v>
      </c>
      <c r="E406" s="4">
        <f>(D406-D405)/D405</f>
        <v/>
      </c>
    </row>
    <row r="407">
      <c r="A407" t="inlineStr">
        <is>
          <t>2026-04-15</t>
        </is>
      </c>
      <c r="B407" t="n">
        <v>26871</v>
      </c>
      <c r="C407" s="4">
        <f>(B407-B406)/B406</f>
        <v/>
      </c>
      <c r="D407" t="n">
        <v>1800.65</v>
      </c>
      <c r="E407" s="4">
        <f>(D407-D406)/D406</f>
        <v/>
      </c>
    </row>
    <row r="408">
      <c r="A408" t="inlineStr">
        <is>
          <t>2026-04-16</t>
        </is>
      </c>
      <c r="B408" t="n">
        <v>27117</v>
      </c>
      <c r="C408" s="4">
        <f>(B408-B407)/B407</f>
        <v/>
      </c>
      <c r="D408" t="n">
        <v>1819.83</v>
      </c>
      <c r="E408" s="4">
        <f>(D408-D407)/D407</f>
        <v/>
      </c>
    </row>
    <row r="409">
      <c r="A409" t="inlineStr">
        <is>
          <t>2026-04-17</t>
        </is>
      </c>
      <c r="B409" t="n">
        <v>27756</v>
      </c>
      <c r="C409" s="4">
        <f>(B409-B408)/B408</f>
        <v/>
      </c>
      <c r="D409" t="n">
        <v>1817.17</v>
      </c>
      <c r="E409" s="4">
        <f>(D409-D408)/D408</f>
        <v/>
      </c>
    </row>
    <row r="410">
      <c r="A410" t="inlineStr">
        <is>
          <t>2026-04-20</t>
        </is>
      </c>
      <c r="B410" t="n">
        <v>27559</v>
      </c>
      <c r="C410" s="4">
        <f>(B410-B409)/B409</f>
        <v/>
      </c>
      <c r="D410" t="n">
        <v>1837.11</v>
      </c>
      <c r="E410" s="4">
        <f>(D410-D409)/D409</f>
        <v/>
      </c>
    </row>
    <row r="411">
      <c r="A411" t="inlineStr">
        <is>
          <t>2026-04-21</t>
        </is>
      </c>
      <c r="B411" t="n">
        <v>27068</v>
      </c>
      <c r="C411" s="4">
        <f>(B411-B410)/B410</f>
        <v/>
      </c>
      <c r="D411" t="n">
        <v>1833.48</v>
      </c>
      <c r="E411" s="4">
        <f>(D411-D410)/D410</f>
        <v/>
      </c>
    </row>
    <row r="412">
      <c r="A412" t="inlineStr">
        <is>
          <t>2026-04-22</t>
        </is>
      </c>
      <c r="B412" t="n">
        <v>27068</v>
      </c>
      <c r="C412" s="4">
        <f>(B412-B411)/B411</f>
        <v/>
      </c>
      <c r="D412" t="n">
        <v>1857.3</v>
      </c>
      <c r="E412" s="4">
        <f>(D412-D411)/D411</f>
        <v/>
      </c>
    </row>
    <row r="413">
      <c r="A413" t="inlineStr">
        <is>
          <t>2026-04-23</t>
        </is>
      </c>
      <c r="B413" t="n">
        <v>26921</v>
      </c>
      <c r="C413" s="4">
        <f>(B413-B412)/B412</f>
        <v/>
      </c>
      <c r="D413" t="n">
        <v>1870.36</v>
      </c>
      <c r="E413" s="4">
        <f>(D413-D412)/D412</f>
        <v/>
      </c>
    </row>
    <row r="414">
      <c r="A414" t="inlineStr">
        <is>
          <t>2026-04-24</t>
        </is>
      </c>
      <c r="B414" t="n">
        <v>26773</v>
      </c>
      <c r="C414" s="4">
        <f>(B414-B413)/B413</f>
        <v/>
      </c>
      <c r="D414" t="n">
        <v>1853.29</v>
      </c>
      <c r="E414" s="4">
        <f>(D414-D413)/D413</f>
        <v/>
      </c>
    </row>
    <row r="415">
      <c r="A415" t="inlineStr">
        <is>
          <t>2026-04-28</t>
        </is>
      </c>
      <c r="B415" t="n">
        <v>26528</v>
      </c>
      <c r="C415" s="4">
        <f>(B415-B414)/B414</f>
        <v/>
      </c>
      <c r="D415" t="n">
        <v>1875.84</v>
      </c>
      <c r="E415" s="4">
        <f>(D415-D414)/D414</f>
        <v/>
      </c>
    </row>
    <row r="416">
      <c r="A416" t="inlineStr">
        <is>
          <t>2026-04-29</t>
        </is>
      </c>
      <c r="B416" t="n">
        <v>26036</v>
      </c>
      <c r="C416" s="4">
        <f>(B416-B415)/B415</f>
        <v/>
      </c>
      <c r="D416" t="n">
        <v>1854.1</v>
      </c>
      <c r="E416" s="4">
        <f>(D416-D415)/D415</f>
        <v/>
      </c>
    </row>
    <row r="417">
      <c r="A417" t="inlineStr">
        <is>
          <t>2026-05-04</t>
        </is>
      </c>
      <c r="B417" t="n">
        <v>26478</v>
      </c>
      <c r="C417" s="4">
        <f>(B417-B416)/B416</f>
        <v/>
      </c>
      <c r="D417" t="n">
        <v>1854.06</v>
      </c>
      <c r="E417" s="4">
        <f>(D417-D416)/D416</f>
        <v/>
      </c>
    </row>
    <row r="418">
      <c r="A418" t="inlineStr">
        <is>
          <t>2026-05-05</t>
        </is>
      </c>
      <c r="B418" t="n">
        <v>27510</v>
      </c>
      <c r="C418" s="4">
        <f>(B418-B417)/B417</f>
        <v/>
      </c>
      <c r="D418" t="n">
        <v>1874.85</v>
      </c>
      <c r="E418" s="4">
        <f>(D418-D417)/D417</f>
        <v/>
      </c>
    </row>
    <row r="419">
      <c r="A419" t="inlineStr">
        <is>
          <t>2026-05-06</t>
        </is>
      </c>
      <c r="B419" t="n">
        <v>27510</v>
      </c>
      <c r="C419" s="4">
        <f>(B419-B418)/B418</f>
        <v/>
      </c>
      <c r="D419" t="n">
        <v>1891.2</v>
      </c>
      <c r="E419" s="4">
        <f>(D419-D418)/D418</f>
        <v/>
      </c>
    </row>
    <row r="420">
      <c r="A420" t="inlineStr">
        <is>
          <t>2026-05-07</t>
        </is>
      </c>
      <c r="B420" t="n">
        <v>27657</v>
      </c>
      <c r="C420" s="4">
        <f>(B420-B419)/B419</f>
        <v/>
      </c>
      <c r="D420" t="n">
        <v>1909.01</v>
      </c>
      <c r="E420" s="4">
        <f>(D420-D419)/D419</f>
        <v/>
      </c>
    </row>
    <row r="421">
      <c r="A421" t="inlineStr">
        <is>
          <t>2026-05-08</t>
        </is>
      </c>
      <c r="B421" t="n">
        <v>27461</v>
      </c>
      <c r="C421" s="4">
        <f>(B421-B420)/B420</f>
        <v/>
      </c>
      <c r="D421" t="n">
        <v>1915.37</v>
      </c>
      <c r="E421" s="4">
        <f>(D421-D420)/D420</f>
        <v/>
      </c>
    </row>
    <row r="422">
      <c r="A422" t="inlineStr">
        <is>
          <t>2026-05-11</t>
        </is>
      </c>
      <c r="B422" t="n">
        <v>27314</v>
      </c>
      <c r="C422" s="4">
        <f>(B422-B421)/B421</f>
        <v/>
      </c>
      <c r="D422" t="n">
        <v>1895.5</v>
      </c>
      <c r="E422" s="4">
        <f>(D422-D421)/D421</f>
        <v/>
      </c>
    </row>
    <row r="423">
      <c r="A423" t="inlineStr">
        <is>
          <t>2026-05-12</t>
        </is>
      </c>
      <c r="B423" t="n">
        <v>27363</v>
      </c>
      <c r="C423" s="4">
        <f>(B423-B422)/B422</f>
        <v/>
      </c>
      <c r="D423" t="n">
        <v>1901.1</v>
      </c>
      <c r="E423" s="4">
        <f>(D423-D422)/D422</f>
        <v/>
      </c>
    </row>
    <row r="424">
      <c r="A424" t="inlineStr">
        <is>
          <t>2026-05-13</t>
        </is>
      </c>
      <c r="B424" t="n">
        <v>27264</v>
      </c>
      <c r="C424" s="4">
        <f>(B424-B423)/B423</f>
        <v/>
      </c>
      <c r="D424" t="n">
        <v>1898.37</v>
      </c>
      <c r="E424" s="4">
        <f>(D424-D423)/D423</f>
        <v/>
      </c>
    </row>
    <row r="425">
      <c r="A425" t="inlineStr">
        <is>
          <t>2026-05-14</t>
        </is>
      </c>
      <c r="B425" t="n">
        <v>28149</v>
      </c>
      <c r="C425" s="4">
        <f>(B425-B424)/B424</f>
        <v/>
      </c>
      <c r="D425" t="n">
        <v>1925.46</v>
      </c>
      <c r="E425" s="4">
        <f>(D425-D424)/D424</f>
        <v/>
      </c>
    </row>
    <row r="426">
      <c r="A426" t="inlineStr">
        <is>
          <t>2026-05-15</t>
        </is>
      </c>
      <c r="B426" t="n">
        <v>27550</v>
      </c>
      <c r="C426" s="4">
        <f>(B426-B425)/B425</f>
        <v/>
      </c>
      <c r="D426" t="n">
        <v>1921.6</v>
      </c>
      <c r="E426" s="4">
        <f>(D426-D425)/D425</f>
        <v/>
      </c>
    </row>
    <row r="427">
      <c r="A427" t="inlineStr">
        <is>
          <t>2026-05-18</t>
        </is>
      </c>
      <c r="B427" t="n">
        <v>27450</v>
      </c>
      <c r="C427" s="4">
        <f>(B427-B426)/B426</f>
        <v/>
      </c>
      <c r="D427" t="n">
        <v>1927.94</v>
      </c>
      <c r="E427" s="4">
        <f>(D427-D426)/D426</f>
        <v/>
      </c>
    </row>
    <row r="428">
      <c r="A428" t="inlineStr">
        <is>
          <t>2026-05-19</t>
        </is>
      </c>
      <c r="B428" t="n">
        <v>26750</v>
      </c>
      <c r="C428" s="4">
        <f>(B428-B427)/B427</f>
        <v/>
      </c>
      <c r="D428" t="n">
        <v>1912.93</v>
      </c>
      <c r="E428" s="4">
        <f>(D428-D427)/D427</f>
        <v/>
      </c>
    </row>
    <row r="429">
      <c r="A429" t="inlineStr">
        <is>
          <t>2026-05-20</t>
        </is>
      </c>
      <c r="B429" t="n">
        <v>26700</v>
      </c>
      <c r="C429" s="4">
        <f>(B429-B428)/B428</f>
        <v/>
      </c>
      <c r="D429" t="n">
        <v>1913.23</v>
      </c>
      <c r="E429" s="4">
        <f>(D429-D428)/D428</f>
        <v/>
      </c>
    </row>
    <row r="430">
      <c r="A430" t="inlineStr">
        <is>
          <t>2026-05-21</t>
        </is>
      </c>
      <c r="B430" t="n">
        <v>27000</v>
      </c>
      <c r="C430" s="4">
        <f>(B430-B429)/B429</f>
        <v/>
      </c>
      <c r="D430" t="n">
        <v>1896.89</v>
      </c>
      <c r="E430" s="4">
        <f>(D430-D429)/D429</f>
        <v/>
      </c>
    </row>
    <row r="431">
      <c r="A431" t="inlineStr">
        <is>
          <t>2026-05-22</t>
        </is>
      </c>
      <c r="B431" t="n">
        <v>26800</v>
      </c>
      <c r="C431" s="4">
        <f>(B431-B430)/B430</f>
        <v/>
      </c>
      <c r="D431" t="n">
        <v>1877.13</v>
      </c>
      <c r="E431" s="4">
        <f>(D431-D430)/D430</f>
        <v/>
      </c>
    </row>
    <row r="432">
      <c r="A432" t="inlineStr">
        <is>
          <t>2026-05-25</t>
        </is>
      </c>
      <c r="B432" t="n">
        <v>27000</v>
      </c>
      <c r="C432" s="4">
        <f>(B432-B431)/B431</f>
        <v/>
      </c>
      <c r="D432" t="n">
        <v>1886.03</v>
      </c>
      <c r="E432" s="4">
        <f>(D432-D431)/D431</f>
        <v/>
      </c>
    </row>
    <row r="433">
      <c r="A433" t="inlineStr">
        <is>
          <t>2026-05-26</t>
        </is>
      </c>
      <c r="B433" t="n">
        <v>27600</v>
      </c>
      <c r="C433" s="4">
        <f>(B433-B432)/B432</f>
        <v/>
      </c>
      <c r="D433" t="n">
        <v>1884.18</v>
      </c>
      <c r="E433" s="4">
        <f>(D433-D432)/D432</f>
        <v/>
      </c>
    </row>
    <row r="434">
      <c r="A434" t="inlineStr">
        <is>
          <t>2026-05-27</t>
        </is>
      </c>
      <c r="B434" t="n">
        <v>28050</v>
      </c>
      <c r="C434" s="4">
        <f>(B434-B433)/B433</f>
        <v/>
      </c>
      <c r="D434" t="n">
        <v>1874.43</v>
      </c>
      <c r="E434" s="4">
        <f>(D434-D433)/D433</f>
        <v/>
      </c>
    </row>
    <row r="435">
      <c r="A435" t="inlineStr">
        <is>
          <t>2026-05-28</t>
        </is>
      </c>
      <c r="B435" t="n">
        <v>27300</v>
      </c>
      <c r="C435" s="4">
        <f>(B435-B434)/B434</f>
        <v/>
      </c>
      <c r="D435" t="n">
        <v>1863.67</v>
      </c>
      <c r="E435" s="4">
        <f>(D435-D434)/D434</f>
        <v/>
      </c>
    </row>
    <row r="436">
      <c r="A436" t="inlineStr">
        <is>
          <t>2026-05-29</t>
        </is>
      </c>
      <c r="B436" t="n">
        <v>27100</v>
      </c>
      <c r="C436" s="4">
        <f>(B436-B435)/B435</f>
        <v/>
      </c>
      <c r="D436" t="n">
        <v>1863.49</v>
      </c>
      <c r="E436" s="4">
        <f>(D436-D435)/D435</f>
        <v/>
      </c>
    </row>
    <row r="437">
      <c r="A437" t="inlineStr">
        <is>
          <t>2026-06-01</t>
        </is>
      </c>
      <c r="B437" t="n">
        <v>26950</v>
      </c>
      <c r="C437" s="4">
        <f>(B437-B436)/B436</f>
        <v/>
      </c>
      <c r="D437" t="n">
        <v>1844.54</v>
      </c>
      <c r="E437" s="4">
        <f>(D437-D436)/D436</f>
        <v/>
      </c>
    </row>
    <row r="438">
      <c r="A438" t="inlineStr">
        <is>
          <t>2026-06-02</t>
        </is>
      </c>
      <c r="B438" t="n">
        <v>26450</v>
      </c>
      <c r="C438" s="4">
        <f>(B438-B437)/B437</f>
        <v/>
      </c>
      <c r="D438" t="n">
        <v>1826.47</v>
      </c>
      <c r="E438" s="4">
        <f>(D438-D437)/D437</f>
        <v/>
      </c>
    </row>
    <row r="439">
      <c r="A439" t="inlineStr">
        <is>
          <t>2026-06-03</t>
        </is>
      </c>
      <c r="B439" t="n">
        <v>26450</v>
      </c>
      <c r="C439" s="4">
        <f>(B439-B438)/B438</f>
        <v/>
      </c>
      <c r="D439" t="n">
        <v>1819.01</v>
      </c>
      <c r="E439" s="4">
        <f>(D439-D438)/D438</f>
        <v/>
      </c>
    </row>
    <row r="440">
      <c r="A440" t="inlineStr">
        <is>
          <t>2026-06-04</t>
        </is>
      </c>
      <c r="B440" t="n">
        <v>26500</v>
      </c>
      <c r="C440" s="4">
        <f>(B440-B439)/B439</f>
        <v/>
      </c>
      <c r="D440" t="n">
        <v>1831.55</v>
      </c>
      <c r="E440" s="4">
        <f>(D440-D439)/D439</f>
        <v/>
      </c>
    </row>
    <row r="441">
      <c r="A441" t="inlineStr">
        <is>
          <t>2026-06-05</t>
        </is>
      </c>
      <c r="B441" t="n">
        <v>26450</v>
      </c>
      <c r="C441" s="4">
        <f>(B441-B440)/B440</f>
        <v/>
      </c>
      <c r="D441" t="n">
        <v>1838.9</v>
      </c>
      <c r="E441" s="4">
        <f>(D441-D440)/D440</f>
        <v/>
      </c>
    </row>
    <row r="442">
      <c r="A442" t="inlineStr">
        <is>
          <t>2026-06-08</t>
        </is>
      </c>
      <c r="B442" t="n">
        <v>25600</v>
      </c>
      <c r="C442" s="4">
        <f>(B442-B441)/B441</f>
        <v/>
      </c>
      <c r="D442" t="n">
        <v>1790.53</v>
      </c>
      <c r="E442" s="4">
        <f>(D442-D441)/D441</f>
        <v/>
      </c>
    </row>
    <row r="443">
      <c r="A443" t="inlineStr">
        <is>
          <t>2026-06-09</t>
        </is>
      </c>
      <c r="B443" t="n">
        <v>25900</v>
      </c>
      <c r="C443" s="4">
        <f>(B443-B442)/B442</f>
        <v/>
      </c>
      <c r="D443" t="n">
        <v>1793.05</v>
      </c>
      <c r="E443" s="4">
        <f>(D443-D442)/D442</f>
        <v/>
      </c>
    </row>
    <row r="444">
      <c r="A444" t="inlineStr">
        <is>
          <t>2026-06-10</t>
        </is>
      </c>
      <c r="B444" t="n">
        <v>26050</v>
      </c>
      <c r="C444" s="4">
        <f>(B444-B443)/B443</f>
        <v/>
      </c>
      <c r="D444" t="n">
        <v>1803.71</v>
      </c>
      <c r="E444" s="4">
        <f>(D444-D443)/D443</f>
        <v/>
      </c>
    </row>
    <row r="445">
      <c r="A445" t="inlineStr">
        <is>
          <t>2026-06-11</t>
        </is>
      </c>
      <c r="B445" t="n">
        <v>26000</v>
      </c>
      <c r="C445" s="4">
        <f>(B445-B444)/B444</f>
        <v/>
      </c>
      <c r="D445" t="n">
        <v>1798.61</v>
      </c>
      <c r="E445" s="4">
        <f>(D445-D444)/D444</f>
        <v/>
      </c>
    </row>
    <row r="446">
      <c r="A446" t="inlineStr">
        <is>
          <t>2026-06-12</t>
        </is>
      </c>
      <c r="B446" t="n">
        <v>26000</v>
      </c>
      <c r="C446" s="4">
        <f>(B446-B445)/B445</f>
        <v/>
      </c>
      <c r="D446" t="n">
        <v>1791.65</v>
      </c>
      <c r="E446" s="4">
        <f>(D446-D445)/D445</f>
        <v/>
      </c>
    </row>
    <row r="447">
      <c r="A447" t="inlineStr">
        <is>
          <t>2026-06-15</t>
        </is>
      </c>
      <c r="B447" t="n">
        <v>26250</v>
      </c>
      <c r="C447" s="4">
        <f>(B447-B446)/B446</f>
        <v/>
      </c>
      <c r="D447" t="n">
        <v>1799.31</v>
      </c>
      <c r="E447" s="4">
        <f>(D447-D446)/D446</f>
        <v/>
      </c>
    </row>
    <row r="448">
      <c r="A448" t="inlineStr">
        <is>
          <t>2026-06-16</t>
        </is>
      </c>
      <c r="B448" t="n">
        <v>26350</v>
      </c>
      <c r="C448" s="4">
        <f>(B448-B447)/B447</f>
        <v/>
      </c>
      <c r="D448" t="n">
        <v>1807.94</v>
      </c>
      <c r="E448" s="4">
        <f>(D448-D447)/D447</f>
        <v/>
      </c>
    </row>
    <row r="449">
      <c r="A449" t="inlineStr">
        <is>
          <t>2026-06-17</t>
        </is>
      </c>
      <c r="B449" t="n">
        <v>26500</v>
      </c>
      <c r="C449" s="4">
        <f>(B449-B448)/B448</f>
        <v/>
      </c>
      <c r="D449" t="n">
        <v>1806.2</v>
      </c>
      <c r="E449" s="4">
        <f>(D449-D448)/D448</f>
        <v/>
      </c>
    </row>
    <row r="450">
      <c r="A450" t="inlineStr">
        <is>
          <t>2026-06-18</t>
        </is>
      </c>
      <c r="B450" t="n">
        <v>26400</v>
      </c>
      <c r="C450" s="4">
        <f>(B450-B449)/B449</f>
        <v/>
      </c>
      <c r="D450" t="n">
        <v>1830.47</v>
      </c>
      <c r="E450" s="4">
        <f>(D450-D449)/D449</f>
        <v/>
      </c>
    </row>
    <row r="451">
      <c r="A451" t="inlineStr">
        <is>
          <t>2026-06-19</t>
        </is>
      </c>
      <c r="B451" t="n">
        <v>25900</v>
      </c>
      <c r="C451" s="4">
        <f>(B451-B450)/B450</f>
        <v/>
      </c>
      <c r="D451" t="n">
        <v>1824.53</v>
      </c>
      <c r="E451" s="4">
        <f>(D451-D450)/D450</f>
        <v/>
      </c>
    </row>
    <row r="452">
      <c r="A452" t="inlineStr">
        <is>
          <t>2026-06-22</t>
        </is>
      </c>
      <c r="B452" t="n">
        <v>26000</v>
      </c>
      <c r="C452" s="4">
        <f>(B452-B451)/B451</f>
        <v/>
      </c>
      <c r="D452" t="n">
        <v>1857.91</v>
      </c>
      <c r="E452" s="4">
        <f>(D452-D451)/D451</f>
        <v/>
      </c>
    </row>
    <row r="453">
      <c r="A453" t="inlineStr">
        <is>
          <t>2026-06-23</t>
        </is>
      </c>
      <c r="B453" t="n">
        <v>26550</v>
      </c>
      <c r="C453" s="4">
        <f>(B453-B452)/B452</f>
        <v/>
      </c>
      <c r="D453" t="n">
        <v>1869.04</v>
      </c>
      <c r="E453" s="4">
        <f>(D453-D452)/D452</f>
        <v/>
      </c>
    </row>
    <row r="454">
      <c r="A454" t="inlineStr">
        <is>
          <t>2026-06-24</t>
        </is>
      </c>
      <c r="B454" t="n">
        <v>26550</v>
      </c>
      <c r="C454" s="4">
        <f>(B454-B453)/B453</f>
        <v/>
      </c>
      <c r="D454" t="n">
        <v>1878.02</v>
      </c>
      <c r="E454" s="4">
        <f>(D454-D453)/D453</f>
        <v/>
      </c>
    </row>
    <row r="455">
      <c r="A455" t="inlineStr">
        <is>
          <t>2026-06-25</t>
        </is>
      </c>
      <c r="B455" t="n">
        <v>26700</v>
      </c>
      <c r="C455" s="4">
        <f>(B455-B454)/B454</f>
        <v/>
      </c>
      <c r="D455" t="n">
        <v>1863.07</v>
      </c>
      <c r="E455" s="4">
        <f>(D455-D454)/D454</f>
        <v/>
      </c>
    </row>
    <row r="456">
      <c r="A456" t="inlineStr">
        <is>
          <t>2026-06-26</t>
        </is>
      </c>
      <c r="B456" t="n">
        <v>26750</v>
      </c>
      <c r="C456" s="4">
        <f>(B456-B455)/B455</f>
        <v/>
      </c>
      <c r="D456" t="n">
        <v>1871.91</v>
      </c>
      <c r="E456" s="4">
        <f>(D456-D455)/D455</f>
        <v/>
      </c>
    </row>
    <row r="457">
      <c r="A457" t="inlineStr">
        <is>
          <t>2026-06-29</t>
        </is>
      </c>
      <c r="B457" t="n">
        <v>27050</v>
      </c>
      <c r="C457" s="4">
        <f>(B457-B456)/B456</f>
        <v/>
      </c>
      <c r="D457" t="n">
        <v>1854.97</v>
      </c>
      <c r="E457" s="4">
        <f>(D457-D456)/D456</f>
        <v/>
      </c>
    </row>
    <row r="458">
      <c r="A458" t="inlineStr">
        <is>
          <t>2026-06-30</t>
        </is>
      </c>
      <c r="B458" t="n">
        <v>27000</v>
      </c>
      <c r="C458" s="4">
        <f>(B458-B457)/B457</f>
        <v/>
      </c>
      <c r="D458" t="n">
        <v>1860.01</v>
      </c>
      <c r="E458" s="4">
        <f>(D458-D457)/D457</f>
        <v/>
      </c>
    </row>
    <row r="459">
      <c r="A459" t="inlineStr">
        <is>
          <t>2026-07-01</t>
        </is>
      </c>
      <c r="B459" t="n">
        <v>27700</v>
      </c>
      <c r="C459" s="4">
        <f>(B459-B458)/B458</f>
        <v/>
      </c>
      <c r="D459" t="n">
        <v>1867.21</v>
      </c>
      <c r="E459" s="4">
        <f>(D459-D458)/D458</f>
        <v/>
      </c>
    </row>
    <row r="460">
      <c r="A460" t="inlineStr">
        <is>
          <t>2026-07-02</t>
        </is>
      </c>
      <c r="B460" t="n">
        <v>27700</v>
      </c>
      <c r="C460" s="4">
        <f>(B460-B459)/B459</f>
        <v/>
      </c>
      <c r="D460" t="n">
        <v>1866.35</v>
      </c>
      <c r="E460" s="4">
        <f>(D460-D459)/D459</f>
        <v/>
      </c>
    </row>
    <row r="461">
      <c r="A461" t="inlineStr">
        <is>
          <t>2026-07-03</t>
        </is>
      </c>
      <c r="B461" t="n">
        <v>27800</v>
      </c>
      <c r="C461" s="4">
        <f>(B461-B460)/B460</f>
        <v/>
      </c>
      <c r="D461" t="n">
        <v>1862.08</v>
      </c>
      <c r="E461" s="4">
        <f>(D461-D460)/D460</f>
        <v/>
      </c>
    </row>
    <row r="462">
      <c r="A462" t="inlineStr">
        <is>
          <t>2026-07-06</t>
        </is>
      </c>
      <c r="B462" t="n">
        <v>27450</v>
      </c>
      <c r="C462" s="4">
        <f>(B462-B461)/B461</f>
        <v/>
      </c>
      <c r="D462" t="n">
        <v>1843.5</v>
      </c>
      <c r="E462" s="4">
        <f>(D462-D461)/D461</f>
        <v/>
      </c>
    </row>
    <row r="463">
      <c r="A463" t="inlineStr">
        <is>
          <t>2026-07-07</t>
        </is>
      </c>
      <c r="B463" t="n">
        <v>27600</v>
      </c>
      <c r="C463" s="4">
        <f>(B463-B462)/B462</f>
        <v/>
      </c>
      <c r="D463" t="n">
        <v>1848.25</v>
      </c>
      <c r="E463" s="4">
        <f>(D463-D462)/D462</f>
        <v/>
      </c>
    </row>
    <row r="464">
      <c r="A464" t="inlineStr">
        <is>
          <t>2026-07-08</t>
        </is>
      </c>
      <c r="B464" t="n">
        <v>27750</v>
      </c>
      <c r="C464" s="4">
        <f>(B464-B463)/B463</f>
        <v/>
      </c>
      <c r="D464" t="n">
        <v>1853.7</v>
      </c>
      <c r="E464" s="4">
        <f>(D464-D463)/D463</f>
        <v/>
      </c>
    </row>
    <row r="465">
      <c r="A465" t="inlineStr">
        <is>
          <t>2026-07-09</t>
        </is>
      </c>
      <c r="B465" t="n">
        <v>27250</v>
      </c>
      <c r="C465" s="4">
        <f>(B465-B464)/B464</f>
        <v/>
      </c>
      <c r="D465" t="n">
        <v>1840.7</v>
      </c>
      <c r="E465" s="4">
        <f>(D465-D464)/D464</f>
        <v/>
      </c>
    </row>
    <row r="466">
      <c r="A466" t="inlineStr">
        <is>
          <t>2026-07-10</t>
        </is>
      </c>
      <c r="B466" t="n">
        <v>26700</v>
      </c>
      <c r="C466" s="4">
        <f>(B466-B465)/B465</f>
        <v/>
      </c>
      <c r="D466" t="n">
        <v>1828.34</v>
      </c>
      <c r="E466" s="4">
        <f>(D466-D465)/D465</f>
        <v/>
      </c>
    </row>
    <row r="467">
      <c r="A467" t="inlineStr">
        <is>
          <t>2026-07-13</t>
        </is>
      </c>
      <c r="B467" t="n">
        <v>26400</v>
      </c>
      <c r="C467" s="4">
        <f>(B467-B466)/B466</f>
        <v/>
      </c>
      <c r="D467" t="n">
        <v>1800.54</v>
      </c>
      <c r="E467" s="4">
        <f>(D467-D466)/D466</f>
        <v/>
      </c>
    </row>
    <row r="468">
      <c r="A468" t="inlineStr">
        <is>
          <t>2026-07-14</t>
        </is>
      </c>
      <c r="B468" t="n">
        <v>26500</v>
      </c>
      <c r="C468" s="4">
        <f>(B468-B467)/B467</f>
        <v/>
      </c>
      <c r="D468" t="n">
        <v>1806.63</v>
      </c>
      <c r="E468" s="4">
        <f>(D468-D467)/D467</f>
        <v/>
      </c>
    </row>
    <row r="469">
      <c r="A469" t="inlineStr">
        <is>
          <t>2026-07-15</t>
        </is>
      </c>
      <c r="B469" t="n">
        <v>25800</v>
      </c>
      <c r="C469" s="4">
        <f>(B469-B468)/B468</f>
        <v/>
      </c>
      <c r="D469" t="n">
        <v>1782.12</v>
      </c>
      <c r="E469" s="4">
        <f>(D469-D468)/D468</f>
        <v/>
      </c>
    </row>
    <row r="470">
      <c r="A470" t="inlineStr">
        <is>
          <t>2026-07-16</t>
        </is>
      </c>
      <c r="B470" t="n">
        <v>26000</v>
      </c>
      <c r="C470" s="4">
        <f>(B470-B469)/B469</f>
        <v/>
      </c>
      <c r="D470" t="n">
        <v>1804.24</v>
      </c>
      <c r="E470" s="4">
        <f>(D470-D469)/D469</f>
        <v/>
      </c>
    </row>
    <row r="471">
      <c r="A471" t="inlineStr">
        <is>
          <t>2026-07-17</t>
        </is>
      </c>
      <c r="B471" t="n">
        <v>25850</v>
      </c>
      <c r="C471" s="4">
        <f>(B471-B470)/B470</f>
        <v/>
      </c>
      <c r="D471" t="n">
        <v>1787.45</v>
      </c>
      <c r="E471" s="4">
        <f>(D471-D470)/D470</f>
        <v/>
      </c>
    </row>
    <row r="472">
      <c r="A472" t="inlineStr">
        <is>
          <t>2026-07-20</t>
        </is>
      </c>
      <c r="B472" t="n">
        <v>25000</v>
      </c>
      <c r="C472" s="4">
        <f>(B472-B471)/B471</f>
        <v/>
      </c>
      <c r="D472" t="n">
        <v>1743.51</v>
      </c>
      <c r="E472" s="4">
        <f>(D472-D471)/D471</f>
        <v/>
      </c>
    </row>
    <row r="473">
      <c r="A473" t="inlineStr">
        <is>
          <t>2026-07-21</t>
        </is>
      </c>
      <c r="B473" t="n">
        <v>25350</v>
      </c>
      <c r="C473" s="4">
        <f>(B473-B472)/B472</f>
        <v/>
      </c>
      <c r="D473" t="n">
        <v>1730.56</v>
      </c>
      <c r="E473" s="4">
        <f>(D473-D472)/D472</f>
        <v/>
      </c>
    </row>
    <row r="474">
      <c r="A474" t="inlineStr">
        <is>
          <t>2026-07-22</t>
        </is>
      </c>
      <c r="B474" t="n">
        <v>25000</v>
      </c>
      <c r="C474" s="4">
        <f>(B474-B473)/B473</f>
        <v/>
      </c>
      <c r="D474" t="n">
        <v>1668.53</v>
      </c>
      <c r="E474" s="4">
        <f>(D474-D473)/D473</f>
        <v/>
      </c>
    </row>
    <row r="475">
      <c r="A475" t="inlineStr">
        <is>
          <t>2026-07-23</t>
        </is>
      </c>
      <c r="B475" t="n">
        <v>25000</v>
      </c>
      <c r="C475" s="4">
        <f>(B475-B474)/B474</f>
        <v/>
      </c>
      <c r="D475" t="n">
        <v>1699.38</v>
      </c>
      <c r="E475" s="4">
        <f>(D475-D474)/D474</f>
        <v/>
      </c>
    </row>
    <row r="476">
      <c r="A476" t="inlineStr">
        <is>
          <t>2026-07-24</t>
        </is>
      </c>
      <c r="B476" t="n">
        <v>24950</v>
      </c>
      <c r="C476" s="4">
        <f>(B476-B475)/B475</f>
        <v/>
      </c>
      <c r="D476" t="n">
        <v>1686.11</v>
      </c>
      <c r="E476" s="4">
        <f>(D476-D475)/D475</f>
        <v/>
      </c>
    </row>
    <row r="477">
      <c r="A477" t="inlineStr">
        <is>
          <t>2026-07-27</t>
        </is>
      </c>
      <c r="B477" t="n">
        <v>24550</v>
      </c>
      <c r="C477" s="4">
        <f>(B477-B476)/B476</f>
        <v/>
      </c>
      <c r="D477" t="n">
        <v>1669.01</v>
      </c>
      <c r="E477" s="4">
        <f>(D477-D476)/D476</f>
        <v/>
      </c>
    </row>
    <row r="478">
      <c r="A478" t="inlineStr">
        <is>
          <t>2026-07-28</t>
        </is>
      </c>
      <c r="B478" t="n">
        <v>24600</v>
      </c>
      <c r="C478" s="4">
        <f>(B478-B477)/B477</f>
        <v/>
      </c>
      <c r="D478" t="n">
        <v>1680.62</v>
      </c>
      <c r="E478" s="4">
        <f>(D478-D477)/D477</f>
        <v/>
      </c>
    </row>
    <row r="479">
      <c r="A479" t="inlineStr">
        <is>
          <t>2026-07-29</t>
        </is>
      </c>
      <c r="B479" t="n">
        <v>24350</v>
      </c>
      <c r="C479" s="4">
        <f>(B479-B478)/B478</f>
        <v/>
      </c>
      <c r="D479" t="n">
        <v>1704.68</v>
      </c>
      <c r="E479" s="4">
        <f>(D479-D478)/D478</f>
        <v/>
      </c>
    </row>
    <row r="480">
      <c r="A480" t="inlineStr">
        <is>
          <t>2026-07-30</t>
        </is>
      </c>
      <c r="B480" t="n">
        <v>25000</v>
      </c>
      <c r="C480" s="4">
        <f>(B480-B479)/B479</f>
        <v/>
      </c>
      <c r="D480" t="n">
        <v>1744.66</v>
      </c>
      <c r="E480" s="4">
        <f>(D480-D479)/D479</f>
        <v/>
      </c>
    </row>
    <row r="481">
      <c r="A481" t="inlineStr">
        <is>
          <t>2026-07-31</t>
        </is>
      </c>
      <c r="B481" t="n">
        <v>24800</v>
      </c>
      <c r="C481" s="4">
        <f>(B481-B480)/B480</f>
        <v/>
      </c>
      <c r="D481" t="n">
        <v>1735.78</v>
      </c>
      <c r="E481" s="4">
        <f>(D481-D480)/D480</f>
        <v/>
      </c>
    </row>
    <row r="482">
      <c r="A482" t="inlineStr">
        <is>
          <t>2026-08-03</t>
        </is>
      </c>
      <c r="B482" t="n">
        <v>25500</v>
      </c>
      <c r="C482" s="4">
        <f>(B482-B481)/B481</f>
        <v/>
      </c>
      <c r="D482" t="n">
        <v>1762.84</v>
      </c>
      <c r="E482" s="4">
        <f>(D482-D481)/D481</f>
        <v/>
      </c>
    </row>
    <row r="483">
      <c r="A483" t="inlineStr">
        <is>
          <t>2026-08-04</t>
        </is>
      </c>
      <c r="B483" t="n">
        <v>25650</v>
      </c>
      <c r="C483" s="4">
        <f>(B483-B482)/B482</f>
        <v/>
      </c>
      <c r="D483" t="n">
        <v>1777.23</v>
      </c>
      <c r="E483" s="4">
        <f>(D483-D482)/D482</f>
        <v/>
      </c>
    </row>
    <row r="484">
      <c r="A484" t="inlineStr">
        <is>
          <t>2026-08-05</t>
        </is>
      </c>
      <c r="B484" t="n">
        <v>25500</v>
      </c>
      <c r="C484" s="4">
        <f>(B484-B483)/B483</f>
        <v/>
      </c>
      <c r="D484" t="n">
        <v>1776.46</v>
      </c>
      <c r="E484" s="4">
        <f>(D484-D483)/D483</f>
        <v/>
      </c>
    </row>
    <row r="485">
      <c r="A485" t="inlineStr">
        <is>
          <t>2026-08-06</t>
        </is>
      </c>
      <c r="B485" t="n">
        <v>25150</v>
      </c>
      <c r="C485" s="4">
        <f>(B485-B484)/B484</f>
        <v/>
      </c>
      <c r="D485" t="n">
        <v>1764.78</v>
      </c>
      <c r="E485" s="4">
        <f>(D485-D484)/D484</f>
        <v/>
      </c>
    </row>
    <row r="486">
      <c r="A486" t="inlineStr">
        <is>
          <t>2026-08-07</t>
        </is>
      </c>
      <c r="B486" t="n">
        <v>25000</v>
      </c>
      <c r="C486" s="4">
        <f>(B486-B485)/B485</f>
        <v/>
      </c>
      <c r="D486" t="n">
        <v>1768.06</v>
      </c>
      <c r="E486" s="4">
        <f>(D486-D485)/D485</f>
        <v/>
      </c>
    </row>
    <row r="487">
      <c r="A487" t="inlineStr">
        <is>
          <t>2026-08-10</t>
        </is>
      </c>
      <c r="B487" t="n">
        <v>25850</v>
      </c>
      <c r="C487" s="4">
        <f>(B487-B486)/B486</f>
        <v/>
      </c>
      <c r="D487" t="n">
        <v>1776.77</v>
      </c>
      <c r="E487" s="4">
        <f>(D487-D486)/D486</f>
        <v/>
      </c>
    </row>
    <row r="488">
      <c r="A488" t="inlineStr">
        <is>
          <t>2026-08-11</t>
        </is>
      </c>
      <c r="B488" t="n">
        <v>25500</v>
      </c>
      <c r="C488" s="4">
        <f>(B488-B487)/B487</f>
        <v/>
      </c>
      <c r="D488" t="n">
        <v>1773.41</v>
      </c>
      <c r="E488" s="4">
        <f>(D488-D487)/D487</f>
        <v/>
      </c>
    </row>
    <row r="489">
      <c r="A489" t="inlineStr">
        <is>
          <t>2026-08-12</t>
        </is>
      </c>
      <c r="B489" t="n">
        <v>25700</v>
      </c>
      <c r="C489" s="4">
        <f>(B489-B488)/B488</f>
        <v/>
      </c>
      <c r="D489" t="n">
        <v>1793.18</v>
      </c>
      <c r="E489" s="4">
        <f>(D489-D488)/D488</f>
        <v/>
      </c>
    </row>
    <row r="490">
      <c r="A490" t="inlineStr">
        <is>
          <t>2026-08-13</t>
        </is>
      </c>
      <c r="B490" t="n">
        <v>25350</v>
      </c>
      <c r="C490" s="4">
        <f>(B490-B489)/B489</f>
        <v/>
      </c>
      <c r="D490" t="n">
        <v>1765.63</v>
      </c>
      <c r="E490" s="4">
        <f>(D490-D489)/D489</f>
        <v/>
      </c>
    </row>
    <row r="491">
      <c r="A491" t="inlineStr">
        <is>
          <t>2026-08-14</t>
        </is>
      </c>
      <c r="B491" t="n">
        <v>25100</v>
      </c>
      <c r="C491" s="4">
        <f>(B491-B490)/B490</f>
        <v/>
      </c>
      <c r="D491" t="n">
        <v>1729.08</v>
      </c>
      <c r="E491" s="4">
        <f>(D491-D490)/D490</f>
        <v/>
      </c>
    </row>
    <row r="492">
      <c r="A492" t="inlineStr">
        <is>
          <t>2026-08-17</t>
        </is>
      </c>
      <c r="B492" t="n">
        <v>24750</v>
      </c>
      <c r="C492" s="4">
        <f>(B492-B491)/B491</f>
        <v/>
      </c>
      <c r="D492" t="n">
        <v>1727.46</v>
      </c>
      <c r="E492" s="4">
        <f>(D492-D491)/D491</f>
        <v/>
      </c>
    </row>
    <row r="493">
      <c r="A493" t="inlineStr">
        <is>
          <t>2026-08-18</t>
        </is>
      </c>
      <c r="B493" t="n">
        <v>24900</v>
      </c>
      <c r="C493" s="4">
        <f>(B493-B492)/B492</f>
        <v/>
      </c>
      <c r="D493" t="n">
        <v>1732.02</v>
      </c>
      <c r="E493" s="4">
        <f>(D493-D492)/D492</f>
        <v/>
      </c>
    </row>
    <row r="494">
      <c r="A494" t="inlineStr">
        <is>
          <t>2026-08-19</t>
        </is>
      </c>
      <c r="B494" t="n">
        <v>24850</v>
      </c>
      <c r="C494" s="4">
        <f>(B494-B493)/B493</f>
        <v/>
      </c>
      <c r="D494" t="n">
        <v>1726.69</v>
      </c>
      <c r="E494" s="4">
        <f>(D494-D493)/D493</f>
        <v/>
      </c>
    </row>
    <row r="495">
      <c r="A495" t="inlineStr">
        <is>
          <t>2026-08-20</t>
        </is>
      </c>
      <c r="B495" t="n">
        <v>24900</v>
      </c>
      <c r="C495" s="4">
        <f>(B495-B494)/B494</f>
        <v/>
      </c>
      <c r="D495" t="n">
        <v>1734.24</v>
      </c>
      <c r="E495" s="4">
        <f>(D495-D494)/D494</f>
        <v/>
      </c>
    </row>
    <row r="496">
      <c r="A496" t="inlineStr">
        <is>
          <t>2026-08-21</t>
        </is>
      </c>
      <c r="B496" t="n">
        <v>25700</v>
      </c>
      <c r="C496" s="4">
        <f>(B496-B495)/B495</f>
        <v/>
      </c>
      <c r="D496" t="n">
        <v>1768.12</v>
      </c>
      <c r="E496" s="4">
        <f>(D496-D495)/D495</f>
        <v/>
      </c>
    </row>
    <row r="497">
      <c r="A497" t="inlineStr">
        <is>
          <t>2026-08-24</t>
        </is>
      </c>
      <c r="B497" t="n">
        <v>26350</v>
      </c>
      <c r="C497" s="4">
        <f>(B497-B496)/B496</f>
        <v/>
      </c>
      <c r="D497" t="n">
        <v>1788.78</v>
      </c>
      <c r="E497" s="4">
        <f>(D497-D496)/D496</f>
        <v/>
      </c>
    </row>
    <row r="498">
      <c r="A498" t="inlineStr">
        <is>
          <t>2026-08-25</t>
        </is>
      </c>
      <c r="B498" t="n">
        <v>26400</v>
      </c>
      <c r="C498" s="4">
        <f>(B498-B497)/B497</f>
        <v/>
      </c>
      <c r="D498" t="n">
        <v>1791.41</v>
      </c>
      <c r="E498" s="4">
        <f>(D498-D497)/D497</f>
        <v/>
      </c>
    </row>
    <row r="499">
      <c r="A499" t="inlineStr">
        <is>
          <t>2026-08-26</t>
        </is>
      </c>
      <c r="B499" t="n">
        <v>26750</v>
      </c>
      <c r="C499" s="4">
        <f>(B499-B498)/B498</f>
        <v/>
      </c>
      <c r="D499" t="n">
        <v>1821.32</v>
      </c>
      <c r="E499" s="4">
        <f>(D499-D498)/D498</f>
        <v/>
      </c>
    </row>
    <row r="500">
      <c r="A500" t="inlineStr">
        <is>
          <t>2026-08-27</t>
        </is>
      </c>
      <c r="B500" t="n">
        <v>27400</v>
      </c>
      <c r="C500" s="4">
        <f>(B500-B499)/B499</f>
        <v/>
      </c>
      <c r="D500" t="n">
        <v>1831.56</v>
      </c>
      <c r="E500" s="4">
        <f>(D500-D499)/D499</f>
        <v/>
      </c>
    </row>
    <row r="501">
      <c r="A501" t="inlineStr">
        <is>
          <t>2026-08-28</t>
        </is>
      </c>
      <c r="B501" t="n">
        <v>27800</v>
      </c>
      <c r="C501" s="4">
        <f>(B501-B500)/B500</f>
        <v/>
      </c>
      <c r="D501" t="n">
        <v>1832.12</v>
      </c>
      <c r="E501" s="4">
        <f>(D501-D500)/D500</f>
        <v/>
      </c>
    </row>
    <row r="502">
      <c r="A502" t="inlineStr">
        <is>
          <t>2026-09-03</t>
        </is>
      </c>
      <c r="B502" t="n">
        <v>26950</v>
      </c>
      <c r="C502" s="4">
        <f>(B502-B501)/B501</f>
        <v/>
      </c>
      <c r="D502" t="n">
        <v>1827.72</v>
      </c>
      <c r="E502" s="4">
        <f>(D502-D501)/D501</f>
        <v/>
      </c>
    </row>
    <row r="503">
      <c r="A503" t="inlineStr">
        <is>
          <t>2026-09-04</t>
        </is>
      </c>
      <c r="B503" t="n">
        <v>27800</v>
      </c>
      <c r="C503" s="4">
        <f>(B503-B502)/B502</f>
        <v/>
      </c>
      <c r="D503" t="n">
        <v>1853.08</v>
      </c>
      <c r="E503" s="4">
        <f>(D503-D502)/D502</f>
        <v/>
      </c>
    </row>
    <row r="504">
      <c r="A504" t="inlineStr">
        <is>
          <t>2026-09-07</t>
        </is>
      </c>
      <c r="B504" t="n">
        <v>27300</v>
      </c>
      <c r="C504" s="4">
        <f>(B504-B503)/B503</f>
        <v/>
      </c>
      <c r="D504" t="n">
        <v>1821.64</v>
      </c>
      <c r="E504" s="4">
        <f>(D504-D503)/D503</f>
        <v/>
      </c>
    </row>
    <row r="505">
      <c r="A505" t="inlineStr">
        <is>
          <t>2026-09-08</t>
        </is>
      </c>
      <c r="B505" t="n">
        <v>27400</v>
      </c>
      <c r="C505" s="4">
        <f>(B505-B504)/B504</f>
        <v/>
      </c>
      <c r="D505" t="n">
        <v>1830.44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HYPERLINK("https://finance.vietstock.vn/search?query=VPB",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VPB</t>
        </is>
      </c>
    </row>
    <row r="3">
      <c r="B3" s="8" t="inlineStr">
        <is>
          <t>Ngân hàng Thương mại Cổ phần Việt Nam Thịnh Vượng</t>
        </is>
      </c>
    </row>
    <row r="4">
      <c r="B4" s="9" t="inlineStr">
        <is>
          <t>Ngày lập: 08/09/2026 22:58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0" max="10"/>
  </cols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27300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4505693000</v>
      </c>
      <c r="C3" s="15" t="n">
        <v>6743423600</v>
      </c>
      <c r="D3" s="15" t="n">
        <v>7933923600</v>
      </c>
      <c r="E3" s="15" t="n">
        <v>7933923600</v>
      </c>
      <c r="F3" s="15" t="n">
        <v>7933923600</v>
      </c>
      <c r="G3" s="15" t="n">
        <v>7933923600</v>
      </c>
      <c r="H3" s="15" t="n">
        <v>7933923600</v>
      </c>
      <c r="I3" s="15" t="n">
        <v>7933923600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7*0.0-'05_Balance_Sheet'!C8-'05_Balance_Sheet'!C9)-(SUM('05_Balance_Sheet'!B5:B6)+'05_Balance_Sheet'!B7*0.0-'05_Balance_Sheet'!B8-'05_Balance_Sheet'!B9))/(SUM('05_Balance_Sheet'!B5:B6)+'05_Balance_Sheet'!B7*0.0-'05_Balance_Sheet'!B8-'05_Balance_Sheet'!B9)</f>
        <v/>
      </c>
      <c r="D5" s="4">
        <f>((SUM('05_Balance_Sheet'!D5:D6)+'05_Balance_Sheet'!D7*0.5-'05_Balance_Sheet'!D8-'05_Balance_Sheet'!D9)-(SUM('05_Balance_Sheet'!C5:C6)+'05_Balance_Sheet'!C7*0.0-'05_Balance_Sheet'!C8-'05_Balance_Sheet'!C9))/(SUM('05_Balance_Sheet'!C5:C6)+'05_Balance_Sheet'!C7*0.0-'05_Balance_Sheet'!C8-'05_Balance_Sheet'!C9)</f>
        <v/>
      </c>
      <c r="E5" s="4">
        <f>((SUM('05_Balance_Sheet'!E5:E6)+'05_Balance_Sheet'!E7*0.4-'05_Balance_Sheet'!E8-'05_Balance_Sheet'!E9)-(SUM('05_Balance_Sheet'!D5:D6)+'05_Balance_Sheet'!D7*0.5-'05_Balance_Sheet'!D8-'05_Balance_Sheet'!D9))/(SUM('05_Balance_Sheet'!D5:D6)+'05_Balance_Sheet'!D7*0.5-'05_Balance_Sheet'!D8-'05_Balance_Sheet'!D9)</f>
        <v/>
      </c>
      <c r="F5" s="4">
        <f>((SUM('05_Balance_Sheet'!F5:F6)+'05_Balance_Sheet'!F7*0.2-'05_Balance_Sheet'!F8-'05_Balance_Sheet'!F9)-(SUM('05_Balance_Sheet'!E5:E6)+'05_Balance_Sheet'!E7*0.4-'05_Balance_Sheet'!E8-'05_Balance_Sheet'!E9))/(SUM('05_Balance_Sheet'!E5:E6)+'05_Balance_Sheet'!E7*0.4-'05_Balance_Sheet'!E8-'05_Balance_Sheet'!E9)</f>
        <v/>
      </c>
      <c r="G5" s="4" t="n">
        <v>0.2551</v>
      </c>
      <c r="H5" s="4" t="n">
        <v>0.2451</v>
      </c>
      <c r="I5" s="4" t="n">
        <v>0.2351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0.0548</v>
      </c>
      <c r="H6" s="4" t="n">
        <v>0.0548</v>
      </c>
      <c r="I6" s="4" t="n">
        <v>0.0548</v>
      </c>
      <c r="J6" s="16" t="inlineStr">
        <is>
          <t>Năm 1 (2026E) cơ học (YOEA/COF): YOEA=9.60% (gốc 9.74% x hệ số 0.985), COF=6.42% (gốc 6.62% x hệ số 0.97) → NIM cơ học=5.68%. Đã có Q2 thực tế = 5.29% → NIM năm 1 = 50% cơ học + 50% Q2 thực tế = 5.48%. Năm 2/3 GIỮ NGUYÊN bằng năm 1 (không giả định NIM tăng, để định giá an toàn hơn).</t>
        </is>
      </c>
    </row>
    <row r="7">
      <c r="A7" t="inlineStr">
        <is>
          <t>CIR (%)</t>
        </is>
      </c>
      <c r="B7" s="4" t="n">
        <v>0.242</v>
      </c>
      <c r="C7" s="4" t="n">
        <v>0.2442</v>
      </c>
      <c r="D7" s="4" t="n">
        <v>0.2803</v>
      </c>
      <c r="E7" s="4" t="n">
        <v>0.2303</v>
      </c>
      <c r="F7" s="4" t="n">
        <v>0.2496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7" t="n">
        <v>0.15</v>
      </c>
      <c r="H11" s="17" t="n">
        <v>0.15</v>
      </c>
      <c r="I11" s="17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7" t="n">
        <v>0.144331</v>
      </c>
      <c r="H12" s="17" t="n">
        <v>0.144331</v>
      </c>
      <c r="I12" s="17" t="n">
        <v>0.144331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7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7" t="n">
        <v>0.2</v>
      </c>
      <c r="H14" s="17" t="n">
        <v>0.2</v>
      </c>
      <c r="I14" s="17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8" t="n">
        <v>1.5280941087</v>
      </c>
      <c r="H15" s="18" t="n">
        <v>1.5280941087</v>
      </c>
      <c r="I15" s="18" t="n">
        <v>1.5280941087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9">
        <f>'05_Balance_Sheet'!F2</f>
        <v/>
      </c>
    </row>
    <row r="27">
      <c r="A27" t="inlineStr">
        <is>
          <t>DepBonds gốc (2025A)</t>
        </is>
      </c>
      <c r="B27" s="19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8" t="n">
        <v>491499.804</v>
      </c>
      <c r="C2" s="18" t="n">
        <v>529898.7239999999</v>
      </c>
      <c r="D2" s="18" t="n">
        <v>659579.2325</v>
      </c>
      <c r="E2" s="18" t="n">
        <v>818083.6045</v>
      </c>
      <c r="F2" s="18" t="n">
        <v>1039393.3545</v>
      </c>
      <c r="G2" s="18">
        <f>(F18+G18)/2</f>
        <v/>
      </c>
      <c r="H2" s="18">
        <f>(G18+H18)/2</f>
        <v/>
      </c>
      <c r="I2" s="18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8" t="n">
        <v>0.0699</v>
      </c>
      <c r="C4" s="18" t="n">
        <v>0.0774</v>
      </c>
      <c r="D4" s="18" t="n">
        <v>0.0579</v>
      </c>
      <c r="E4" s="18" t="n">
        <v>0.0611</v>
      </c>
      <c r="F4" s="18" t="n">
        <v>0.0564</v>
      </c>
      <c r="G4" s="18" t="n">
        <v>0.0548</v>
      </c>
      <c r="H4" s="18" t="n">
        <v>0.0548</v>
      </c>
      <c r="I4" s="18" t="n">
        <v>0.0548</v>
      </c>
    </row>
    <row r="5">
      <c r="A5" s="14" t="inlineStr">
        <is>
          <t>NII (tỷ)</t>
        </is>
      </c>
      <c r="B5" s="18" t="n">
        <v>34348.829</v>
      </c>
      <c r="C5" s="18" t="n">
        <v>41021.058</v>
      </c>
      <c r="D5" s="18" t="n">
        <v>38174.676</v>
      </c>
      <c r="E5" s="18" t="n">
        <v>50002.402</v>
      </c>
      <c r="F5" s="18" t="n">
        <v>58662.713</v>
      </c>
      <c r="G5" s="18">
        <f>G2*'02_Assumptions'!G6</f>
        <v/>
      </c>
      <c r="H5" s="18">
        <f>H2*'02_Assumptions'!H6</f>
        <v/>
      </c>
      <c r="I5" s="18">
        <f>I2*'02_Assumptions'!I6</f>
        <v/>
      </c>
    </row>
    <row r="6">
      <c r="A6" s="14" t="inlineStr">
        <is>
          <t>Thu nhập dịch vụ</t>
        </is>
      </c>
      <c r="B6" s="18" t="n">
        <v>4059.031</v>
      </c>
      <c r="C6" s="18" t="n">
        <v>6437.752</v>
      </c>
      <c r="D6" s="18" t="n">
        <v>7211.882</v>
      </c>
      <c r="E6" s="18" t="n">
        <v>5204.328</v>
      </c>
      <c r="F6" s="18" t="n">
        <v>7381.663</v>
      </c>
      <c r="G6" s="14" t="n"/>
      <c r="H6" s="14" t="n"/>
      <c r="I6" s="14" t="n"/>
    </row>
    <row r="7">
      <c r="A7" s="14" t="inlineStr">
        <is>
          <t>Thu nhập ngoại hối</t>
        </is>
      </c>
      <c r="B7" s="18" t="n">
        <v>-76.39400000000001</v>
      </c>
      <c r="C7" s="18" t="n">
        <v>-618.05</v>
      </c>
      <c r="D7" s="18" t="n">
        <v>-805.973</v>
      </c>
      <c r="E7" s="18" t="n">
        <v>827.24</v>
      </c>
      <c r="F7" s="18" t="n">
        <v>297.016</v>
      </c>
      <c r="G7" s="14" t="n"/>
      <c r="H7" s="14" t="n"/>
      <c r="I7" s="14" t="n"/>
    </row>
    <row r="8">
      <c r="A8" s="14" t="inlineStr">
        <is>
          <t>Thu nhập CK đầu tư</t>
        </is>
      </c>
      <c r="B8" s="18" t="n">
        <v>3159.745</v>
      </c>
      <c r="C8" s="18" t="n">
        <v>359.561</v>
      </c>
      <c r="D8" s="18" t="n">
        <v>630.205</v>
      </c>
      <c r="E8" s="18" t="n">
        <v>830.623</v>
      </c>
      <c r="F8" s="18" t="n">
        <v>1571.104</v>
      </c>
      <c r="G8" s="14" t="n"/>
      <c r="H8" s="14" t="n"/>
      <c r="I8" s="14" t="n"/>
    </row>
    <row r="9">
      <c r="A9" s="14" t="inlineStr">
        <is>
          <t>Thu nhập khác</t>
        </is>
      </c>
      <c r="B9" s="18" t="n">
        <v>2807.788</v>
      </c>
      <c r="C9" s="18" t="n">
        <v>10583.967</v>
      </c>
      <c r="D9" s="18" t="n">
        <v>4525.551</v>
      </c>
      <c r="E9" s="18" t="n">
        <v>5377.662</v>
      </c>
      <c r="F9" s="18" t="n">
        <v>6706.16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8" t="n">
        <v>9952.646000000001</v>
      </c>
      <c r="C10" s="18" t="n">
        <v>16776.031</v>
      </c>
      <c r="D10" s="18" t="n">
        <v>11564.812</v>
      </c>
      <c r="E10" s="18" t="n">
        <v>12252.65399999999</v>
      </c>
      <c r="F10" s="18" t="n">
        <v>15991.10399999999</v>
      </c>
      <c r="G10" s="18" t="n">
        <v>18389.76959999999</v>
      </c>
      <c r="H10" s="18" t="n">
        <v>21148.23503999999</v>
      </c>
      <c r="I10" s="18" t="n">
        <v>24108.98794559999</v>
      </c>
    </row>
    <row r="11">
      <c r="A11" s="14" t="inlineStr">
        <is>
          <t>Tổng thu nhập HĐ - TOI</t>
        </is>
      </c>
      <c r="B11" s="18" t="n">
        <v>44301.475</v>
      </c>
      <c r="C11" s="18" t="n">
        <v>57797.089</v>
      </c>
      <c r="D11" s="18" t="n">
        <v>49739.488</v>
      </c>
      <c r="E11" s="18" t="n">
        <v>62255.056</v>
      </c>
      <c r="F11" s="18" t="n">
        <v>74653.817</v>
      </c>
      <c r="G11" s="18">
        <f>G5+G10</f>
        <v/>
      </c>
      <c r="H11" s="18">
        <f>H5+H10</f>
        <v/>
      </c>
      <c r="I11" s="18">
        <f>I5+I10</f>
        <v/>
      </c>
    </row>
    <row r="12">
      <c r="A12" s="14" t="inlineStr">
        <is>
          <t>NII/TOI (%)</t>
        </is>
      </c>
      <c r="B12" s="18" t="n">
        <v>77.53</v>
      </c>
      <c r="C12" s="18" t="n">
        <v>70.97</v>
      </c>
      <c r="D12" s="18" t="n">
        <v>76.75</v>
      </c>
      <c r="E12" s="18" t="n">
        <v>80.31999999999999</v>
      </c>
      <c r="F12" s="18" t="n">
        <v>78.58</v>
      </c>
      <c r="G12" s="14" t="n"/>
      <c r="H12" s="14" t="n"/>
      <c r="I12" s="14" t="n"/>
    </row>
    <row r="13">
      <c r="A13" s="14" t="inlineStr">
        <is>
          <t>Chi phí HĐ - OPEX</t>
        </is>
      </c>
      <c r="B13" s="18" t="n">
        <v>10718.937</v>
      </c>
      <c r="C13" s="18" t="n">
        <v>14115.731</v>
      </c>
      <c r="D13" s="18" t="n">
        <v>13941.218</v>
      </c>
      <c r="E13" s="18" t="n">
        <v>14339.732</v>
      </c>
      <c r="F13" s="18" t="n">
        <v>18630.319</v>
      </c>
      <c r="G13" s="18">
        <f>G11*'02_Assumptions'!G7</f>
        <v/>
      </c>
      <c r="H13" s="18">
        <f>H11*'02_Assumptions'!H7</f>
        <v/>
      </c>
      <c r="I13" s="18">
        <f>I11*'02_Assumptions'!I7</f>
        <v/>
      </c>
    </row>
    <row r="14">
      <c r="A14" s="14" t="inlineStr">
        <is>
          <t>PPOP - LN trước dự phòng</t>
        </is>
      </c>
      <c r="B14" s="18" t="n">
        <v>33582.538</v>
      </c>
      <c r="C14" s="18" t="n">
        <v>43681.358</v>
      </c>
      <c r="D14" s="18" t="n">
        <v>35798.27</v>
      </c>
      <c r="E14" s="18" t="n">
        <v>47915.324</v>
      </c>
      <c r="F14" s="18" t="n">
        <v>56023.498</v>
      </c>
      <c r="G14" s="18">
        <f>G11-G13</f>
        <v/>
      </c>
      <c r="H14" s="18">
        <f>H11-H13</f>
        <v/>
      </c>
      <c r="I14" s="18">
        <f>I11-I13</f>
        <v/>
      </c>
    </row>
    <row r="15">
      <c r="A15" s="14" t="inlineStr">
        <is>
          <t>PPOP/TOI (%)</t>
        </is>
      </c>
      <c r="B15" s="18" t="n">
        <v>75.8</v>
      </c>
      <c r="C15" s="18" t="n">
        <v>75.58</v>
      </c>
      <c r="D15" s="18" t="n">
        <v>71.97</v>
      </c>
      <c r="E15" s="18" t="n">
        <v>76.97</v>
      </c>
      <c r="F15" s="18" t="n">
        <v>75.04000000000001</v>
      </c>
      <c r="G15" s="14" t="n"/>
      <c r="H15" s="14" t="n"/>
      <c r="I15" s="14" t="n"/>
    </row>
    <row r="16">
      <c r="A16" s="14" t="inlineStr">
        <is>
          <t>Dự phòng tín dụng</t>
        </is>
      </c>
      <c r="B16" s="18" t="n">
        <v>19218.768</v>
      </c>
      <c r="C16" s="18" t="n">
        <v>22461.226</v>
      </c>
      <c r="D16" s="18" t="n">
        <v>24994.374</v>
      </c>
      <c r="E16" s="18" t="n">
        <v>27902.624</v>
      </c>
      <c r="F16" s="18" t="n">
        <v>25398.549</v>
      </c>
      <c r="G16" s="18">
        <f>(('05_Balance_Sheet'!F3+'05_Balance_Sheet'!G3)/2)*'02_Assumptions'!G8</f>
        <v/>
      </c>
      <c r="H16" s="18">
        <f>(('05_Balance_Sheet'!G3+'05_Balance_Sheet'!H3)/2)*'02_Assumptions'!H8</f>
        <v/>
      </c>
      <c r="I16" s="18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8" t="n">
        <v>14363.77</v>
      </c>
      <c r="C17" s="18" t="n">
        <v>21220.132</v>
      </c>
      <c r="D17" s="18" t="n">
        <v>10803.896</v>
      </c>
      <c r="E17" s="18" t="n">
        <v>20012.7</v>
      </c>
      <c r="F17" s="18" t="n">
        <v>30624.949</v>
      </c>
      <c r="G17" s="18">
        <f>G14-G16</f>
        <v/>
      </c>
      <c r="H17" s="18">
        <f>H14-H16</f>
        <v/>
      </c>
      <c r="I17" s="18">
        <f>I14-I16</f>
        <v/>
      </c>
    </row>
    <row r="18">
      <c r="A18" s="14" t="inlineStr">
        <is>
          <t>IEA cuối kỳ (tỷ)</t>
        </is>
      </c>
      <c r="B18" s="18" t="n">
        <v>491499.8</v>
      </c>
      <c r="C18" s="18" t="n">
        <v>568297.6</v>
      </c>
      <c r="D18" s="18" t="n">
        <v>750860.8</v>
      </c>
      <c r="E18" s="18" t="n">
        <v>885306.4</v>
      </c>
      <c r="F18" s="18" t="n">
        <v>1193480.3</v>
      </c>
      <c r="G18" s="18">
        <f>F18*(1+G3)</f>
        <v/>
      </c>
      <c r="H18" s="18">
        <f>G18*(1+H3)</f>
        <v/>
      </c>
      <c r="I18" s="18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Thu nhập lãi thuần - NII</t>
        </is>
      </c>
      <c r="B2" s="18" t="n">
        <v>9887.714</v>
      </c>
      <c r="C2" s="18" t="n">
        <v>10465.653</v>
      </c>
      <c r="D2" s="18" t="n">
        <v>10384.901</v>
      </c>
      <c r="E2" s="18" t="n">
        <v>10282.653</v>
      </c>
      <c r="F2" s="18" t="n">
        <v>9533.939</v>
      </c>
      <c r="G2" s="18" t="n">
        <v>8762.153</v>
      </c>
      <c r="H2" s="18" t="n">
        <v>8836.748</v>
      </c>
      <c r="I2" s="18" t="n">
        <v>11041.836</v>
      </c>
      <c r="J2" s="18" t="n">
        <v>11323.398</v>
      </c>
      <c r="K2" s="18" t="n">
        <v>12408.24</v>
      </c>
      <c r="L2" s="18" t="n">
        <v>12155.772</v>
      </c>
      <c r="M2" s="18" t="n">
        <v>14114.992</v>
      </c>
      <c r="N2" s="18" t="n">
        <v>13355.764</v>
      </c>
      <c r="O2" s="18" t="n">
        <v>13478.566</v>
      </c>
      <c r="P2" s="18" t="n">
        <v>15061.208</v>
      </c>
      <c r="Q2" s="18" t="n">
        <v>16767.175</v>
      </c>
      <c r="R2" s="18" t="n">
        <v>16960.628</v>
      </c>
      <c r="S2" s="18" t="n">
        <v>17973.498</v>
      </c>
    </row>
    <row r="3">
      <c r="A3" s="14" t="inlineStr">
        <is>
          <t>Thu nhập ngoài lãi</t>
        </is>
      </c>
      <c r="B3" s="18" t="n">
        <v>8381.880999999999</v>
      </c>
      <c r="C3" s="18" t="n">
        <v>2820.836</v>
      </c>
      <c r="D3" s="18" t="n">
        <v>3088.237</v>
      </c>
      <c r="E3" s="18" t="n">
        <v>2485.155</v>
      </c>
      <c r="F3" s="18" t="n">
        <v>2824.814</v>
      </c>
      <c r="G3" s="18" t="n">
        <v>4019.353</v>
      </c>
      <c r="H3" s="18" t="n">
        <v>2425.283</v>
      </c>
      <c r="I3" s="18" t="n">
        <v>2299.304</v>
      </c>
      <c r="J3" s="18" t="n">
        <v>2087.214</v>
      </c>
      <c r="K3" s="18" t="n">
        <v>3728.792</v>
      </c>
      <c r="L3" s="18" t="n">
        <v>2907.235</v>
      </c>
      <c r="M3" s="18" t="n">
        <v>3529.413</v>
      </c>
      <c r="N3" s="18" t="n">
        <v>2210.324</v>
      </c>
      <c r="O3" s="18" t="n">
        <v>3056.065</v>
      </c>
      <c r="P3" s="18" t="n">
        <v>5076.348</v>
      </c>
      <c r="Q3" s="18" t="n">
        <v>5648.367</v>
      </c>
      <c r="R3" s="18" t="n">
        <v>2947.579</v>
      </c>
      <c r="S3" s="18" t="n">
        <v>5510.136</v>
      </c>
    </row>
    <row r="4">
      <c r="A4" s="14" t="inlineStr">
        <is>
          <t>Tổng thu nhập HĐ - TOI</t>
        </is>
      </c>
      <c r="B4" s="18" t="n">
        <v>18269.595</v>
      </c>
      <c r="C4" s="18" t="n">
        <v>13286.489</v>
      </c>
      <c r="D4" s="18" t="n">
        <v>13473.138</v>
      </c>
      <c r="E4" s="18" t="n">
        <v>12767.808</v>
      </c>
      <c r="F4" s="18" t="n">
        <v>12358.753</v>
      </c>
      <c r="G4" s="18" t="n">
        <v>12781.506</v>
      </c>
      <c r="H4" s="18" t="n">
        <v>11262.031</v>
      </c>
      <c r="I4" s="18" t="n">
        <v>13341.14</v>
      </c>
      <c r="J4" s="18" t="n">
        <v>13410.612</v>
      </c>
      <c r="K4" s="18" t="n">
        <v>16137.032</v>
      </c>
      <c r="L4" s="18" t="n">
        <v>15063.007</v>
      </c>
      <c r="M4" s="18" t="n">
        <v>17644.405</v>
      </c>
      <c r="N4" s="18" t="n">
        <v>15566.088</v>
      </c>
      <c r="O4" s="18" t="n">
        <v>16534.631</v>
      </c>
      <c r="P4" s="18" t="n">
        <v>20137.556</v>
      </c>
      <c r="Q4" s="18" t="n">
        <v>22415.542</v>
      </c>
      <c r="R4" s="18" t="n">
        <v>19908.207</v>
      </c>
      <c r="S4" s="18" t="n">
        <v>23483.634</v>
      </c>
    </row>
    <row r="5">
      <c r="A5" s="14" t="inlineStr">
        <is>
          <t>Chi phí hoạt động - OPEX</t>
        </is>
      </c>
      <c r="B5" s="18" t="n">
        <v>2990.976</v>
      </c>
      <c r="C5" s="18" t="n">
        <v>3524.036</v>
      </c>
      <c r="D5" s="18" t="n">
        <v>3536.223</v>
      </c>
      <c r="E5" s="18" t="n">
        <v>4064.846</v>
      </c>
      <c r="F5" s="18" t="n">
        <v>3422.919</v>
      </c>
      <c r="G5" s="18" t="n">
        <v>3678.666</v>
      </c>
      <c r="H5" s="18" t="n">
        <v>3194.749</v>
      </c>
      <c r="I5" s="18" t="n">
        <v>3615.483</v>
      </c>
      <c r="J5" s="18" t="n">
        <v>3466.567</v>
      </c>
      <c r="K5" s="18" t="n">
        <v>3331.107</v>
      </c>
      <c r="L5" s="18" t="n">
        <v>3750.96</v>
      </c>
      <c r="M5" s="18" t="n">
        <v>3791.098</v>
      </c>
      <c r="N5" s="18" t="n">
        <v>3873.901</v>
      </c>
      <c r="O5" s="18" t="n">
        <v>4404.427</v>
      </c>
      <c r="P5" s="18" t="n">
        <v>4427.75</v>
      </c>
      <c r="Q5" s="18" t="n">
        <v>5924.241</v>
      </c>
      <c r="R5" s="18" t="n">
        <v>4318.327</v>
      </c>
      <c r="S5" s="18" t="n">
        <v>4614.08</v>
      </c>
    </row>
    <row r="6">
      <c r="A6" s="14" t="inlineStr">
        <is>
          <t>LN trước dự phòng - PPOP</t>
        </is>
      </c>
      <c r="B6" s="18" t="n">
        <v>15278.619</v>
      </c>
      <c r="C6" s="18" t="n">
        <v>9762.453</v>
      </c>
      <c r="D6" s="18" t="n">
        <v>9936.915000000001</v>
      </c>
      <c r="E6" s="18" t="n">
        <v>8702.962</v>
      </c>
      <c r="F6" s="18" t="n">
        <v>8935.834000000001</v>
      </c>
      <c r="G6" s="18" t="n">
        <v>9102.84</v>
      </c>
      <c r="H6" s="18" t="n">
        <v>8067.282</v>
      </c>
      <c r="I6" s="18" t="n">
        <v>9725.656999999999</v>
      </c>
      <c r="J6" s="18" t="n">
        <v>9944.045</v>
      </c>
      <c r="K6" s="18" t="n">
        <v>12805.925</v>
      </c>
      <c r="L6" s="18" t="n">
        <v>11312.047</v>
      </c>
      <c r="M6" s="18" t="n">
        <v>13853.307</v>
      </c>
      <c r="N6" s="18" t="n">
        <v>11692.187</v>
      </c>
      <c r="O6" s="18" t="n">
        <v>12130.204</v>
      </c>
      <c r="P6" s="18" t="n">
        <v>15709.806</v>
      </c>
      <c r="Q6" s="18" t="n">
        <v>16491.301</v>
      </c>
      <c r="R6" s="18" t="n">
        <v>15589.88</v>
      </c>
      <c r="S6" s="18" t="n">
        <v>18869.554</v>
      </c>
    </row>
    <row r="7">
      <c r="A7" s="14" t="inlineStr">
        <is>
          <t>Dự phòng tín dụng</t>
        </is>
      </c>
      <c r="B7" s="18" t="n">
        <v>4132.443</v>
      </c>
      <c r="C7" s="18" t="n">
        <v>5585.723</v>
      </c>
      <c r="D7" s="18" t="n">
        <v>5422.915</v>
      </c>
      <c r="E7" s="18" t="n">
        <v>7320.145</v>
      </c>
      <c r="F7" s="18" t="n">
        <v>6386.179</v>
      </c>
      <c r="G7" s="18" t="n">
        <v>6490.301</v>
      </c>
      <c r="H7" s="18" t="n">
        <v>4950.15</v>
      </c>
      <c r="I7" s="18" t="n">
        <v>7017.806</v>
      </c>
      <c r="J7" s="18" t="n">
        <v>5762.193</v>
      </c>
      <c r="K7" s="18" t="n">
        <v>8313.437</v>
      </c>
      <c r="L7" s="18" t="n">
        <v>6125.121</v>
      </c>
      <c r="M7" s="18" t="n">
        <v>7701.873</v>
      </c>
      <c r="N7" s="18" t="n">
        <v>6677.305</v>
      </c>
      <c r="O7" s="18" t="n">
        <v>5915.679</v>
      </c>
      <c r="P7" s="18" t="n">
        <v>6543.509</v>
      </c>
      <c r="Q7" s="18" t="n">
        <v>6262.056</v>
      </c>
      <c r="R7" s="18" t="n">
        <v>7669.094</v>
      </c>
      <c r="S7" s="18" t="n">
        <v>7910.375</v>
      </c>
    </row>
    <row r="8">
      <c r="A8" s="14" t="inlineStr">
        <is>
          <t>LN trước thuế - PBT</t>
        </is>
      </c>
      <c r="B8" s="18" t="n">
        <v>11146.176</v>
      </c>
      <c r="C8" s="18" t="n">
        <v>4176.73</v>
      </c>
      <c r="D8" s="18" t="n">
        <v>4514</v>
      </c>
      <c r="E8" s="18" t="n">
        <v>1382.817</v>
      </c>
      <c r="F8" s="18" t="n">
        <v>2549.655</v>
      </c>
      <c r="G8" s="18" t="n">
        <v>2612.539</v>
      </c>
      <c r="H8" s="18" t="n">
        <v>3117.132</v>
      </c>
      <c r="I8" s="18" t="n">
        <v>2707.851</v>
      </c>
      <c r="J8" s="18" t="n">
        <v>4181.852</v>
      </c>
      <c r="K8" s="18" t="n">
        <v>4492.488</v>
      </c>
      <c r="L8" s="18" t="n">
        <v>5186.926</v>
      </c>
      <c r="M8" s="18" t="n">
        <v>6151.434</v>
      </c>
      <c r="N8" s="18" t="n">
        <v>5014.882</v>
      </c>
      <c r="O8" s="18" t="n">
        <v>6214.525</v>
      </c>
      <c r="P8" s="18" t="n">
        <v>9166.297</v>
      </c>
      <c r="Q8" s="18" t="n">
        <v>10229.245</v>
      </c>
      <c r="R8" s="18" t="n">
        <v>7920.786</v>
      </c>
      <c r="S8" s="18" t="n">
        <v>10959.179</v>
      </c>
    </row>
    <row r="9">
      <c r="A9" s="14" t="inlineStr">
        <is>
          <t>LN sau thuế - NPAT</t>
        </is>
      </c>
      <c r="B9" s="18" t="n">
        <v>8916.823</v>
      </c>
      <c r="C9" s="18" t="n">
        <v>3324.075</v>
      </c>
      <c r="D9" s="18" t="n">
        <v>3542.43</v>
      </c>
      <c r="E9" s="18" t="n">
        <v>1140.448</v>
      </c>
      <c r="F9" s="18" t="n">
        <v>1649.719</v>
      </c>
      <c r="G9" s="18" t="n">
        <v>2452.231</v>
      </c>
      <c r="H9" s="18" t="n">
        <v>2427.678</v>
      </c>
      <c r="I9" s="18" t="n">
        <v>2111.161</v>
      </c>
      <c r="J9" s="18" t="n">
        <v>3141.883</v>
      </c>
      <c r="K9" s="18" t="n">
        <v>3641.161</v>
      </c>
      <c r="L9" s="18" t="n">
        <v>4164.26</v>
      </c>
      <c r="M9" s="18" t="n">
        <v>5039.522</v>
      </c>
      <c r="N9" s="18" t="n">
        <v>3934.954</v>
      </c>
      <c r="O9" s="18" t="n">
        <v>4937.496</v>
      </c>
      <c r="P9" s="18" t="n">
        <v>7363.737</v>
      </c>
      <c r="Q9" s="18" t="n">
        <v>8118.409</v>
      </c>
      <c r="R9" s="18" t="n">
        <v>6329.468</v>
      </c>
      <c r="S9" s="18" t="n">
        <v>8775.909</v>
      </c>
    </row>
    <row r="10">
      <c r="A10" s="14" t="inlineStr">
        <is>
          <t>Chi phí lãi (Int Exp)</t>
        </is>
      </c>
      <c r="B10" s="18" t="n">
        <v>1249.219</v>
      </c>
      <c r="C10" s="18" t="n">
        <v>1538.007</v>
      </c>
      <c r="D10" s="18" t="n">
        <v>1769.456</v>
      </c>
      <c r="E10" s="18" t="n">
        <v>1881.147</v>
      </c>
      <c r="F10" s="18" t="n">
        <v>1668.354</v>
      </c>
      <c r="G10" s="18" t="n">
        <v>1657.042</v>
      </c>
      <c r="H10" s="18" t="n">
        <v>1889.361</v>
      </c>
      <c r="I10" s="18" t="n">
        <v>1881.068</v>
      </c>
      <c r="J10" s="18" t="n">
        <v>1553.831</v>
      </c>
      <c r="K10" s="18" t="n">
        <v>1883.037</v>
      </c>
      <c r="L10" s="18" t="n">
        <v>1147.565</v>
      </c>
      <c r="M10" s="18" t="n">
        <v>619.895</v>
      </c>
      <c r="N10" s="18" t="n">
        <v>1168.799</v>
      </c>
      <c r="O10" s="18" t="n">
        <v>1343.252</v>
      </c>
      <c r="P10" s="18" t="n">
        <v>2392.034</v>
      </c>
      <c r="Q10" s="18" t="n">
        <v>2477.578</v>
      </c>
      <c r="R10" s="18" t="n">
        <v>2064.523</v>
      </c>
      <c r="S10" s="18" t="n">
        <v>3490.13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8" t="n">
        <v>34348.829</v>
      </c>
      <c r="C2" s="18" t="n">
        <v>41021.058</v>
      </c>
      <c r="D2" s="18" t="n">
        <v>38174.676</v>
      </c>
      <c r="E2" s="18" t="n">
        <v>50002.402</v>
      </c>
      <c r="F2" s="18" t="n">
        <v>58662.713</v>
      </c>
      <c r="G2" s="18">
        <f>'03_Income_Model'!G5</f>
        <v/>
      </c>
      <c r="H2" s="18">
        <f>'03_Income_Model'!H5</f>
        <v/>
      </c>
      <c r="I2" s="18">
        <f>'03_Income_Model'!I5</f>
        <v/>
      </c>
    </row>
    <row r="3">
      <c r="A3" s="14" t="inlineStr">
        <is>
          <t>Tổng thu nhập hoạt động (TOI)</t>
        </is>
      </c>
      <c r="B3" s="18" t="n">
        <v>44301.475</v>
      </c>
      <c r="C3" s="18" t="n">
        <v>57797.089</v>
      </c>
      <c r="D3" s="18" t="n">
        <v>49739.488</v>
      </c>
      <c r="E3" s="18" t="n">
        <v>62255.056</v>
      </c>
      <c r="F3" s="18" t="n">
        <v>74653.817</v>
      </c>
      <c r="G3" s="18">
        <f>SUM(G2+'03_Income_Model'!G10)</f>
        <v/>
      </c>
      <c r="H3" s="18">
        <f>SUM(H2+'03_Income_Model'!H10)</f>
        <v/>
      </c>
      <c r="I3" s="18">
        <f>SUM(I2+'03_Income_Model'!I10)</f>
        <v/>
      </c>
    </row>
    <row r="4">
      <c r="A4" s="14" t="inlineStr">
        <is>
          <t>Lợi nhuận trước dự phòng (PPOP)</t>
        </is>
      </c>
      <c r="B4" s="18" t="n">
        <v>33582.538</v>
      </c>
      <c r="C4" s="18" t="n">
        <v>43681.358</v>
      </c>
      <c r="D4" s="18" t="n">
        <v>35798.27</v>
      </c>
      <c r="E4" s="18" t="n">
        <v>47915.324</v>
      </c>
      <c r="F4" s="18" t="n">
        <v>56023.498</v>
      </c>
      <c r="G4" s="18">
        <f>'03_Income_Model'!G14</f>
        <v/>
      </c>
      <c r="H4" s="18">
        <f>'03_Income_Model'!H14</f>
        <v/>
      </c>
      <c r="I4" s="18">
        <f>'03_Income_Model'!I14</f>
        <v/>
      </c>
    </row>
    <row r="5">
      <c r="A5" s="14" t="inlineStr">
        <is>
          <t>LNST (NPAT)</t>
        </is>
      </c>
      <c r="B5" s="18" t="n">
        <v>11477.17</v>
      </c>
      <c r="C5" s="18" t="n">
        <v>16908.807</v>
      </c>
      <c r="D5" s="18" t="n">
        <v>8494.171</v>
      </c>
      <c r="E5" s="18" t="n">
        <v>15986.826</v>
      </c>
      <c r="F5" s="18" t="n">
        <v>24354.596</v>
      </c>
      <c r="G5" s="18">
        <f>('03_Income_Model'!G17)-MAX(('03_Income_Model'!G17)*'02_Assumptions'!G14,0)</f>
        <v/>
      </c>
      <c r="H5" s="18">
        <f>('03_Income_Model'!H17)-MAX(('03_Income_Model'!H17)*'02_Assumptions'!H14,0)</f>
        <v/>
      </c>
      <c r="I5" s="18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2547.259655728874</v>
      </c>
      <c r="C6" s="15" t="n">
        <v>2507.451407916893</v>
      </c>
      <c r="D6" s="15" t="n">
        <v>1070.614166236741</v>
      </c>
      <c r="E6" s="15" t="n">
        <v>2014.996211962515</v>
      </c>
      <c r="F6" s="15" t="n">
        <v>3069.67866441265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Tổng tài sản</t>
        </is>
      </c>
      <c r="B2" s="18" t="n">
        <v>563923.6850000001</v>
      </c>
      <c r="C2" s="18" t="n">
        <v>608275.139</v>
      </c>
      <c r="D2" s="18" t="n">
        <v>595901.874</v>
      </c>
      <c r="E2" s="18" t="n">
        <v>631073.662</v>
      </c>
      <c r="F2" s="18" t="n">
        <v>677623.733</v>
      </c>
      <c r="G2" s="18" t="n">
        <v>739761.986</v>
      </c>
      <c r="H2" s="18" t="n">
        <v>780212.73</v>
      </c>
      <c r="I2" s="18" t="n">
        <v>817699.5379999999</v>
      </c>
      <c r="J2" s="18" t="n">
        <v>822366.981</v>
      </c>
      <c r="K2" s="18" t="n">
        <v>864392.98</v>
      </c>
      <c r="L2" s="18" t="n">
        <v>858884.594</v>
      </c>
      <c r="M2" s="18" t="n">
        <v>923847.637</v>
      </c>
      <c r="N2" s="18" t="n">
        <v>994036.651</v>
      </c>
      <c r="O2" s="18" t="n">
        <v>1104718.51</v>
      </c>
      <c r="P2" s="18" t="n">
        <v>1178298.568</v>
      </c>
      <c r="Q2" s="18" t="n">
        <v>1260149.596</v>
      </c>
      <c r="R2" s="18" t="n">
        <v>1372010.032</v>
      </c>
      <c r="S2" s="18" t="n">
        <v>1502526.376</v>
      </c>
    </row>
    <row r="3">
      <c r="A3" s="14" t="inlineStr">
        <is>
          <t>Tiền mặt &amp; NHNN</t>
        </is>
      </c>
      <c r="B3" s="18" t="n">
        <v>6934.643</v>
      </c>
      <c r="C3" s="18" t="n">
        <v>7285.128</v>
      </c>
      <c r="D3" s="18" t="n">
        <v>6782.508</v>
      </c>
      <c r="E3" s="18" t="n">
        <v>12593.872</v>
      </c>
      <c r="F3" s="18" t="n">
        <v>11812.899</v>
      </c>
      <c r="G3" s="18" t="n">
        <v>12387.336</v>
      </c>
      <c r="H3" s="18" t="n">
        <v>11848.889</v>
      </c>
      <c r="I3" s="18" t="n">
        <v>10707.501</v>
      </c>
      <c r="J3" s="18" t="n">
        <v>10191.747</v>
      </c>
      <c r="K3" s="18" t="n">
        <v>17572.826</v>
      </c>
      <c r="L3" s="18" t="n">
        <v>16228.366</v>
      </c>
      <c r="M3" s="18" t="n">
        <v>16475.504</v>
      </c>
      <c r="N3" s="18" t="n">
        <v>9863.195</v>
      </c>
      <c r="O3" s="18" t="n">
        <v>19724.318</v>
      </c>
      <c r="P3" s="18" t="n">
        <v>17183.555</v>
      </c>
      <c r="Q3" s="18" t="n">
        <v>16344.658</v>
      </c>
      <c r="R3" s="18" t="n">
        <v>18882.481</v>
      </c>
      <c r="S3" s="18" t="n">
        <v>15976.632</v>
      </c>
    </row>
    <row r="4">
      <c r="A4" s="14" t="inlineStr">
        <is>
          <t>TG các TCTD khác</t>
        </is>
      </c>
      <c r="B4" s="18" t="n">
        <v>51850.561</v>
      </c>
      <c r="C4" s="18" t="n">
        <v>62025.635</v>
      </c>
      <c r="D4" s="18" t="n">
        <v>47833.645</v>
      </c>
      <c r="E4" s="18" t="n">
        <v>47965.493</v>
      </c>
      <c r="F4" s="18" t="n">
        <v>69935.068</v>
      </c>
      <c r="G4" s="18" t="n">
        <v>105026.761</v>
      </c>
      <c r="H4" s="18" t="n">
        <v>98886.732</v>
      </c>
      <c r="I4" s="18" t="n">
        <v>94093.77800000001</v>
      </c>
      <c r="J4" s="18" t="n">
        <v>98545.78999999999</v>
      </c>
      <c r="K4" s="18" t="n">
        <v>115858.61</v>
      </c>
      <c r="L4" s="18" t="n">
        <v>119231.088</v>
      </c>
      <c r="M4" s="18" t="n">
        <v>134643.662</v>
      </c>
      <c r="N4" s="18" t="n">
        <v>142751.033</v>
      </c>
      <c r="O4" s="18" t="n">
        <v>154342.401</v>
      </c>
      <c r="P4" s="18" t="n">
        <v>166685.535</v>
      </c>
      <c r="Q4" s="18" t="n">
        <v>186228.938</v>
      </c>
      <c r="R4" s="18" t="n">
        <v>195016.578</v>
      </c>
      <c r="S4" s="18" t="n">
        <v>199197.876</v>
      </c>
    </row>
    <row r="5">
      <c r="A5" s="14" t="inlineStr">
        <is>
          <t>Cho vay khách hàng</t>
        </is>
      </c>
      <c r="B5" s="18" t="n">
        <v>362946.441</v>
      </c>
      <c r="C5" s="18" t="n">
        <v>379718.347</v>
      </c>
      <c r="D5" s="18" t="n">
        <v>390122.807</v>
      </c>
      <c r="E5" s="18" t="n">
        <v>424662.382</v>
      </c>
      <c r="F5" s="18" t="n">
        <v>450145.682</v>
      </c>
      <c r="G5" s="18" t="n">
        <v>474940.426</v>
      </c>
      <c r="H5" s="18" t="n">
        <v>508798.755</v>
      </c>
      <c r="I5" s="18" t="n">
        <v>551622.004</v>
      </c>
      <c r="J5" s="18" t="n">
        <v>567636.4300000001</v>
      </c>
      <c r="K5" s="18" t="n">
        <v>609030.873</v>
      </c>
      <c r="L5" s="18" t="n">
        <v>619865.901</v>
      </c>
      <c r="M5" s="18" t="n">
        <v>681404.1679999999</v>
      </c>
      <c r="N5" s="18" t="n">
        <v>713554.849</v>
      </c>
      <c r="O5" s="18" t="n">
        <v>811930.923</v>
      </c>
      <c r="P5" s="18" t="n">
        <v>879072.205</v>
      </c>
      <c r="Q5" s="18" t="n">
        <v>926472.659</v>
      </c>
      <c r="R5" s="18" t="n">
        <v>1021232.109</v>
      </c>
      <c r="S5" s="18" t="n">
        <v>1140006.659</v>
      </c>
    </row>
    <row r="6">
      <c r="A6" s="14" t="inlineStr">
        <is>
          <t>CK đầu tư</t>
        </is>
      </c>
      <c r="B6" s="18" t="n">
        <v>92350.151</v>
      </c>
      <c r="C6" s="18" t="n">
        <v>101733.424</v>
      </c>
      <c r="D6" s="18" t="n">
        <v>87756.86199999999</v>
      </c>
      <c r="E6" s="18" t="n">
        <v>83075.897</v>
      </c>
      <c r="F6" s="18" t="n">
        <v>78811.465</v>
      </c>
      <c r="G6" s="18" t="n">
        <v>80047.557</v>
      </c>
      <c r="H6" s="18" t="n">
        <v>87404.08199999999</v>
      </c>
      <c r="I6" s="18" t="n">
        <v>94587.476</v>
      </c>
      <c r="J6" s="18" t="n">
        <v>82798.265</v>
      </c>
      <c r="K6" s="18" t="n">
        <v>59429.591</v>
      </c>
      <c r="L6" s="18" t="n">
        <v>58056.373</v>
      </c>
      <c r="M6" s="18" t="n">
        <v>52783.054</v>
      </c>
      <c r="N6" s="18" t="n">
        <v>57972.59</v>
      </c>
      <c r="O6" s="18" t="n">
        <v>73755.887</v>
      </c>
      <c r="P6" s="18" t="n">
        <v>57363.954</v>
      </c>
      <c r="Q6" s="18" t="n">
        <v>64434.066</v>
      </c>
      <c r="R6" s="18" t="n">
        <v>65833.137</v>
      </c>
      <c r="S6" s="18" t="n">
        <v>62911.491</v>
      </c>
    </row>
    <row r="7">
      <c r="A7" s="14" t="inlineStr">
        <is>
          <t>Tiền gửi khách hàng</t>
        </is>
      </c>
      <c r="B7" s="18" t="n">
        <v>274148.697</v>
      </c>
      <c r="C7" s="18" t="n">
        <v>295419.571</v>
      </c>
      <c r="D7" s="18" t="n">
        <v>277422.332</v>
      </c>
      <c r="E7" s="18" t="n">
        <v>303151.417</v>
      </c>
      <c r="F7" s="18" t="n">
        <v>331184.428</v>
      </c>
      <c r="G7" s="18" t="n">
        <v>387611.144</v>
      </c>
      <c r="H7" s="18" t="n">
        <v>421471.748</v>
      </c>
      <c r="I7" s="18" t="n">
        <v>442368.381</v>
      </c>
      <c r="J7" s="18" t="n">
        <v>455817.478</v>
      </c>
      <c r="K7" s="18" t="n">
        <v>471348.616</v>
      </c>
      <c r="L7" s="18" t="n">
        <v>475782.339</v>
      </c>
      <c r="M7" s="18" t="n">
        <v>485666.548</v>
      </c>
      <c r="N7" s="18" t="n">
        <v>552373.981</v>
      </c>
      <c r="O7" s="18" t="n">
        <v>600774.1629999999</v>
      </c>
      <c r="P7" s="18" t="n">
        <v>585833.049</v>
      </c>
      <c r="Q7" s="18" t="n">
        <v>628044.616</v>
      </c>
      <c r="R7" s="18" t="n">
        <v>682719.373</v>
      </c>
      <c r="S7" s="18" t="n">
        <v>732887.4399999999</v>
      </c>
    </row>
    <row r="8">
      <c r="A8" s="14" t="inlineStr">
        <is>
          <t>Vốn chủ sở hữu</t>
        </is>
      </c>
      <c r="B8" s="18" t="n">
        <v>95202.019</v>
      </c>
      <c r="C8" s="18" t="n">
        <v>98523.82399999999</v>
      </c>
      <c r="D8" s="18" t="n">
        <v>102366.254</v>
      </c>
      <c r="E8" s="18" t="n">
        <v>103516.889</v>
      </c>
      <c r="F8" s="18" t="n">
        <v>105097.639</v>
      </c>
      <c r="G8" s="18" t="n">
        <v>107563.87</v>
      </c>
      <c r="H8" s="18" t="n">
        <v>109991.548</v>
      </c>
      <c r="I8" s="18" t="n">
        <v>139946.573</v>
      </c>
      <c r="J8" s="18" t="n">
        <v>142937.41</v>
      </c>
      <c r="K8" s="18" t="n">
        <v>138075.614</v>
      </c>
      <c r="L8" s="18" t="n">
        <v>142239.874</v>
      </c>
      <c r="M8" s="18" t="n">
        <v>147275.262</v>
      </c>
      <c r="N8" s="18" t="n">
        <v>151213.362</v>
      </c>
      <c r="O8" s="18" t="n">
        <v>152182.685</v>
      </c>
      <c r="P8" s="18" t="n">
        <v>159545.287</v>
      </c>
      <c r="Q8" s="18" t="n">
        <v>180275.629</v>
      </c>
      <c r="R8" s="18" t="n">
        <v>186604.801</v>
      </c>
      <c r="S8" s="18" t="n">
        <v>191215.344</v>
      </c>
    </row>
    <row r="9">
      <c r="A9" s="14" t="inlineStr">
        <is>
          <t>TPDN (trái phiếu TCKT)</t>
        </is>
      </c>
      <c r="B9" s="18" t="n">
        <v>41593.119</v>
      </c>
      <c r="C9" s="18" t="n">
        <v>37190.838</v>
      </c>
      <c r="D9" s="18" t="n">
        <v>33013.8</v>
      </c>
      <c r="E9" s="18" t="n">
        <v>32891.899</v>
      </c>
      <c r="F9" s="18" t="n">
        <v>28197.933</v>
      </c>
      <c r="G9" s="18" t="n">
        <v>28331.744</v>
      </c>
      <c r="H9" s="18" t="n">
        <v>28167.762</v>
      </c>
      <c r="I9" s="18" t="n">
        <v>23605.716</v>
      </c>
      <c r="J9" s="18" t="n">
        <v>21286.878</v>
      </c>
      <c r="K9" s="18" t="n">
        <v>12547.387</v>
      </c>
      <c r="L9" s="18" t="n">
        <v>10569.188</v>
      </c>
      <c r="M9" s="18" t="n">
        <v>7966.743</v>
      </c>
      <c r="N9" s="18" t="n">
        <v>7247.394</v>
      </c>
      <c r="O9" s="18" t="n">
        <v>4446.615</v>
      </c>
      <c r="P9" s="18" t="n">
        <v>4087.215</v>
      </c>
      <c r="Q9" s="18" t="n">
        <v>2804.914</v>
      </c>
      <c r="R9" s="18" t="n">
        <v>2564.724</v>
      </c>
      <c r="S9" s="18" t="n">
        <v>2627.237</v>
      </c>
    </row>
    <row r="10">
      <c r="A10" s="14" t="inlineStr">
        <is>
          <t>Giấy tờ có giá (Bonds)</t>
        </is>
      </c>
      <c r="B10" s="18" t="n">
        <v>76781.59699999999</v>
      </c>
      <c r="C10" s="18" t="n">
        <v>76025.39200000001</v>
      </c>
      <c r="D10" s="18" t="n">
        <v>72872.56200000001</v>
      </c>
      <c r="E10" s="18" t="n">
        <v>63699.974</v>
      </c>
      <c r="F10" s="18" t="n">
        <v>82485.019</v>
      </c>
      <c r="G10" s="18" t="n">
        <v>73281.087</v>
      </c>
      <c r="H10" s="18" t="n">
        <v>64999.327</v>
      </c>
      <c r="I10" s="18" t="n">
        <v>47787.312</v>
      </c>
      <c r="J10" s="18" t="n">
        <v>46344.356</v>
      </c>
      <c r="K10" s="18" t="n">
        <v>54199.709</v>
      </c>
      <c r="L10" s="18" t="n">
        <v>50941.501</v>
      </c>
      <c r="M10" s="18" t="n">
        <v>66975.704</v>
      </c>
      <c r="N10" s="18" t="n">
        <v>78788.99000000001</v>
      </c>
      <c r="O10" s="18" t="n">
        <v>83140.558</v>
      </c>
      <c r="P10" s="18" t="n">
        <v>106091.086</v>
      </c>
      <c r="Q10" s="18" t="n">
        <v>107120.653</v>
      </c>
      <c r="R10" s="18" t="n">
        <v>138840.016</v>
      </c>
      <c r="S10" s="18" t="n">
        <v>168943.535</v>
      </c>
    </row>
    <row r="11">
      <c r="A11" s="14" t="inlineStr">
        <is>
          <t>Tiền gửi Kho bạc NN</t>
        </is>
      </c>
      <c r="B11" s="18" t="n">
        <v>44268.757</v>
      </c>
      <c r="C11" s="18" t="n">
        <v>48463.587</v>
      </c>
      <c r="D11" s="18" t="n">
        <v>53781.235</v>
      </c>
      <c r="E11" s="18" t="n">
        <v>53971.282</v>
      </c>
      <c r="F11" s="18" t="n">
        <v>54192.123</v>
      </c>
      <c r="G11" s="18" t="n">
        <v>51897.373</v>
      </c>
      <c r="H11" s="18" t="n">
        <v>57191.12</v>
      </c>
      <c r="I11" s="18" t="n">
        <v>55546.509</v>
      </c>
      <c r="J11" s="18" t="n">
        <v>48493.251</v>
      </c>
      <c r="K11" s="18" t="n">
        <v>48450.43</v>
      </c>
      <c r="L11" s="18" t="n">
        <v>32087.374</v>
      </c>
      <c r="M11" s="18" t="n">
        <v>22423.057</v>
      </c>
      <c r="N11" s="18" t="n">
        <v>51273.416</v>
      </c>
      <c r="O11" s="18" t="n">
        <v>31960.914</v>
      </c>
      <c r="P11" s="18" t="n">
        <v>35871.116</v>
      </c>
      <c r="Q11" s="18" t="n">
        <v>39152.252</v>
      </c>
      <c r="R11" s="18" t="n">
        <v>44144.605</v>
      </c>
      <c r="S11" s="18" t="n">
        <v>53234.839</v>
      </c>
    </row>
    <row r="12">
      <c r="A12" s="14" t="inlineStr">
        <is>
          <t>Tiền gửi ký quỹ (trừ đi)</t>
        </is>
      </c>
      <c r="B12" s="18" t="n">
        <v>3784.293</v>
      </c>
      <c r="C12" s="18" t="n">
        <v>4360.848</v>
      </c>
      <c r="D12" s="18" t="n">
        <v>3853.934</v>
      </c>
      <c r="E12" s="18" t="n">
        <v>6028.739</v>
      </c>
      <c r="F12" s="18" t="n">
        <v>4709.645</v>
      </c>
      <c r="G12" s="18" t="n">
        <v>3088.177</v>
      </c>
      <c r="H12" s="18" t="n">
        <v>3660.48</v>
      </c>
      <c r="I12" s="18" t="n">
        <v>3219.23</v>
      </c>
      <c r="J12" s="18" t="n">
        <v>2650.132</v>
      </c>
      <c r="K12" s="18" t="n">
        <v>3936.333</v>
      </c>
      <c r="L12" s="18" t="n">
        <v>3879.633</v>
      </c>
      <c r="M12" s="18" t="n">
        <v>3626.525</v>
      </c>
      <c r="N12" s="18" t="n">
        <v>3768.819</v>
      </c>
      <c r="O12" s="18" t="n">
        <v>4392.017</v>
      </c>
      <c r="P12" s="18" t="n">
        <v>5031.665</v>
      </c>
      <c r="Q12" s="18" t="n">
        <v>6012.259</v>
      </c>
      <c r="R12" s="18" t="n">
        <v>9089.925999999999</v>
      </c>
      <c r="S12" s="18" t="n">
        <v>13913.52</v>
      </c>
    </row>
    <row r="13">
      <c r="A13" s="14" t="inlineStr">
        <is>
          <t>Vốn chuyên dùng (trừ đi)</t>
        </is>
      </c>
      <c r="B13" s="18" t="n">
        <v>86.864</v>
      </c>
      <c r="C13" s="18" t="n">
        <v>71.739</v>
      </c>
      <c r="D13" s="18" t="n">
        <v>57.983</v>
      </c>
      <c r="E13" s="18" t="n">
        <v>47.05</v>
      </c>
      <c r="F13" s="18" t="n">
        <v>39</v>
      </c>
      <c r="G13" s="18" t="n">
        <v>32.433</v>
      </c>
      <c r="H13" s="18" t="n">
        <v>26.538</v>
      </c>
      <c r="I13" s="18" t="n">
        <v>22.045</v>
      </c>
      <c r="J13" s="18" t="n">
        <v>18.39</v>
      </c>
      <c r="K13" s="18" t="n">
        <v>15.529</v>
      </c>
      <c r="L13" s="18" t="n">
        <v>13.025</v>
      </c>
      <c r="M13" s="18" t="n">
        <v>10.894</v>
      </c>
      <c r="N13" s="18" t="n">
        <v>9.192</v>
      </c>
      <c r="O13" s="18" t="n">
        <v>7.497</v>
      </c>
      <c r="P13" s="18" t="n">
        <v>10.814</v>
      </c>
      <c r="Q13" s="18" t="n">
        <v>16.394</v>
      </c>
      <c r="R13" s="18" t="n">
        <v>38.296</v>
      </c>
      <c r="S13" s="18" t="n">
        <v>69.858</v>
      </c>
    </row>
    <row r="14">
      <c r="A14" s="14" t="inlineStr">
        <is>
          <t>Tài sản sinh lãi (IEA)</t>
        </is>
      </c>
      <c r="B14" s="18" t="n">
        <v>514081.796</v>
      </c>
      <c r="C14" s="18" t="n">
        <v>550762.534</v>
      </c>
      <c r="D14" s="18" t="n">
        <v>532495.8219999999</v>
      </c>
      <c r="E14" s="18" t="n">
        <v>568297.644</v>
      </c>
      <c r="F14" s="18" t="n">
        <v>610705.1139999999</v>
      </c>
      <c r="G14" s="18" t="n">
        <v>672402.08</v>
      </c>
      <c r="H14" s="18" t="n">
        <v>706938.4580000001</v>
      </c>
      <c r="I14" s="18" t="n">
        <v>751010.759</v>
      </c>
      <c r="J14" s="18" t="n">
        <v>759172.2320000001</v>
      </c>
      <c r="K14" s="18" t="n">
        <v>801891.9</v>
      </c>
      <c r="L14" s="18" t="n">
        <v>813381.728</v>
      </c>
      <c r="M14" s="18" t="n">
        <v>885306.388</v>
      </c>
      <c r="N14" s="18" t="n">
        <v>924141.667</v>
      </c>
      <c r="O14" s="18" t="n">
        <v>1059753.529</v>
      </c>
      <c r="P14" s="18" t="n">
        <v>1120305.249</v>
      </c>
      <c r="Q14" s="18" t="n">
        <v>1193480.321</v>
      </c>
      <c r="R14" s="18" t="n">
        <v>1300964.305</v>
      </c>
      <c r="S14" s="18" t="n">
        <v>1418092.658</v>
      </c>
    </row>
    <row r="15">
      <c r="A15" s="14" t="inlineStr">
        <is>
          <t>Tổng tín dụng (tỷ)</t>
        </is>
      </c>
      <c r="B15" s="18">
        <f>B5+B9</f>
        <v/>
      </c>
      <c r="C15" s="18">
        <f>C5+C9</f>
        <v/>
      </c>
      <c r="D15" s="18">
        <f>D5+D9</f>
        <v/>
      </c>
      <c r="E15" s="18">
        <f>E5+E9</f>
        <v/>
      </c>
      <c r="F15" s="18">
        <f>F5+F9</f>
        <v/>
      </c>
      <c r="G15" s="18">
        <f>G5+G9</f>
        <v/>
      </c>
      <c r="H15" s="18">
        <f>H5+H9</f>
        <v/>
      </c>
      <c r="I15" s="18">
        <f>I5+I9</f>
        <v/>
      </c>
      <c r="J15" s="18">
        <f>J5+J9</f>
        <v/>
      </c>
      <c r="K15" s="18">
        <f>K5+K9</f>
        <v/>
      </c>
      <c r="L15" s="18">
        <f>L5+L9</f>
        <v/>
      </c>
      <c r="M15" s="18">
        <f>M5+M9</f>
        <v/>
      </c>
      <c r="N15" s="18">
        <f>N5+N9</f>
        <v/>
      </c>
      <c r="O15" s="18">
        <f>O5+O9</f>
        <v/>
      </c>
      <c r="P15" s="18">
        <f>P5+P9</f>
        <v/>
      </c>
      <c r="Q15" s="18">
        <f>Q5+Q9</f>
        <v/>
      </c>
      <c r="R15" s="18">
        <f>R5+R9</f>
        <v/>
      </c>
      <c r="S15" s="18">
        <f>S5+S9</f>
        <v/>
      </c>
    </row>
    <row r="16">
      <c r="A16" s="14" t="inlineStr">
        <is>
          <t>Tổng huy động (tỷ)</t>
        </is>
      </c>
      <c r="B16" s="18">
        <f>B7+B10+B17+B11*0.0-B12-B13</f>
        <v/>
      </c>
      <c r="C16" s="18">
        <f>C7+C10+C17+C11*0.0-C12-C13</f>
        <v/>
      </c>
      <c r="D16" s="18">
        <f>D7+D10+D17+D11*0.0-D12-D13</f>
        <v/>
      </c>
      <c r="E16" s="18">
        <f>E7+E10+E17+E11*0.0-E12-E13</f>
        <v/>
      </c>
      <c r="F16" s="18">
        <f>F7+F10+F17+F11*0.5-F12-F13</f>
        <v/>
      </c>
      <c r="G16" s="18">
        <f>G7+G10+G17+G11*0.5-G12-G13</f>
        <v/>
      </c>
      <c r="H16" s="18">
        <f>H7+H10+H17+H11*0.5-H12-H13</f>
        <v/>
      </c>
      <c r="I16" s="18">
        <f>I7+I10+I17+I11*0.5-I12-I13</f>
        <v/>
      </c>
      <c r="J16" s="18">
        <f>J7+J10+J17+J11*0.4-J12-J13</f>
        <v/>
      </c>
      <c r="K16" s="18">
        <f>K7+K10+K17+K11*0.4-K12-K13</f>
        <v/>
      </c>
      <c r="L16" s="18">
        <f>L7+L10+L17+L11*0.4-L12-L13</f>
        <v/>
      </c>
      <c r="M16" s="18">
        <f>M7+M10+M17+M11*0.4-M12-M13</f>
        <v/>
      </c>
      <c r="N16" s="18">
        <f>N7+N10+N17+N11*0.2-N12-N13</f>
        <v/>
      </c>
      <c r="O16" s="18">
        <f>O7+O10+O17+O11*0.2-O12-O13</f>
        <v/>
      </c>
      <c r="P16" s="18">
        <f>P7+P10+P17+P11*0.2-P12-P13</f>
        <v/>
      </c>
      <c r="Q16" s="18">
        <f>Q7+Q10+Q17+Q11*0.2-Q12-Q13</f>
        <v/>
      </c>
      <c r="R16" s="18">
        <f>R7+R10+R17+R11*0.2-R12-R13</f>
        <v/>
      </c>
      <c r="S16" s="18">
        <f>S7+S10+S17+S11*0.2-S12-S13</f>
        <v/>
      </c>
    </row>
    <row r="17">
      <c r="A17" s="14" t="inlineStr">
        <is>
          <t>Tiền gửi của TCTD khác</t>
        </is>
      </c>
      <c r="B17" s="18" t="n">
        <v>38726.286</v>
      </c>
      <c r="C17" s="18" t="n">
        <v>43005.291</v>
      </c>
      <c r="D17" s="18" t="n">
        <v>46545.936</v>
      </c>
      <c r="E17" s="18" t="n">
        <v>51325.927</v>
      </c>
      <c r="F17" s="18" t="n">
        <v>60937.487</v>
      </c>
      <c r="G17" s="18" t="n">
        <v>79426.408</v>
      </c>
      <c r="H17" s="18" t="n">
        <v>80100.321</v>
      </c>
      <c r="I17" s="18" t="n">
        <v>83234.75599999999</v>
      </c>
      <c r="J17" s="18" t="n">
        <v>77529.895</v>
      </c>
      <c r="K17" s="18" t="n">
        <v>81845.87</v>
      </c>
      <c r="L17" s="18" t="n">
        <v>80189.046</v>
      </c>
      <c r="M17" s="18" t="n">
        <v>111863.209</v>
      </c>
      <c r="N17" s="18" t="n">
        <v>89678.391</v>
      </c>
      <c r="O17" s="18" t="n">
        <v>118204.794</v>
      </c>
      <c r="P17" s="18" t="n">
        <v>134763.005</v>
      </c>
      <c r="Q17" s="18" t="n">
        <v>140778.777</v>
      </c>
      <c r="R17" s="18" t="n">
        <v>149661.013</v>
      </c>
      <c r="S17" s="18" t="n">
        <v>149580.462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8" t="n">
        <v>547409.439</v>
      </c>
      <c r="C2" s="18" t="n">
        <v>631012.8860000001</v>
      </c>
      <c r="D2" s="18" t="n">
        <v>817566.922</v>
      </c>
      <c r="E2" s="18" t="n">
        <v>923847.637</v>
      </c>
      <c r="F2" s="18" t="n">
        <v>1260149.596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8" t="n">
        <v>345390.282</v>
      </c>
      <c r="C3" s="18" t="n">
        <v>424662.382</v>
      </c>
      <c r="D3" s="18" t="n">
        <v>551472.066</v>
      </c>
      <c r="E3" s="18" t="n">
        <v>681404.1679999999</v>
      </c>
      <c r="F3" s="18" t="n">
        <v>926472.659</v>
      </c>
      <c r="G3" s="18">
        <f>F3*(1+'02_Assumptions'!G4)</f>
        <v/>
      </c>
      <c r="H3" s="18">
        <f>G3*(1+'02_Assumptions'!H4)</f>
        <v/>
      </c>
      <c r="I3" s="18">
        <f>H3*(1+'02_Assumptions'!I4)</f>
        <v/>
      </c>
    </row>
    <row r="4">
      <c r="A4" s="14" t="inlineStr">
        <is>
          <t>Trái phiếu doanh nghiệp</t>
        </is>
      </c>
      <c r="B4" s="18" t="n">
        <v>27782.414</v>
      </c>
      <c r="C4" s="18" t="n">
        <v>32891.899</v>
      </c>
      <c r="D4" s="18" t="n">
        <v>23605.716</v>
      </c>
      <c r="E4" s="18" t="n">
        <v>7966.743</v>
      </c>
      <c r="F4" s="18" t="n">
        <v>2804.914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8" t="n">
        <v>241837.028</v>
      </c>
      <c r="C5" s="18" t="n">
        <v>303151.417</v>
      </c>
      <c r="D5" s="18" t="n">
        <v>442368.381</v>
      </c>
      <c r="E5" s="18" t="n">
        <v>485666.548</v>
      </c>
      <c r="F5" s="18" t="n">
        <v>628044.616</v>
      </c>
      <c r="G5" s="18">
        <f>F5*(1+'02_Assumptions'!G5)</f>
        <v/>
      </c>
      <c r="H5" s="18">
        <f>G5*(1+'02_Assumptions'!H5)</f>
        <v/>
      </c>
      <c r="I5" s="18">
        <f>H5*(1+'02_Assumptions'!I5)</f>
        <v/>
      </c>
    </row>
    <row r="6">
      <c r="A6" s="14" t="inlineStr">
        <is>
          <t>Giấy tờ có giá phát hành (Bonds)</t>
        </is>
      </c>
      <c r="B6" s="18" t="n">
        <v>81295.633</v>
      </c>
      <c r="C6" s="18" t="n">
        <v>63699.974</v>
      </c>
      <c r="D6" s="18" t="n">
        <v>47787.312</v>
      </c>
      <c r="E6" s="18" t="n">
        <v>66975.704</v>
      </c>
      <c r="F6" s="18" t="n">
        <v>107120.653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8" t="n">
        <v>54208.397</v>
      </c>
      <c r="C7" s="18" t="n">
        <v>53910.506</v>
      </c>
      <c r="D7" s="18" t="n">
        <v>55563.831</v>
      </c>
      <c r="E7" s="18" t="n">
        <v>22423.057</v>
      </c>
      <c r="F7" s="18" t="n">
        <v>39152.252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8" t="n">
        <v>3530.268</v>
      </c>
      <c r="C8" s="18" t="n">
        <v>6028.739</v>
      </c>
      <c r="D8" s="18" t="n">
        <v>3219.23</v>
      </c>
      <c r="E8" s="18" t="n">
        <v>3626.525</v>
      </c>
      <c r="F8" s="18" t="n">
        <v>6012.259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8" t="n">
        <v>103.93</v>
      </c>
      <c r="C9" s="18" t="n">
        <v>47.05</v>
      </c>
      <c r="D9" s="18" t="n">
        <v>22.045</v>
      </c>
      <c r="E9" s="18" t="n">
        <v>10.894</v>
      </c>
      <c r="F9" s="18" t="n">
        <v>16.394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8" t="n">
        <v>86278.147</v>
      </c>
      <c r="C10" s="18" t="n">
        <v>103501.92</v>
      </c>
      <c r="D10" s="18" t="n">
        <v>139795.527</v>
      </c>
      <c r="E10" s="18" t="n">
        <v>147275.262</v>
      </c>
      <c r="F10" s="18" t="n">
        <v>180275.629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8">
        <f>B3+B4</f>
        <v/>
      </c>
      <c r="C11" s="18">
        <f>C3+C4</f>
        <v/>
      </c>
      <c r="D11" s="18">
        <f>D3+D4</f>
        <v/>
      </c>
      <c r="E11" s="18">
        <f>E3+E4</f>
        <v/>
      </c>
      <c r="F11" s="18">
        <f>F3+F4</f>
        <v/>
      </c>
      <c r="G11" s="18">
        <f>G3+G4</f>
        <v/>
      </c>
      <c r="H11" s="18">
        <f>H3+H4</f>
        <v/>
      </c>
      <c r="I11" s="18">
        <f>I3+I4</f>
        <v/>
      </c>
    </row>
    <row r="12">
      <c r="A12" s="14" t="inlineStr">
        <is>
          <t>Tổng huy động (tỷ)</t>
        </is>
      </c>
      <c r="B12" s="18">
        <f>B5+B6+B13+B7*0.0-B8-B9</f>
        <v/>
      </c>
      <c r="C12" s="18">
        <f>C5+C6+C13+C7*0.0-C8-C9</f>
        <v/>
      </c>
      <c r="D12" s="18">
        <f>D5+D6+D13+D7*0.5-D8-D9</f>
        <v/>
      </c>
      <c r="E12" s="18">
        <f>E5+E6+E13+E7*0.4-E8-E9</f>
        <v/>
      </c>
      <c r="F12" s="18">
        <f>F5+F6+F13+F7*0.2-F8-F9</f>
        <v/>
      </c>
      <c r="G12" s="18">
        <f>G5+G6+G13+G7*0.2-G8-G9</f>
        <v/>
      </c>
      <c r="H12" s="18">
        <f>H5+H6+H13+H7*0.2-H8-H9</f>
        <v/>
      </c>
      <c r="I12" s="18">
        <f>I5+I6+I13+I7*0.2-I8-I9</f>
        <v/>
      </c>
    </row>
    <row r="13">
      <c r="A13" s="14" t="inlineStr">
        <is>
          <t>Tiền gửi của TCTD khác</t>
        </is>
      </c>
      <c r="B13" s="18" t="n">
        <v>47106.801</v>
      </c>
      <c r="C13" s="18" t="n">
        <v>51325.927</v>
      </c>
      <c r="D13" s="18" t="n">
        <v>83234.75599999999</v>
      </c>
      <c r="E13" s="18" t="n">
        <v>111863.209</v>
      </c>
      <c r="F13" s="18" t="n">
        <v>140778.777</v>
      </c>
      <c r="G13" s="18">
        <f>F13*(1+'02_Assumptions'!G5)</f>
        <v/>
      </c>
      <c r="H13" s="18">
        <f>G13*(1+'02_Assumptions'!H5)</f>
        <v/>
      </c>
      <c r="I13" s="18">
        <f>H13*(1+'02_Assumptions'!I5)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7" t="n">
        <v>0.0699</v>
      </c>
      <c r="C2" s="17" t="n">
        <v>0.0774</v>
      </c>
      <c r="D2" s="17" t="n">
        <v>0.0579</v>
      </c>
      <c r="E2" s="17" t="n">
        <v>0.0611</v>
      </c>
      <c r="F2" s="17" t="n">
        <v>0.0564</v>
      </c>
      <c r="G2" s="17">
        <f>'02_Assumptions'!G6</f>
        <v/>
      </c>
      <c r="H2" s="17">
        <f>'02_Assumptions'!H6</f>
        <v/>
      </c>
      <c r="I2" s="17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7" t="n">
        <v>0.133</v>
      </c>
      <c r="C4" s="17" t="n">
        <v>0.1782</v>
      </c>
      <c r="D4" s="17" t="n">
        <v>0.0698</v>
      </c>
      <c r="E4" s="17" t="n">
        <v>0.1114</v>
      </c>
      <c r="F4" s="17" t="n">
        <v>0.1487</v>
      </c>
      <c r="G4" s="17">
        <f>'04_PnL'!G5/AVERAGE('05_Balance_Sheet'!F10,'05_Balance_Sheet'!G10)</f>
        <v/>
      </c>
      <c r="H4" s="17">
        <f>'04_PnL'!H5/AVERAGE('05_Balance_Sheet'!G10,'05_Balance_Sheet'!H10)</f>
        <v/>
      </c>
      <c r="I4" s="17">
        <f>'04_PnL'!I5/AVERAGE('05_Balance_Sheet'!H10,'05_Balance_Sheet'!I10)</f>
        <v/>
      </c>
    </row>
    <row r="5">
      <c r="A5" s="14" t="inlineStr">
        <is>
          <t>ROA (%)</t>
        </is>
      </c>
      <c r="B5" s="17" t="n">
        <v>0.021</v>
      </c>
      <c r="C5" s="17" t="n">
        <v>0.0268</v>
      </c>
      <c r="D5" s="17" t="n">
        <v>0.0104</v>
      </c>
      <c r="E5" s="17" t="n">
        <v>0.0173</v>
      </c>
      <c r="F5" s="17" t="n">
        <v>0.0193</v>
      </c>
      <c r="G5" s="17">
        <f>'04_PnL'!G5/AVERAGE('05_Balance_Sheet'!F2,'05_Balance_Sheet'!G2)</f>
        <v/>
      </c>
      <c r="H5" s="17">
        <f>'04_PnL'!H5/AVERAGE('05_Balance_Sheet'!G2,'05_Balance_Sheet'!H2)</f>
        <v/>
      </c>
      <c r="I5" s="17">
        <f>'04_PnL'!I5/AVERAGE('05_Balance_Sheet'!H2,'05_Balance_Sheet'!I2)</f>
        <v/>
      </c>
    </row>
    <row r="6">
      <c r="A6" s="14" t="inlineStr">
        <is>
          <t>LDR — điều chỉnh (%)</t>
        </is>
      </c>
      <c r="B6" s="14">
        <f>'05_Balance_Sheet'!B11/'05_Balance_Sheet'!B12</f>
        <v/>
      </c>
      <c r="C6" s="14">
        <f>'05_Balance_Sheet'!C11/'05_Balance_Sheet'!C12</f>
        <v/>
      </c>
      <c r="D6" s="14">
        <f>'05_Balance_Sheet'!D11/'05_Balance_Sheet'!D12</f>
        <v/>
      </c>
      <c r="E6" s="14">
        <f>'05_Balance_Sheet'!E11/'05_Balance_Sheet'!E12</f>
        <v/>
      </c>
      <c r="F6" s="14">
        <f>'05_Balance_Sheet'!F11/'05_Balance_Sheet'!F12</f>
        <v/>
      </c>
      <c r="G6" s="14">
        <f>'05_Balance_Sheet'!G11/'05_Balance_Sheet'!G12</f>
        <v/>
      </c>
      <c r="H6" s="14">
        <f>'05_Balance_Sheet'!H11/'05_Balance_Sheet'!H12</f>
        <v/>
      </c>
      <c r="I6" s="17">
        <f>'05_Balance_Sheet'!I11/'05_Balance_Sheet'!I12</f>
        <v/>
      </c>
    </row>
    <row r="7">
      <c r="A7" t="inlineStr">
        <is>
          <t>NPL (%)</t>
        </is>
      </c>
      <c r="B7" s="4" t="n">
        <v>0.047</v>
      </c>
      <c r="C7" s="4" t="n">
        <v>0.0592</v>
      </c>
      <c r="D7" s="4" t="n">
        <v>0.0515</v>
      </c>
      <c r="E7" s="4" t="n">
        <v>0.0427</v>
      </c>
      <c r="F7" s="4" t="n">
        <v>0.034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0.0556</v>
      </c>
      <c r="C8" s="4" t="n">
        <v>0.0583</v>
      </c>
      <c r="D8" s="4" t="n">
        <v>0.0512</v>
      </c>
      <c r="E8" s="4" t="n">
        <v>0.0453</v>
      </c>
      <c r="F8" s="4" t="n">
        <v>0.0316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0.2192</v>
      </c>
      <c r="C9" s="4" t="n">
        <v>0.1654</v>
      </c>
      <c r="D9" s="4" t="n">
        <v>0.1703</v>
      </c>
      <c r="E9" s="4" t="n">
        <v>0.1371</v>
      </c>
      <c r="F9" s="4" t="n">
        <v>0.1365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7" t="n">
        <v>0.1034</v>
      </c>
      <c r="C10" s="17" t="n">
        <v>0.1174</v>
      </c>
      <c r="D10" s="17" t="n">
        <v>0.1161</v>
      </c>
      <c r="E10" s="17" t="n">
        <v>0.09909999999999999</v>
      </c>
      <c r="F10" s="17" t="n">
        <v>0.0974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7" t="n">
        <v>0.051</v>
      </c>
      <c r="C11" s="17" t="n">
        <v>0.0614</v>
      </c>
      <c r="D11" s="17" t="n">
        <v>0.0896</v>
      </c>
      <c r="E11" s="17" t="n">
        <v>0.0595</v>
      </c>
      <c r="F11" s="17" t="n">
        <v>0.06619999999999999</v>
      </c>
      <c r="G11" s="14" t="n"/>
      <c r="H11" s="14" t="n"/>
      <c r="I11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20">
        <f>'05_Balance_Sheet'!F10*1000000000/'02_Assumptions'!$F$3</f>
        <v/>
      </c>
    </row>
    <row r="7">
      <c r="A7" t="inlineStr">
        <is>
          <t>PV của RI 3 năm (VND)</t>
        </is>
      </c>
      <c r="B7" s="20">
        <f>SUM(B31:D31)</f>
        <v/>
      </c>
    </row>
    <row r="8">
      <c r="A8" t="inlineStr">
        <is>
          <t>PV của Continuing Value (VND)</t>
        </is>
      </c>
      <c r="B8" s="20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1">
        <f>'02_Assumptions'!B2/B6</f>
        <v/>
      </c>
    </row>
    <row r="13">
      <c r="A13" t="inlineStr">
        <is>
          <t>P/B hấp dẫn (x) — MUA</t>
        </is>
      </c>
      <c r="B13" s="22">
        <f t="array" ref="B13">MEDIAN(SMALL('13_PE_PB_History'!C2:C33, ROW(INDIRECT("1:"&amp;CEILING(COUNT('13_PE_PB_History'!C2:C33)/2,1)))))</f>
        <v/>
      </c>
      <c r="C13" s="23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1">
        <f>MEDIAN('13_PE_PB_History'!C2:C33)</f>
        <v/>
      </c>
      <c r="C14" s="24" t="inlineStr">
        <is>
          <t>Median PB toàn bộ lịch sử</t>
        </is>
      </c>
    </row>
    <row r="15">
      <c r="A15" t="inlineStr">
        <is>
          <t>P/B Over (x) — BÁN / CHỐT LỜI</t>
        </is>
      </c>
      <c r="B15" s="25">
        <f t="array" ref="B15">MEDIAN(LARGE('13_PE_PB_History'!C2:C33, ROW(INDIRECT("1:"&amp;CEILING(COUNT('13_PE_PB_History'!C2:C33)/2,1)))))</f>
        <v/>
      </c>
      <c r="C15" s="26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20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20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20">
        <f>'04_PnL'!G6</f>
        <v/>
      </c>
      <c r="C26" s="20">
        <f>'04_PnL'!H6</f>
        <v/>
      </c>
      <c r="D26" s="20">
        <f>'04_PnL'!I6</f>
        <v/>
      </c>
    </row>
    <row r="27">
      <c r="A27" t="inlineStr">
        <is>
          <t>BVPS đầu kỳ (VND)</t>
        </is>
      </c>
      <c r="B27" s="20">
        <f>B6</f>
        <v/>
      </c>
      <c r="C27" s="20">
        <f>B27+B26</f>
        <v/>
      </c>
      <c r="D27" s="20">
        <f>C27+C26</f>
        <v/>
      </c>
    </row>
    <row r="28">
      <c r="A28" t="inlineStr">
        <is>
          <t>Capital Charge (VND)</t>
        </is>
      </c>
      <c r="B28" s="20">
        <f>B27*'07_Valuation'!$B$2</f>
        <v/>
      </c>
      <c r="C28" s="20">
        <f>C27*'07_Valuation'!$B$2</f>
        <v/>
      </c>
      <c r="D28" s="20">
        <f>D27*'07_Valuation'!$B$2</f>
        <v/>
      </c>
    </row>
    <row r="29">
      <c r="A29" t="inlineStr">
        <is>
          <t>Residual Income (VND)</t>
        </is>
      </c>
      <c r="B29" s="20">
        <f>B26-B28</f>
        <v/>
      </c>
      <c r="C29" s="20">
        <f>C26-C28</f>
        <v/>
      </c>
      <c r="D29" s="20">
        <f>D26-D28</f>
        <v/>
      </c>
    </row>
    <row r="30">
      <c r="A30" t="inlineStr">
        <is>
          <t>Discount Factor</t>
        </is>
      </c>
      <c r="B30" s="27">
        <f>1/(1+'07_Valuation'!$B$2)^1</f>
        <v/>
      </c>
      <c r="C30" s="27">
        <f>1/(1+'07_Valuation'!$B$2)^2</f>
        <v/>
      </c>
      <c r="D30" s="27">
        <f>1/(1+'07_Valuation'!$B$2)^3</f>
        <v/>
      </c>
    </row>
    <row r="31">
      <c r="A31" t="inlineStr">
        <is>
          <t>PV of RI</t>
        </is>
      </c>
      <c r="B31" s="20">
        <f>B29*B30</f>
        <v/>
      </c>
      <c r="C31" s="20">
        <f>C29*C30</f>
        <v/>
      </c>
      <c r="D31" s="20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8" t="n">
        <v>0.01</v>
      </c>
      <c r="C2" s="28" t="n">
        <v>0.02</v>
      </c>
      <c r="D2" s="28" t="n">
        <v>0.03</v>
      </c>
      <c r="E2" s="28" t="n">
        <v>0.04</v>
      </c>
      <c r="F2" s="28" t="n">
        <v>0.05</v>
      </c>
    </row>
    <row r="3">
      <c r="A3" s="29" t="n">
        <v>0.08</v>
      </c>
      <c r="B3" s="20" t="n">
        <v>31228.8677808642</v>
      </c>
      <c r="C3" s="20" t="n">
        <v>32629.96449740069</v>
      </c>
      <c r="D3" s="20" t="n">
        <v>34591.49990055178</v>
      </c>
      <c r="E3" s="20" t="n">
        <v>37533.80300527842</v>
      </c>
      <c r="F3" s="20" t="n">
        <v>42437.64151315615</v>
      </c>
    </row>
    <row r="4">
      <c r="A4" s="29" t="n">
        <v>0.1</v>
      </c>
      <c r="B4" s="20" t="n">
        <v>29122.52195864562</v>
      </c>
      <c r="C4" s="20" t="n">
        <v>29910.37832718399</v>
      </c>
      <c r="D4" s="20" t="n">
        <v>30923.33651530476</v>
      </c>
      <c r="E4" s="20" t="n">
        <v>32273.94743279911</v>
      </c>
      <c r="F4" s="20" t="n">
        <v>34164.8027172912</v>
      </c>
    </row>
    <row r="5">
      <c r="A5" s="29" t="n">
        <v>0.12</v>
      </c>
      <c r="B5" s="20" t="n">
        <v>27791.52412930123</v>
      </c>
      <c r="C5" s="20" t="n">
        <v>28288.95895382482</v>
      </c>
      <c r="D5" s="20" t="n">
        <v>28896.93485046476</v>
      </c>
      <c r="E5" s="20" t="n">
        <v>29656.90472126469</v>
      </c>
      <c r="F5" s="20" t="n">
        <v>30634.0088408646</v>
      </c>
    </row>
    <row r="6">
      <c r="A6" s="29" t="n">
        <v>0.14</v>
      </c>
      <c r="B6" s="20" t="n">
        <v>26877.46721599286</v>
      </c>
      <c r="C6" s="30" t="n">
        <v>27216.02329452522</v>
      </c>
      <c r="D6" s="30" t="n">
        <v>27616.13502369983</v>
      </c>
      <c r="E6" s="20" t="n">
        <v>28096.26909870937</v>
      </c>
      <c r="F6" s="20" t="n">
        <v>28683.09963483213</v>
      </c>
    </row>
    <row r="7">
      <c r="A7" s="29" t="n">
        <v>0.16</v>
      </c>
      <c r="B7" s="20" t="n">
        <v>26213.13565546607</v>
      </c>
      <c r="C7" s="30" t="n">
        <v>26456.03684603803</v>
      </c>
      <c r="D7" s="30" t="n">
        <v>26736.30745054414</v>
      </c>
      <c r="E7" s="20" t="n">
        <v>27063.28982246794</v>
      </c>
      <c r="F7" s="20" t="n">
        <v>27449.72353474152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3.40%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13.65%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5.64%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9">
        <f>'04_PnL'!B2</f>
        <v/>
      </c>
      <c r="C2" s="19">
        <f>'04_PnL'!C2</f>
        <v/>
      </c>
      <c r="D2" s="19">
        <f>'04_PnL'!D2</f>
        <v/>
      </c>
      <c r="E2" s="19">
        <f>'04_PnL'!E2</f>
        <v/>
      </c>
      <c r="F2" s="19">
        <f>'04_PnL'!F2</f>
        <v/>
      </c>
      <c r="G2" s="19">
        <f>'04_PnL'!G2</f>
        <v/>
      </c>
      <c r="H2" s="19">
        <f>'04_PnL'!H2</f>
        <v/>
      </c>
      <c r="I2" s="19">
        <f>'04_PnL'!I2</f>
        <v/>
      </c>
    </row>
    <row r="3">
      <c r="A3" t="inlineStr">
        <is>
          <t>Tổng thu nhập HĐ (TOI)</t>
        </is>
      </c>
      <c r="B3" s="19">
        <f>'04_PnL'!B3</f>
        <v/>
      </c>
      <c r="C3" s="19">
        <f>'04_PnL'!C3</f>
        <v/>
      </c>
      <c r="D3" s="19">
        <f>'04_PnL'!D3</f>
        <v/>
      </c>
      <c r="E3" s="19">
        <f>'04_PnL'!E3</f>
        <v/>
      </c>
      <c r="F3" s="19">
        <f>'04_PnL'!F3</f>
        <v/>
      </c>
      <c r="G3" s="19">
        <f>'04_PnL'!G3</f>
        <v/>
      </c>
      <c r="H3" s="19">
        <f>'04_PnL'!H3</f>
        <v/>
      </c>
      <c r="I3" s="19">
        <f>'04_PnL'!I3</f>
        <v/>
      </c>
    </row>
    <row r="4">
      <c r="A4" t="inlineStr">
        <is>
          <t>LN trước dự phòng (PPOP)</t>
        </is>
      </c>
      <c r="B4" s="19">
        <f>'04_PnL'!B4</f>
        <v/>
      </c>
      <c r="C4" s="19">
        <f>'04_PnL'!C4</f>
        <v/>
      </c>
      <c r="D4" s="19">
        <f>'04_PnL'!D4</f>
        <v/>
      </c>
      <c r="E4" s="19">
        <f>'04_PnL'!E4</f>
        <v/>
      </c>
      <c r="F4" s="19">
        <f>'04_PnL'!F4</f>
        <v/>
      </c>
      <c r="G4" s="19">
        <f>'04_PnL'!G4</f>
        <v/>
      </c>
      <c r="H4" s="19">
        <f>'04_PnL'!H4</f>
        <v/>
      </c>
      <c r="I4" s="19">
        <f>'04_PnL'!I4</f>
        <v/>
      </c>
    </row>
    <row r="5">
      <c r="A5" t="inlineStr">
        <is>
          <t>LNST (NPAT)</t>
        </is>
      </c>
      <c r="B5" s="19">
        <f>'04_PnL'!B5</f>
        <v/>
      </c>
      <c r="C5" s="19">
        <f>'04_PnL'!C5</f>
        <v/>
      </c>
      <c r="D5" s="19">
        <f>'04_PnL'!D5</f>
        <v/>
      </c>
      <c r="E5" s="19">
        <f>'04_PnL'!E5</f>
        <v/>
      </c>
      <c r="F5" s="19">
        <f>'04_PnL'!F5</f>
        <v/>
      </c>
      <c r="G5" s="19">
        <f>'04_PnL'!G5</f>
        <v/>
      </c>
      <c r="H5" s="19">
        <f>'04_PnL'!H5</f>
        <v/>
      </c>
      <c r="I5" s="19">
        <f>'04_PnL'!I5</f>
        <v/>
      </c>
    </row>
    <row r="6">
      <c r="A6" t="inlineStr">
        <is>
          <t>EPS (VND)</t>
        </is>
      </c>
      <c r="B6" s="20">
        <f>'04_PnL'!B6</f>
        <v/>
      </c>
      <c r="C6" s="20">
        <f>'04_PnL'!C6</f>
        <v/>
      </c>
      <c r="D6" s="20">
        <f>'04_PnL'!D6</f>
        <v/>
      </c>
      <c r="E6" s="20">
        <f>'04_PnL'!E6</f>
        <v/>
      </c>
      <c r="F6" s="20">
        <f>'04_PnL'!F6</f>
        <v/>
      </c>
      <c r="G6" s="20">
        <f>'04_PnL'!G6</f>
        <v/>
      </c>
      <c r="H6" s="20">
        <f>'04_PnL'!H6</f>
        <v/>
      </c>
      <c r="I6" s="20">
        <f>'04_PnL'!I6</f>
        <v/>
      </c>
    </row>
    <row r="7">
      <c r="A7" t="inlineStr">
        <is>
          <t>Tổng tài sản</t>
        </is>
      </c>
      <c r="B7" s="19">
        <f>'05_Balance_Sheet'!B2</f>
        <v/>
      </c>
      <c r="C7" s="19">
        <f>'05_Balance_Sheet'!C2</f>
        <v/>
      </c>
      <c r="D7" s="19">
        <f>'05_Balance_Sheet'!D2</f>
        <v/>
      </c>
      <c r="E7" s="19">
        <f>'05_Balance_Sheet'!E2</f>
        <v/>
      </c>
      <c r="F7" s="19">
        <f>'05_Balance_Sheet'!F2</f>
        <v/>
      </c>
      <c r="G7" s="19">
        <f>'05_Balance_Sheet'!G2</f>
        <v/>
      </c>
      <c r="H7" s="19">
        <f>'05_Balance_Sheet'!H2</f>
        <v/>
      </c>
      <c r="I7" s="19">
        <f>'05_Balance_Sheet'!I2</f>
        <v/>
      </c>
    </row>
    <row r="8">
      <c r="A8" t="inlineStr">
        <is>
          <t>Cho vay khách hàng (Gross)</t>
        </is>
      </c>
      <c r="B8" s="19">
        <f>'05_Balance_Sheet'!B3</f>
        <v/>
      </c>
      <c r="C8" s="19">
        <f>'05_Balance_Sheet'!C3</f>
        <v/>
      </c>
      <c r="D8" s="19">
        <f>'05_Balance_Sheet'!D3</f>
        <v/>
      </c>
      <c r="E8" s="19">
        <f>'05_Balance_Sheet'!E3</f>
        <v/>
      </c>
      <c r="F8" s="19">
        <f>'05_Balance_Sheet'!F3</f>
        <v/>
      </c>
      <c r="G8" s="19">
        <f>'05_Balance_Sheet'!G3</f>
        <v/>
      </c>
      <c r="H8" s="19">
        <f>'05_Balance_Sheet'!H3</f>
        <v/>
      </c>
      <c r="I8" s="19">
        <f>'05_Balance_Sheet'!I3</f>
        <v/>
      </c>
    </row>
    <row r="9">
      <c r="A9" t="inlineStr">
        <is>
          <t>Trái phiếu doanh nghiệp</t>
        </is>
      </c>
      <c r="B9" s="19">
        <f>'05_Balance_Sheet'!B4</f>
        <v/>
      </c>
      <c r="C9" s="19">
        <f>'05_Balance_Sheet'!C4</f>
        <v/>
      </c>
      <c r="D9" s="19">
        <f>'05_Balance_Sheet'!D4</f>
        <v/>
      </c>
      <c r="E9" s="19">
        <f>'05_Balance_Sheet'!E4</f>
        <v/>
      </c>
      <c r="F9" s="19">
        <f>'05_Balance_Sheet'!F4</f>
        <v/>
      </c>
      <c r="G9" s="19">
        <f>'05_Balance_Sheet'!G4</f>
        <v/>
      </c>
      <c r="H9" s="19">
        <f>'05_Balance_Sheet'!H4</f>
        <v/>
      </c>
      <c r="I9" s="19">
        <f>'05_Balance_Sheet'!I4</f>
        <v/>
      </c>
    </row>
    <row r="10">
      <c r="A10" t="inlineStr">
        <is>
          <t>Tiền gửi khách hàng</t>
        </is>
      </c>
      <c r="B10" s="19">
        <f>'05_Balance_Sheet'!B5</f>
        <v/>
      </c>
      <c r="C10" s="19">
        <f>'05_Balance_Sheet'!C5</f>
        <v/>
      </c>
      <c r="D10" s="19">
        <f>'05_Balance_Sheet'!D5</f>
        <v/>
      </c>
      <c r="E10" s="19">
        <f>'05_Balance_Sheet'!E5</f>
        <v/>
      </c>
      <c r="F10" s="19">
        <f>'05_Balance_Sheet'!F5</f>
        <v/>
      </c>
      <c r="G10" s="19">
        <f>'05_Balance_Sheet'!G5</f>
        <v/>
      </c>
      <c r="H10" s="19">
        <f>'05_Balance_Sheet'!H5</f>
        <v/>
      </c>
      <c r="I10" s="19">
        <f>'05_Balance_Sheet'!I5</f>
        <v/>
      </c>
    </row>
    <row r="11">
      <c r="A11" t="inlineStr">
        <is>
          <t>Giấy tờ có giá (Bonds)</t>
        </is>
      </c>
      <c r="B11" s="19">
        <f>'05_Balance_Sheet'!B6</f>
        <v/>
      </c>
      <c r="C11" s="19">
        <f>'05_Balance_Sheet'!C6</f>
        <v/>
      </c>
      <c r="D11" s="19">
        <f>'05_Balance_Sheet'!D6</f>
        <v/>
      </c>
      <c r="E11" s="19">
        <f>'05_Balance_Sheet'!E6</f>
        <v/>
      </c>
      <c r="F11" s="19">
        <f>'05_Balance_Sheet'!F6</f>
        <v/>
      </c>
      <c r="G11" s="19">
        <f>'05_Balance_Sheet'!G6</f>
        <v/>
      </c>
      <c r="H11" s="19">
        <f>'05_Balance_Sheet'!H6</f>
        <v/>
      </c>
      <c r="I11" s="19">
        <f>'05_Balance_Sheet'!I6</f>
        <v/>
      </c>
    </row>
    <row r="12">
      <c r="A12" t="inlineStr">
        <is>
          <t>Tiền gửi Kho bạc NN</t>
        </is>
      </c>
      <c r="B12" s="19">
        <f>'05_Balance_Sheet'!B7</f>
        <v/>
      </c>
      <c r="C12" s="19">
        <f>'05_Balance_Sheet'!C7</f>
        <v/>
      </c>
      <c r="D12" s="19">
        <f>'05_Balance_Sheet'!D7</f>
        <v/>
      </c>
      <c r="E12" s="19">
        <f>'05_Balance_Sheet'!E7</f>
        <v/>
      </c>
      <c r="F12" s="19">
        <f>'05_Balance_Sheet'!F7</f>
        <v/>
      </c>
      <c r="G12" s="19">
        <f>'05_Balance_Sheet'!G7</f>
        <v/>
      </c>
      <c r="H12" s="19">
        <f>'05_Balance_Sheet'!H7</f>
        <v/>
      </c>
      <c r="I12" s="19">
        <f>'05_Balance_Sheet'!I7</f>
        <v/>
      </c>
    </row>
    <row r="13">
      <c r="A13" t="inlineStr">
        <is>
          <t>Tiền gửi ký quỹ (trừ đi)</t>
        </is>
      </c>
      <c r="B13" s="19">
        <f>'05_Balance_Sheet'!B8</f>
        <v/>
      </c>
      <c r="C13" s="19">
        <f>'05_Balance_Sheet'!C8</f>
        <v/>
      </c>
      <c r="D13" s="19">
        <f>'05_Balance_Sheet'!D8</f>
        <v/>
      </c>
      <c r="E13" s="19">
        <f>'05_Balance_Sheet'!E8</f>
        <v/>
      </c>
      <c r="F13" s="19">
        <f>'05_Balance_Sheet'!F8</f>
        <v/>
      </c>
      <c r="G13" s="19">
        <f>'05_Balance_Sheet'!G8</f>
        <v/>
      </c>
      <c r="H13" s="19">
        <f>'05_Balance_Sheet'!H8</f>
        <v/>
      </c>
      <c r="I13" s="19">
        <f>'05_Balance_Sheet'!I8</f>
        <v/>
      </c>
    </row>
    <row r="14">
      <c r="A14" t="inlineStr">
        <is>
          <t>Vốn chuyên dùng (trừ đi)</t>
        </is>
      </c>
      <c r="B14" s="19">
        <f>'05_Balance_Sheet'!B9</f>
        <v/>
      </c>
      <c r="C14" s="19">
        <f>'05_Balance_Sheet'!C9</f>
        <v/>
      </c>
      <c r="D14" s="19">
        <f>'05_Balance_Sheet'!D9</f>
        <v/>
      </c>
      <c r="E14" s="19">
        <f>'05_Balance_Sheet'!E9</f>
        <v/>
      </c>
      <c r="F14" s="19">
        <f>'05_Balance_Sheet'!F9</f>
        <v/>
      </c>
      <c r="G14" s="19">
        <f>'05_Balance_Sheet'!G9</f>
        <v/>
      </c>
      <c r="H14" s="19">
        <f>'05_Balance_Sheet'!H9</f>
        <v/>
      </c>
      <c r="I14" s="19">
        <f>'05_Balance_Sheet'!I9</f>
        <v/>
      </c>
    </row>
    <row r="15">
      <c r="A15" t="inlineStr">
        <is>
          <t>Vốn chủ sở hữu (VCSH)</t>
        </is>
      </c>
      <c r="B15" s="19">
        <f>'05_Balance_Sheet'!B10</f>
        <v/>
      </c>
      <c r="C15" s="19">
        <f>'05_Balance_Sheet'!C10</f>
        <v/>
      </c>
      <c r="D15" s="19">
        <f>'05_Balance_Sheet'!D10</f>
        <v/>
      </c>
      <c r="E15" s="19">
        <f>'05_Balance_Sheet'!E10</f>
        <v/>
      </c>
      <c r="F15" s="19">
        <f>'05_Balance_Sheet'!F10</f>
        <v/>
      </c>
      <c r="G15" s="19">
        <f>'05_Balance_Sheet'!G10</f>
        <v/>
      </c>
      <c r="H15" s="19">
        <f>'05_Balance_Sheet'!H10</f>
        <v/>
      </c>
      <c r="I15" s="19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8" t="n">
        <v>7.5885768715</v>
      </c>
      <c r="C2" s="18" t="n">
        <v>1.7314874179</v>
      </c>
      <c r="D2" s="14" t="n"/>
      <c r="E2" s="14" t="n"/>
    </row>
    <row r="3">
      <c r="A3" s="14" t="inlineStr">
        <is>
          <t>Q4/18</t>
        </is>
      </c>
      <c r="B3" s="18" t="n">
        <v>7.2551180484</v>
      </c>
      <c r="C3" s="18" t="n">
        <v>1.5360934948</v>
      </c>
      <c r="D3" s="14" t="n"/>
      <c r="E3" s="14" t="n"/>
    </row>
    <row r="4">
      <c r="A4" s="14" t="inlineStr">
        <is>
          <t>Q1/19</t>
        </is>
      </c>
      <c r="B4" s="18" t="n">
        <v>6.6726837683</v>
      </c>
      <c r="C4" s="18" t="n">
        <v>1.3715344939</v>
      </c>
      <c r="D4" s="14" t="n"/>
      <c r="E4" s="14" t="n"/>
    </row>
    <row r="5">
      <c r="A5" s="14" t="inlineStr">
        <is>
          <t>Q2/19</t>
        </is>
      </c>
      <c r="B5" s="18" t="n">
        <v>6.8610046703</v>
      </c>
      <c r="C5" s="18" t="n">
        <v>1.2664034992</v>
      </c>
      <c r="D5" s="14" t="n"/>
      <c r="E5" s="14" t="n"/>
    </row>
    <row r="6">
      <c r="A6" s="14" t="inlineStr">
        <is>
          <t>Q3/19</t>
        </is>
      </c>
      <c r="B6" s="18" t="n">
        <v>7.4928275338</v>
      </c>
      <c r="C6" s="18" t="n">
        <v>1.4402899603</v>
      </c>
      <c r="D6" s="14" t="n"/>
      <c r="E6" s="14" t="n"/>
    </row>
    <row r="7">
      <c r="A7" s="14" t="inlineStr">
        <is>
          <t>Q4/19</t>
        </is>
      </c>
      <c r="B7" s="18" t="n">
        <v>6.6045249116</v>
      </c>
      <c r="C7" s="18" t="n">
        <v>1.354597475</v>
      </c>
      <c r="D7" s="14" t="n"/>
      <c r="E7" s="14" t="n"/>
    </row>
    <row r="8">
      <c r="A8" s="14" t="inlineStr">
        <is>
          <t>Q1/20</t>
        </is>
      </c>
      <c r="B8" s="18" t="n">
        <v>5.987808669</v>
      </c>
      <c r="C8" s="18" t="n">
        <v>1.1290753816</v>
      </c>
      <c r="D8" s="14" t="n"/>
      <c r="E8" s="14" t="n"/>
    </row>
    <row r="9">
      <c r="A9" s="14" t="inlineStr">
        <is>
          <t>Q2/20</t>
        </is>
      </c>
      <c r="B9" s="18" t="n">
        <v>6.1488397192</v>
      </c>
      <c r="C9" s="18" t="n">
        <v>1.2620256884</v>
      </c>
      <c r="D9" s="14" t="n"/>
      <c r="E9" s="14" t="n"/>
    </row>
    <row r="10">
      <c r="A10" s="14" t="inlineStr">
        <is>
          <t>Q3/20</t>
        </is>
      </c>
      <c r="B10" s="18" t="n">
        <v>6.0109326974</v>
      </c>
      <c r="C10" s="18" t="n">
        <v>1.2734379437</v>
      </c>
      <c r="D10" s="14" t="n"/>
      <c r="E10" s="14" t="n"/>
    </row>
    <row r="11">
      <c r="A11" s="14" t="inlineStr">
        <is>
          <t>Q4/20</t>
        </is>
      </c>
      <c r="B11" s="18" t="n">
        <v>8.230879123399999</v>
      </c>
      <c r="C11" s="18" t="n">
        <v>1.6734809304</v>
      </c>
      <c r="D11" s="14" t="n"/>
      <c r="E11" s="14" t="n"/>
    </row>
    <row r="12">
      <c r="A12" s="14" t="inlineStr">
        <is>
          <t>Q1/21</t>
        </is>
      </c>
      <c r="B12" s="18" t="n">
        <v>12.0257636051</v>
      </c>
      <c r="C12" s="18" t="n">
        <v>2.3016098481</v>
      </c>
      <c r="D12" s="14" t="n"/>
      <c r="E12" s="14" t="n"/>
    </row>
    <row r="13">
      <c r="A13" s="14" t="inlineStr">
        <is>
          <t>Q2/21</t>
        </is>
      </c>
      <c r="B13" s="18" t="n">
        <v>13.8326037487</v>
      </c>
      <c r="C13" s="18" t="n">
        <v>2.805661578</v>
      </c>
      <c r="D13" s="14" t="n"/>
      <c r="E13" s="14" t="n"/>
    </row>
    <row r="14">
      <c r="A14" s="14" t="inlineStr">
        <is>
          <t>Q3/21</t>
        </is>
      </c>
      <c r="B14" s="18" t="n">
        <v>11.9959643211</v>
      </c>
      <c r="C14" s="18" t="n">
        <v>2.3717277384</v>
      </c>
      <c r="D14" s="14" t="n"/>
      <c r="E14" s="14" t="n"/>
    </row>
    <row r="15">
      <c r="A15" s="14" t="inlineStr">
        <is>
          <t>Q4/21</t>
        </is>
      </c>
      <c r="B15" s="18" t="n">
        <v>14.5716900546</v>
      </c>
      <c r="C15" s="18" t="n">
        <v>2.1838342112</v>
      </c>
      <c r="D15" s="14" t="n"/>
      <c r="E15" s="14" t="n"/>
    </row>
    <row r="16">
      <c r="A16" s="14" t="inlineStr">
        <is>
          <t>Q1/22</t>
        </is>
      </c>
      <c r="B16" s="18" t="n">
        <v>7.1312899322</v>
      </c>
      <c r="C16" s="18" t="n">
        <v>1.4172491111</v>
      </c>
      <c r="D16" s="14" t="n"/>
      <c r="E16" s="14" t="n"/>
    </row>
    <row r="17">
      <c r="A17" s="14" t="inlineStr">
        <is>
          <t>Q2/22</t>
        </is>
      </c>
      <c r="B17" s="18" t="n">
        <v>6.3796154645</v>
      </c>
      <c r="C17" s="18" t="n">
        <v>1.1862208548</v>
      </c>
      <c r="D17" s="14" t="n"/>
      <c r="E17" s="14" t="n"/>
    </row>
    <row r="18">
      <c r="A18" s="14" t="inlineStr">
        <is>
          <t>Q3/22</t>
        </is>
      </c>
      <c r="B18" s="18" t="n">
        <v>7.074017277</v>
      </c>
      <c r="C18" s="18" t="n">
        <v>1.3770069471</v>
      </c>
      <c r="D18" s="14" t="n"/>
      <c r="E18" s="14" t="n"/>
    </row>
    <row r="19">
      <c r="A19" s="14" t="inlineStr">
        <is>
          <t>Q4/22</t>
        </is>
      </c>
      <c r="B19" s="18" t="n">
        <v>7.5539391061</v>
      </c>
      <c r="C19" s="18" t="n">
        <v>1.4211483927</v>
      </c>
      <c r="D19" s="14" t="n"/>
      <c r="E19" s="14" t="n"/>
    </row>
    <row r="20">
      <c r="A20" s="14" t="inlineStr">
        <is>
          <t>Q1/23</t>
        </is>
      </c>
      <c r="B20" s="18" t="n">
        <v>10.9385688215</v>
      </c>
      <c r="C20" s="18" t="n">
        <v>1.3278204054</v>
      </c>
      <c r="D20" s="14" t="n"/>
      <c r="E20" s="14" t="n"/>
    </row>
    <row r="21">
      <c r="A21" s="14" t="inlineStr">
        <is>
          <t>Q2/23</t>
        </is>
      </c>
      <c r="B21" s="18" t="n">
        <v>12.6473208815</v>
      </c>
      <c r="C21" s="18" t="n">
        <v>1.4386879169</v>
      </c>
      <c r="D21" s="14" t="n"/>
      <c r="E21" s="14" t="n"/>
    </row>
    <row r="22">
      <c r="A22" s="14" t="inlineStr">
        <is>
          <t>Q3/23</t>
        </is>
      </c>
      <c r="B22" s="18" t="n">
        <v>13.3687793748</v>
      </c>
      <c r="C22" s="18" t="n">
        <v>1.1076927672</v>
      </c>
      <c r="D22" s="14" t="n"/>
      <c r="E22" s="14" t="n"/>
    </row>
    <row r="23">
      <c r="A23" s="14" t="inlineStr">
        <is>
          <t>Q4/23</t>
        </is>
      </c>
      <c r="B23" s="18" t="n">
        <v>13.7446064836</v>
      </c>
      <c r="C23" s="18" t="n">
        <v>1.1609380947</v>
      </c>
      <c r="D23" s="14" t="n"/>
      <c r="E23" s="14" t="n"/>
    </row>
    <row r="24">
      <c r="A24" s="14" t="inlineStr">
        <is>
          <t>Q1/24</t>
        </is>
      </c>
      <c r="B24" s="18" t="n">
        <v>12.4583264742</v>
      </c>
      <c r="C24" s="18" t="n">
        <v>1.0907888894</v>
      </c>
      <c r="D24" s="14" t="n"/>
      <c r="E24" s="14" t="n"/>
    </row>
    <row r="25">
      <c r="A25" s="14" t="inlineStr">
        <is>
          <t>Q2/24</t>
        </is>
      </c>
      <c r="B25" s="18" t="n">
        <v>13.499973671</v>
      </c>
      <c r="C25" s="18" t="n">
        <v>1.2294070279</v>
      </c>
      <c r="D25" s="14" t="n"/>
      <c r="E25" s="14" t="n"/>
    </row>
    <row r="26">
      <c r="A26" s="14" t="inlineStr">
        <is>
          <t>Q3/24</t>
        </is>
      </c>
      <c r="B26" s="18" t="n">
        <v>10.852858117</v>
      </c>
      <c r="C26" s="18" t="n">
        <v>1.0488669373</v>
      </c>
      <c r="D26" s="14" t="n"/>
      <c r="E26" s="14" t="n"/>
    </row>
    <row r="27">
      <c r="A27" s="14" t="inlineStr">
        <is>
          <t>Q4/24</t>
        </is>
      </c>
      <c r="B27" s="18" t="n">
        <v>8.497690022600001</v>
      </c>
      <c r="C27" s="18" t="n">
        <v>0.9448809589</v>
      </c>
      <c r="D27" s="14" t="n"/>
      <c r="E27" s="14" t="n"/>
    </row>
    <row r="28">
      <c r="A28" s="14" t="inlineStr">
        <is>
          <t>Q1/25</t>
        </is>
      </c>
      <c r="B28" s="18" t="n">
        <v>10.3440940704</v>
      </c>
      <c r="C28" s="18" t="n">
        <v>1.1427259217</v>
      </c>
      <c r="D28" s="14" t="n"/>
      <c r="E28" s="14" t="n"/>
    </row>
    <row r="29">
      <c r="A29" s="14" t="inlineStr">
        <is>
          <t>Q2/25</t>
        </is>
      </c>
      <c r="B29" s="18" t="n">
        <v>14.8169293588</v>
      </c>
      <c r="C29" s="18" t="n">
        <v>1.7577240312</v>
      </c>
      <c r="D29" s="14" t="n"/>
      <c r="E29" s="14" t="n"/>
    </row>
    <row r="30">
      <c r="A30" s="14" t="inlineStr">
        <is>
          <t>Q3/25</t>
        </is>
      </c>
      <c r="B30" s="18" t="n">
        <v>11.3340624075</v>
      </c>
      <c r="C30" s="18" t="n">
        <v>1.5200947226</v>
      </c>
      <c r="D30" s="14" t="n"/>
      <c r="E30" s="14" t="n"/>
    </row>
    <row r="31">
      <c r="A31" s="14" t="inlineStr">
        <is>
          <t>Q4/25</t>
        </is>
      </c>
      <c r="B31" s="18" t="n">
        <v>9.0451623018</v>
      </c>
      <c r="C31" s="18" t="n">
        <v>1.2923674217</v>
      </c>
      <c r="D31" s="14" t="n"/>
      <c r="E31" s="14" t="n"/>
    </row>
    <row r="32">
      <c r="A32" s="14" t="inlineStr">
        <is>
          <t>Q1/26</t>
        </is>
      </c>
      <c r="B32" s="18" t="n">
        <v>7.9961785268</v>
      </c>
      <c r="C32" s="18" t="n">
        <v>1.2076215069</v>
      </c>
      <c r="D32" s="14" t="n"/>
      <c r="E32" s="14" t="n"/>
    </row>
    <row r="33">
      <c r="A33" s="14" t="inlineStr">
        <is>
          <t>Q2/26</t>
        </is>
      </c>
      <c r="B33" s="18" t="n">
        <v>7.2644470603</v>
      </c>
      <c r="C33" s="18" t="n">
        <v>1.2146526611</v>
      </c>
      <c r="D33" s="14" t="n"/>
      <c r="E33" s="14" t="n"/>
    </row>
    <row r="35">
      <c r="A35" s="31" t="inlineStr">
        <is>
          <t>MEDIAN ALL-TIME</t>
        </is>
      </c>
      <c r="B35" s="32" t="n">
        <v>8.364284572999999</v>
      </c>
      <c r="C35" s="33" t="n">
        <v>1.3412089402</v>
      </c>
      <c r="D35" s="34" t="n"/>
      <c r="E35" s="3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4" t="inlineStr">
        <is>
          <t>Q1/22</t>
        </is>
      </c>
      <c r="B2" s="35">
        <f>'05_Balance_Sheet_Quarterly'!B5+'05_Balance_Sheet_Quarterly'!B9</f>
        <v/>
      </c>
      <c r="C2" s="35">
        <f>'05_Balance_Sheet_Quarterly'!B7+'05_Balance_Sheet_Quarterly'!B10+'05_Balance_Sheet_Quarterly'!B11*0.0-'05_Balance_Sheet_Quarterly'!B12-'05_Balance_Sheet_Quarterly'!B13</f>
        <v/>
      </c>
      <c r="D2" s="34" t="n"/>
      <c r="E2" s="34" t="n"/>
    </row>
    <row r="3">
      <c r="A3" s="34" t="inlineStr">
        <is>
          <t>Q2/22</t>
        </is>
      </c>
      <c r="B3" s="35">
        <f>'05_Balance_Sheet_Quarterly'!C5+'05_Balance_Sheet_Quarterly'!C9</f>
        <v/>
      </c>
      <c r="C3" s="35">
        <f>'05_Balance_Sheet_Quarterly'!C7+'05_Balance_Sheet_Quarterly'!C10+'05_Balance_Sheet_Quarterly'!C11*0.0-'05_Balance_Sheet_Quarterly'!C12-'05_Balance_Sheet_Quarterly'!C13</f>
        <v/>
      </c>
      <c r="D3" s="34" t="n"/>
      <c r="E3" s="34" t="n"/>
    </row>
    <row r="4">
      <c r="A4" s="34" t="inlineStr">
        <is>
          <t>Q3/22</t>
        </is>
      </c>
      <c r="B4" s="35">
        <f>'05_Balance_Sheet_Quarterly'!D5+'05_Balance_Sheet_Quarterly'!D9</f>
        <v/>
      </c>
      <c r="C4" s="35">
        <f>'05_Balance_Sheet_Quarterly'!D7+'05_Balance_Sheet_Quarterly'!D10+'05_Balance_Sheet_Quarterly'!D11*0.0-'05_Balance_Sheet_Quarterly'!D12-'05_Balance_Sheet_Quarterly'!D13</f>
        <v/>
      </c>
      <c r="D4" s="34" t="n"/>
      <c r="E4" s="34" t="n"/>
    </row>
    <row r="5">
      <c r="A5" s="34" t="inlineStr">
        <is>
          <t>Q4/22</t>
        </is>
      </c>
      <c r="B5" s="35">
        <f>'05_Balance_Sheet_Quarterly'!E5+'05_Balance_Sheet_Quarterly'!E9</f>
        <v/>
      </c>
      <c r="C5" s="35">
        <f>'05_Balance_Sheet_Quarterly'!E7+'05_Balance_Sheet_Quarterly'!E10+'05_Balance_Sheet_Quarterly'!E11*0.0-'05_Balance_Sheet_Quarterly'!E12-'05_Balance_Sheet_Quarterly'!E13</f>
        <v/>
      </c>
      <c r="D5" s="34" t="n"/>
      <c r="E5" s="34" t="n"/>
    </row>
    <row r="6">
      <c r="A6" s="34" t="inlineStr">
        <is>
          <t>Q1/23</t>
        </is>
      </c>
      <c r="B6" s="35">
        <f>'05_Balance_Sheet_Quarterly'!F5+'05_Balance_Sheet_Quarterly'!F9</f>
        <v/>
      </c>
      <c r="C6" s="35">
        <f>'05_Balance_Sheet_Quarterly'!F7+'05_Balance_Sheet_Quarterly'!F10+'05_Balance_Sheet_Quarterly'!F11*0.5-'05_Balance_Sheet_Quarterly'!F12-'05_Balance_Sheet_Quarterly'!F13</f>
        <v/>
      </c>
      <c r="D6" s="36">
        <f>(B6-B5)/B5</f>
        <v/>
      </c>
      <c r="E6" s="36">
        <f>(C6-C5)/C5</f>
        <v/>
      </c>
    </row>
    <row r="7">
      <c r="A7" s="34" t="inlineStr">
        <is>
          <t>Q2/23</t>
        </is>
      </c>
      <c r="B7" s="35">
        <f>'05_Balance_Sheet_Quarterly'!G5+'05_Balance_Sheet_Quarterly'!G9</f>
        <v/>
      </c>
      <c r="C7" s="35">
        <f>'05_Balance_Sheet_Quarterly'!G7+'05_Balance_Sheet_Quarterly'!G10+'05_Balance_Sheet_Quarterly'!G11*0.5-'05_Balance_Sheet_Quarterly'!G12-'05_Balance_Sheet_Quarterly'!G13</f>
        <v/>
      </c>
      <c r="D7" s="36">
        <f>(B7-B5)/B5</f>
        <v/>
      </c>
      <c r="E7" s="36">
        <f>(C7-C5)/C5</f>
        <v/>
      </c>
    </row>
    <row r="8">
      <c r="A8" s="34" t="inlineStr">
        <is>
          <t>Q3/23</t>
        </is>
      </c>
      <c r="B8" s="35">
        <f>'05_Balance_Sheet_Quarterly'!H5+'05_Balance_Sheet_Quarterly'!H9</f>
        <v/>
      </c>
      <c r="C8" s="35">
        <f>'05_Balance_Sheet_Quarterly'!H7+'05_Balance_Sheet_Quarterly'!H10+'05_Balance_Sheet_Quarterly'!H11*0.5-'05_Balance_Sheet_Quarterly'!H12-'05_Balance_Sheet_Quarterly'!H13</f>
        <v/>
      </c>
      <c r="D8" s="36">
        <f>(B8-B5)/B5</f>
        <v/>
      </c>
      <c r="E8" s="36">
        <f>(C8-C5)/C5</f>
        <v/>
      </c>
    </row>
    <row r="9">
      <c r="A9" s="34" t="inlineStr">
        <is>
          <t>Q4/23</t>
        </is>
      </c>
      <c r="B9" s="35">
        <f>'05_Balance_Sheet_Quarterly'!I5+'05_Balance_Sheet_Quarterly'!I9</f>
        <v/>
      </c>
      <c r="C9" s="35">
        <f>'05_Balance_Sheet_Quarterly'!I7+'05_Balance_Sheet_Quarterly'!I10+'05_Balance_Sheet_Quarterly'!I11*0.5-'05_Balance_Sheet_Quarterly'!I12-'05_Balance_Sheet_Quarterly'!I13</f>
        <v/>
      </c>
      <c r="D9" s="36">
        <f>(B9-B5)/B5</f>
        <v/>
      </c>
      <c r="E9" s="36">
        <f>(C9-C5)/C5</f>
        <v/>
      </c>
    </row>
    <row r="10">
      <c r="A10" s="34" t="inlineStr">
        <is>
          <t>Q1/24</t>
        </is>
      </c>
      <c r="B10" s="35">
        <f>'05_Balance_Sheet_Quarterly'!J5+'05_Balance_Sheet_Quarterly'!J9</f>
        <v/>
      </c>
      <c r="C10" s="35">
        <f>'05_Balance_Sheet_Quarterly'!J7+'05_Balance_Sheet_Quarterly'!J10+'05_Balance_Sheet_Quarterly'!J11*0.4-'05_Balance_Sheet_Quarterly'!J12-'05_Balance_Sheet_Quarterly'!J13</f>
        <v/>
      </c>
      <c r="D10" s="36">
        <f>(B10-B9)/B9</f>
        <v/>
      </c>
      <c r="E10" s="36">
        <f>(C10-C9)/C9</f>
        <v/>
      </c>
    </row>
    <row r="11">
      <c r="A11" s="34" t="inlineStr">
        <is>
          <t>Q2/24</t>
        </is>
      </c>
      <c r="B11" s="35">
        <f>'05_Balance_Sheet_Quarterly'!K5+'05_Balance_Sheet_Quarterly'!K9</f>
        <v/>
      </c>
      <c r="C11" s="35">
        <f>'05_Balance_Sheet_Quarterly'!K7+'05_Balance_Sheet_Quarterly'!K10+'05_Balance_Sheet_Quarterly'!K11*0.4-'05_Balance_Sheet_Quarterly'!K12-'05_Balance_Sheet_Quarterly'!K13</f>
        <v/>
      </c>
      <c r="D11" s="36">
        <f>(B11-B9)/B9</f>
        <v/>
      </c>
      <c r="E11" s="36">
        <f>(C11-C9)/C9</f>
        <v/>
      </c>
    </row>
    <row r="12">
      <c r="A12" s="34" t="inlineStr">
        <is>
          <t>Q3/24</t>
        </is>
      </c>
      <c r="B12" s="35">
        <f>'05_Balance_Sheet_Quarterly'!L5+'05_Balance_Sheet_Quarterly'!L9</f>
        <v/>
      </c>
      <c r="C12" s="35">
        <f>'05_Balance_Sheet_Quarterly'!L7+'05_Balance_Sheet_Quarterly'!L10+'05_Balance_Sheet_Quarterly'!L11*0.4-'05_Balance_Sheet_Quarterly'!L12-'05_Balance_Sheet_Quarterly'!L13</f>
        <v/>
      </c>
      <c r="D12" s="36">
        <f>(B12-B9)/B9</f>
        <v/>
      </c>
      <c r="E12" s="36">
        <f>(C12-C9)/C9</f>
        <v/>
      </c>
    </row>
    <row r="13">
      <c r="A13" s="34" t="inlineStr">
        <is>
          <t>Q4/24</t>
        </is>
      </c>
      <c r="B13" s="35">
        <f>'05_Balance_Sheet_Quarterly'!M5+'05_Balance_Sheet_Quarterly'!M9</f>
        <v/>
      </c>
      <c r="C13" s="35">
        <f>'05_Balance_Sheet_Quarterly'!M7+'05_Balance_Sheet_Quarterly'!M10+'05_Balance_Sheet_Quarterly'!M11*0.4-'05_Balance_Sheet_Quarterly'!M12-'05_Balance_Sheet_Quarterly'!M13</f>
        <v/>
      </c>
      <c r="D13" s="36">
        <f>(B13-B9)/B9</f>
        <v/>
      </c>
      <c r="E13" s="36">
        <f>(C13-C9)/C9</f>
        <v/>
      </c>
    </row>
    <row r="14">
      <c r="A14" s="34" t="inlineStr">
        <is>
          <t>Q1/25</t>
        </is>
      </c>
      <c r="B14" s="35">
        <f>'05_Balance_Sheet_Quarterly'!N5+'05_Balance_Sheet_Quarterly'!N9</f>
        <v/>
      </c>
      <c r="C14" s="35">
        <f>'05_Balance_Sheet_Quarterly'!N7+'05_Balance_Sheet_Quarterly'!N10+'05_Balance_Sheet_Quarterly'!N11*0.2-'05_Balance_Sheet_Quarterly'!N12-'05_Balance_Sheet_Quarterly'!N13</f>
        <v/>
      </c>
      <c r="D14" s="36">
        <f>(B14-B13)/B13</f>
        <v/>
      </c>
      <c r="E14" s="36">
        <f>(C14-C13)/C13</f>
        <v/>
      </c>
    </row>
    <row r="15">
      <c r="A15" s="34" t="inlineStr">
        <is>
          <t>Q2/25</t>
        </is>
      </c>
      <c r="B15" s="35">
        <f>'05_Balance_Sheet_Quarterly'!O5+'05_Balance_Sheet_Quarterly'!O9</f>
        <v/>
      </c>
      <c r="C15" s="35">
        <f>'05_Balance_Sheet_Quarterly'!O7+'05_Balance_Sheet_Quarterly'!O10+'05_Balance_Sheet_Quarterly'!O11*0.2-'05_Balance_Sheet_Quarterly'!O12-'05_Balance_Sheet_Quarterly'!O13</f>
        <v/>
      </c>
      <c r="D15" s="36">
        <f>(B15-B13)/B13</f>
        <v/>
      </c>
      <c r="E15" s="36">
        <f>(C15-C13)/C13</f>
        <v/>
      </c>
    </row>
    <row r="16">
      <c r="A16" s="34" t="inlineStr">
        <is>
          <t>Q3/25</t>
        </is>
      </c>
      <c r="B16" s="35">
        <f>'05_Balance_Sheet_Quarterly'!P5+'05_Balance_Sheet_Quarterly'!P9</f>
        <v/>
      </c>
      <c r="C16" s="35">
        <f>'05_Balance_Sheet_Quarterly'!P7+'05_Balance_Sheet_Quarterly'!P10+'05_Balance_Sheet_Quarterly'!P11*0.2-'05_Balance_Sheet_Quarterly'!P12-'05_Balance_Sheet_Quarterly'!P13</f>
        <v/>
      </c>
      <c r="D16" s="36">
        <f>(B16-B13)/B13</f>
        <v/>
      </c>
      <c r="E16" s="36">
        <f>(C16-C13)/C13</f>
        <v/>
      </c>
    </row>
    <row r="17">
      <c r="A17" s="34" t="inlineStr">
        <is>
          <t>Q4/25</t>
        </is>
      </c>
      <c r="B17" s="35">
        <f>'05_Balance_Sheet_Quarterly'!Q5+'05_Balance_Sheet_Quarterly'!Q9</f>
        <v/>
      </c>
      <c r="C17" s="35">
        <f>'05_Balance_Sheet_Quarterly'!Q7+'05_Balance_Sheet_Quarterly'!Q10+'05_Balance_Sheet_Quarterly'!Q11*0.2-'05_Balance_Sheet_Quarterly'!Q12-'05_Balance_Sheet_Quarterly'!Q13</f>
        <v/>
      </c>
      <c r="D17" s="36">
        <f>(B17-B13)/B13</f>
        <v/>
      </c>
      <c r="E17" s="36">
        <f>(C17-C13)/C13</f>
        <v/>
      </c>
    </row>
    <row r="18">
      <c r="A18" s="34" t="inlineStr">
        <is>
          <t>Q1/26</t>
        </is>
      </c>
      <c r="B18" s="35">
        <f>'05_Balance_Sheet_Quarterly'!R5+'05_Balance_Sheet_Quarterly'!R9</f>
        <v/>
      </c>
      <c r="C18" s="35">
        <f>'05_Balance_Sheet_Quarterly'!R7+'05_Balance_Sheet_Quarterly'!R10+'05_Balance_Sheet_Quarterly'!R11*0.2-'05_Balance_Sheet_Quarterly'!R12-'05_Balance_Sheet_Quarterly'!R13</f>
        <v/>
      </c>
      <c r="D18" s="36">
        <f>(B18-B17)/B17</f>
        <v/>
      </c>
      <c r="E18" s="36">
        <f>(C18-C17)/C17</f>
        <v/>
      </c>
    </row>
    <row r="19">
      <c r="A19" s="34" t="inlineStr">
        <is>
          <t>Q2/26</t>
        </is>
      </c>
      <c r="B19" s="35">
        <f>'05_Balance_Sheet_Quarterly'!S5+'05_Balance_Sheet_Quarterly'!S9</f>
        <v/>
      </c>
      <c r="C19" s="35">
        <f>'05_Balance_Sheet_Quarterly'!S7+'05_Balance_Sheet_Quarterly'!S10+'05_Balance_Sheet_Quarterly'!S11*0.2-'05_Balance_Sheet_Quarterly'!S12-'05_Balance_Sheet_Quarterly'!S13</f>
        <v/>
      </c>
      <c r="D19" s="36">
        <f>(B19-B17)/B17</f>
        <v/>
      </c>
      <c r="E19" s="36">
        <f>(C19-C17)/C17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7" t="inlineStr">
        <is>
          <t>Trung bình ngành</t>
        </is>
      </c>
      <c r="B2" s="38" t="n">
        <v>2.342222222222222</v>
      </c>
      <c r="C2" s="38" t="n">
        <v>4.450555555555556</v>
      </c>
      <c r="D2" s="38" t="n">
        <v>16.70611111111111</v>
      </c>
      <c r="E2" s="38" t="n">
        <v>16.48277777777778</v>
      </c>
      <c r="F2" s="38" t="n">
        <v>32.67777777777778</v>
      </c>
      <c r="G2" s="39" t="n">
        <v>1.358888888888889</v>
      </c>
      <c r="H2" s="38" t="n">
        <v>5.506666666666666</v>
      </c>
      <c r="I2" s="37" t="inlineStr">
        <is>
          <t>-</t>
        </is>
      </c>
    </row>
    <row r="3">
      <c r="A3" s="34" t="inlineStr">
        <is>
          <t>VCB — Vietcombank</t>
        </is>
      </c>
      <c r="B3" s="36" t="n">
        <v>0.0062</v>
      </c>
      <c r="C3" s="36" t="n">
        <v>0.0443</v>
      </c>
      <c r="D3" s="36" t="n">
        <v>0.3235</v>
      </c>
      <c r="E3" s="36" t="n">
        <v>0.2342</v>
      </c>
      <c r="F3" s="36" t="n">
        <v>0.3204</v>
      </c>
      <c r="G3" s="40" t="n">
        <v>1.95</v>
      </c>
      <c r="H3" s="36" t="n">
        <v>0.0005</v>
      </c>
      <c r="I3" s="35" t="n">
        <v>484629.155452</v>
      </c>
    </row>
    <row r="4">
      <c r="A4" s="34" t="inlineStr">
        <is>
          <t>BID — BIDV</t>
        </is>
      </c>
      <c r="B4" s="36" t="n">
        <v>0.0185</v>
      </c>
      <c r="C4" s="36" t="n">
        <v>0.0289</v>
      </c>
      <c r="D4" s="36" t="n">
        <v>0.2012</v>
      </c>
      <c r="E4" s="36" t="n">
        <v>0.1669</v>
      </c>
      <c r="F4" s="36" t="n">
        <v>0.3166</v>
      </c>
      <c r="G4" s="40" t="n">
        <v>1.41</v>
      </c>
      <c r="H4" s="36" t="n">
        <v>0.0312</v>
      </c>
      <c r="I4" s="35" t="n">
        <v>280016.261028</v>
      </c>
    </row>
    <row r="5">
      <c r="A5" s="34" t="inlineStr">
        <is>
          <t>CTG — VietinBank</t>
        </is>
      </c>
      <c r="B5" s="36" t="n">
        <v>0.0122</v>
      </c>
      <c r="C5" s="36" t="n">
        <v>0.0403</v>
      </c>
      <c r="D5" s="36" t="n">
        <v>0.2272</v>
      </c>
      <c r="E5" s="36" t="n">
        <v>0.2354</v>
      </c>
      <c r="F5" s="36" t="n">
        <v>0.2409</v>
      </c>
      <c r="G5" s="40" t="n">
        <v>1.19</v>
      </c>
      <c r="H5" s="36" t="n">
        <v>0.0326</v>
      </c>
      <c r="I5" s="35" t="n">
        <v>239221.8948196</v>
      </c>
    </row>
    <row r="6">
      <c r="A6" s="34" t="inlineStr">
        <is>
          <t>TCB — Techcombank</t>
        </is>
      </c>
      <c r="B6" s="36" t="n">
        <v>0.011</v>
      </c>
      <c r="C6" s="36" t="n">
        <v>0.0515</v>
      </c>
      <c r="D6" s="36" t="n">
        <v>0.3381</v>
      </c>
      <c r="E6" s="36" t="n">
        <v>0.1635</v>
      </c>
      <c r="F6" s="36" t="n">
        <v>0.3092</v>
      </c>
      <c r="G6" s="40" t="n">
        <v>1.2</v>
      </c>
      <c r="H6" s="36" t="n">
        <v>0.0639</v>
      </c>
      <c r="I6" s="35" t="n">
        <v>226051.0692066</v>
      </c>
    </row>
    <row r="7">
      <c r="A7" s="34" t="inlineStr">
        <is>
          <t>MBB — MBBank</t>
        </is>
      </c>
      <c r="B7" s="36" t="n">
        <v>0.0147</v>
      </c>
      <c r="C7" s="36" t="n">
        <v>0.0558</v>
      </c>
      <c r="D7" s="36" t="n">
        <v>0.3362</v>
      </c>
      <c r="E7" s="36" t="n">
        <v>0.2155</v>
      </c>
      <c r="F7" s="36" t="n">
        <v>0.2754</v>
      </c>
      <c r="G7" s="40" t="n">
        <v>1.3</v>
      </c>
      <c r="H7" s="36" t="n">
        <v>0.095</v>
      </c>
      <c r="I7" s="35" t="n">
        <v>203388.747677</v>
      </c>
    </row>
    <row r="8">
      <c r="A8" s="34" t="inlineStr">
        <is>
          <t>ACB — ACB</t>
        </is>
      </c>
      <c r="B8" s="36" t="n">
        <v>0.0104</v>
      </c>
      <c r="C8" s="36" t="n">
        <v>0.04219999999999999</v>
      </c>
      <c r="D8" s="36" t="n">
        <v>0.2003</v>
      </c>
      <c r="E8" s="36" t="n">
        <v>0.1729</v>
      </c>
      <c r="F8" s="36" t="n">
        <v>0.297</v>
      </c>
      <c r="G8" s="40" t="n">
        <v>1.3</v>
      </c>
      <c r="H8" s="36" t="n">
        <v>0.052</v>
      </c>
      <c r="I8" s="35" t="n">
        <v>129148.38854325</v>
      </c>
    </row>
    <row r="9">
      <c r="A9" s="34" t="inlineStr">
        <is>
          <t>VIB — VIB</t>
        </is>
      </c>
      <c r="B9" s="36" t="n">
        <v>0.0296</v>
      </c>
      <c r="C9" s="36" t="n">
        <v>0.0446</v>
      </c>
      <c r="D9" s="36" t="n">
        <v>0.1176</v>
      </c>
      <c r="E9" s="36" t="n">
        <v>0.1593</v>
      </c>
      <c r="F9" s="36" t="n">
        <v>0.3174</v>
      </c>
      <c r="G9" s="40" t="n">
        <v>1.06</v>
      </c>
      <c r="H9" s="36" t="n">
        <v>0.0279</v>
      </c>
      <c r="I9" s="35" t="n">
        <v>50719.685079</v>
      </c>
    </row>
    <row r="10">
      <c r="A10" s="34" t="inlineStr">
        <is>
          <t>HDB — HDBank</t>
        </is>
      </c>
      <c r="B10" s="36" t="n">
        <v>0.0283</v>
      </c>
      <c r="C10" s="36" t="n">
        <v>0.0599</v>
      </c>
      <c r="D10" s="36" t="n">
        <v>0.1081</v>
      </c>
      <c r="E10" s="36" t="n">
        <v>0.2569</v>
      </c>
      <c r="F10" s="36" t="n">
        <v>0.2411</v>
      </c>
      <c r="G10" s="40" t="n">
        <v>1.52</v>
      </c>
      <c r="H10" s="36" t="n">
        <v>0.09519999999999999</v>
      </c>
      <c r="I10" s="35" t="n">
        <v>136894.30743405</v>
      </c>
    </row>
    <row r="11">
      <c r="A11" s="34" t="inlineStr">
        <is>
          <t>STB — Sacombank</t>
        </is>
      </c>
      <c r="B11" s="36" t="n">
        <v>0.0788</v>
      </c>
      <c r="C11" s="36" t="n">
        <v>0.04099999999999999</v>
      </c>
      <c r="D11" s="36" t="n">
        <v>0.1643</v>
      </c>
      <c r="E11" s="36" t="n">
        <v>0.0858</v>
      </c>
      <c r="F11" s="36" t="n">
        <v>0.2839</v>
      </c>
      <c r="G11" s="40" t="n">
        <v>2.3</v>
      </c>
      <c r="H11" s="36" t="n">
        <v>0.0066</v>
      </c>
      <c r="I11" s="35" t="n">
        <v>144407.5238456</v>
      </c>
    </row>
    <row r="12">
      <c r="A12" s="41" t="inlineStr">
        <is>
          <t>VPB — VPBank</t>
        </is>
      </c>
      <c r="B12" s="42" t="n">
        <v>0.0334</v>
      </c>
      <c r="C12" s="42" t="n">
        <v>0.06309999999999999</v>
      </c>
      <c r="D12" s="42" t="n">
        <v>0.1149</v>
      </c>
      <c r="E12" s="42" t="n">
        <v>0.1836</v>
      </c>
      <c r="F12" s="42" t="n">
        <v>0.1965</v>
      </c>
      <c r="G12" s="43" t="n">
        <v>1.13</v>
      </c>
      <c r="H12" s="42" t="n">
        <v>0.1163</v>
      </c>
      <c r="I12" s="44" t="n">
        <v>216596.1143073</v>
      </c>
    </row>
    <row r="13">
      <c r="A13" s="34" t="inlineStr">
        <is>
          <t>TPB — TPBank</t>
        </is>
      </c>
      <c r="B13" s="36" t="n">
        <v>0.0188</v>
      </c>
      <c r="C13" s="36" t="n">
        <v>0.0435</v>
      </c>
      <c r="D13" s="36" t="n">
        <v>0.1832</v>
      </c>
      <c r="E13" s="36" t="n">
        <v>0.1526</v>
      </c>
      <c r="F13" s="36" t="n">
        <v>0.3933</v>
      </c>
      <c r="G13" s="40" t="n">
        <v>0.8100000000000001</v>
      </c>
      <c r="H13" s="36" t="n">
        <v>0.0703</v>
      </c>
      <c r="I13" s="35" t="n">
        <v>40362.38200215</v>
      </c>
    </row>
    <row r="14">
      <c r="A14" s="34" t="inlineStr">
        <is>
          <t>MSB — MSB</t>
        </is>
      </c>
      <c r="B14" s="36" t="n">
        <v>0.0256</v>
      </c>
      <c r="C14" s="36" t="n">
        <v>0.0528</v>
      </c>
      <c r="D14" s="36" t="n">
        <v>0.2191</v>
      </c>
      <c r="E14" s="36" t="n">
        <v>0.1106</v>
      </c>
      <c r="F14" s="36" t="n">
        <v>0.3902</v>
      </c>
      <c r="G14" s="40" t="n">
        <v>1.09</v>
      </c>
      <c r="H14" s="36" t="n">
        <v>0.07400000000000001</v>
      </c>
      <c r="I14" s="35" t="n">
        <v>49233.6</v>
      </c>
    </row>
    <row r="15">
      <c r="A15" s="34" t="inlineStr">
        <is>
          <t>EIB — Eximbank</t>
        </is>
      </c>
      <c r="B15" s="36" t="n">
        <v>0.0311</v>
      </c>
      <c r="C15" s="36" t="n">
        <v>0.03</v>
      </c>
      <c r="D15" s="36" t="n">
        <v>0.138</v>
      </c>
      <c r="E15" s="36" t="n">
        <v>0.0378</v>
      </c>
      <c r="F15" s="36" t="n">
        <v>0.5501</v>
      </c>
      <c r="G15" s="40" t="n">
        <v>1.19</v>
      </c>
      <c r="H15" s="36" t="n">
        <v>-0.0051</v>
      </c>
      <c r="I15" s="35" t="n">
        <v>31479.9782583</v>
      </c>
    </row>
    <row r="16">
      <c r="A16" s="34" t="inlineStr">
        <is>
          <t>LPB — LienVietPostBank</t>
        </is>
      </c>
      <c r="B16" s="36" t="n">
        <v>0.0188</v>
      </c>
      <c r="C16" s="36" t="n">
        <v>0.0367</v>
      </c>
      <c r="D16" s="36" t="n">
        <v>0.06309999999999999</v>
      </c>
      <c r="E16" s="36" t="n">
        <v>0.2343</v>
      </c>
      <c r="F16" s="36" t="n">
        <v>0.3522999999999999</v>
      </c>
      <c r="G16" s="40" t="n">
        <v>3.45</v>
      </c>
      <c r="H16" s="36" t="n">
        <v>0.066</v>
      </c>
      <c r="I16" s="35" t="n">
        <v>148318.556265</v>
      </c>
    </row>
    <row r="17">
      <c r="A17" s="34" t="inlineStr">
        <is>
          <t>SHB — SHB</t>
        </is>
      </c>
      <c r="B17" s="36" t="n">
        <v>0.0222</v>
      </c>
      <c r="C17" s="36" t="n">
        <v>0.0417</v>
      </c>
      <c r="D17" s="36" t="n">
        <v>0.07769999999999999</v>
      </c>
      <c r="E17" s="36" t="n">
        <v>0.1913</v>
      </c>
      <c r="F17" s="36" t="n">
        <v>0.1493</v>
      </c>
      <c r="G17" s="40" t="n">
        <v>0.84</v>
      </c>
      <c r="H17" s="36" t="n">
        <v>0.0519</v>
      </c>
      <c r="I17" s="35" t="n">
        <v>63590.0756722</v>
      </c>
    </row>
    <row r="18">
      <c r="A18" s="34" t="inlineStr">
        <is>
          <t>OCB — OCB</t>
        </is>
      </c>
      <c r="B18" s="36" t="n">
        <v>0.0356</v>
      </c>
      <c r="C18" s="36" t="n">
        <v>0.04679999999999999</v>
      </c>
      <c r="D18" s="36" t="n">
        <v>0.1086</v>
      </c>
      <c r="E18" s="36" t="n">
        <v>0.1086</v>
      </c>
      <c r="F18" s="36" t="n">
        <v>0.3289</v>
      </c>
      <c r="G18" s="40" t="n">
        <v>0.88</v>
      </c>
      <c r="H18" s="36" t="n">
        <v>0.0762</v>
      </c>
      <c r="I18" s="35" t="n">
        <v>31390.7287915</v>
      </c>
    </row>
    <row r="19">
      <c r="A19" s="34" t="inlineStr">
        <is>
          <t>BAB — BacABank</t>
        </is>
      </c>
      <c r="B19" s="36" t="n">
        <v>0.0115</v>
      </c>
      <c r="C19" s="36" t="n">
        <v>0.0369</v>
      </c>
      <c r="D19" s="36" t="n">
        <v>0.0333</v>
      </c>
      <c r="E19" s="36" t="n">
        <v>0.0708</v>
      </c>
      <c r="F19" s="36" t="n">
        <v>0.5029</v>
      </c>
      <c r="G19" s="40" t="n">
        <v>0.9</v>
      </c>
      <c r="H19" s="36" t="n">
        <v>0.0487</v>
      </c>
      <c r="I19" s="35" t="n">
        <v>12332.2926612</v>
      </c>
    </row>
    <row r="20">
      <c r="A20" s="34" t="inlineStr">
        <is>
          <t>NAB — NamABank</t>
        </is>
      </c>
      <c r="B20" s="36" t="n">
        <v>0.0149</v>
      </c>
      <c r="C20" s="36" t="n">
        <v>0.0411</v>
      </c>
      <c r="D20" s="36" t="n">
        <v>0.0527</v>
      </c>
      <c r="E20" s="36" t="n">
        <v>0.1869</v>
      </c>
      <c r="F20" s="36" t="n">
        <v>0.4166</v>
      </c>
      <c r="G20" s="40" t="n">
        <v>0.9399999999999999</v>
      </c>
      <c r="H20" s="36" t="n">
        <v>0.08800000000000001</v>
      </c>
      <c r="I20" s="35" t="n">
        <v>24394.6917866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5" t="inlineStr">
        <is>
          <t>PHÂN TÍCH RỦI RO LÃI SUẤT &amp; THANH KHOẢN (ALM)</t>
        </is>
      </c>
    </row>
    <row r="2">
      <c r="A2" s="3" t="inlineStr">
        <is>
          <t>Chưa đọc được 2 bảng khe hở lãi suất/thanh khoản từ BCTC kỳ này (thiếu OCR hoặc BCTC quý không soát xét, rút gọn thuyết minh) — chỉ có cơ cấu bảng cân đối bên dưới, tính thẳng từ số liệu Vietcap, không cần OCR.</t>
        </is>
      </c>
    </row>
    <row r="4">
      <c r="A4" s="46" t="inlineStr">
        <is>
          <t>A. RỦI RO LÃI SUẤT — Khe hở nhạy cảm lãi suất theo kỳ hạn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2026-09-08T15:58:51Z</dcterms:created>
  <dcterms:modified xmlns:dcterms="http://purl.org/dc/terms/" xmlns:xsi="http://www.w3.org/2001/XMLSchema-instance" xsi:type="dcterms:W3CDTF">2026-09-08T15:58:51Z</dcterms:modified>
</cp:coreProperties>
</file>