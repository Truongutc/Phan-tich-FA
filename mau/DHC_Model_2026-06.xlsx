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Trang bìa" sheetId="1" state="visible" r:id="rId3"/>
    <sheet name="02_Giả định" sheetId="2" state="visible" r:id="rId4"/>
    <sheet name="03_Doanh thu" sheetId="3" state="visible" r:id="rId5"/>
    <sheet name="04_KQKD" sheetId="4" state="visible" r:id="rId6"/>
    <sheet name="05_CĐKT" sheetId="5" state="visible" r:id="rId7"/>
    <sheet name="06_LCTT" sheetId="6" state="visible" r:id="rId8"/>
    <sheet name="07_Định giá" sheetId="7" state="visible" r:id="rId9"/>
    <sheet name="08_DCF" sheetId="8" state="visible" r:id="rId10"/>
    <sheet name="09_Nhạy cảm" sheetId="9" state="visible" r:id="rId11"/>
    <sheet name="10_Peers" sheetId="10" state="visible" r:id="rId12"/>
    <sheet name="11_PESTLE" sheetId="11" state="visible" r:id="rId13"/>
    <sheet name="12_Chỉ số" sheetId="12" state="visible" r:id="rId14"/>
    <sheet name="13_Theo dõi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<sst xmlns="http://schemas.openxmlformats.org/spreadsheetml/2006/main" count="529" uniqueCount="421">
  <si>
    <t xml:space="preserve">PHÂN TÍCH ĐẦU TƯ CỔ PHIẾU DHC</t>
  </si>
  <si>
    <t xml:space="preserve">Công ty Cổ phần Đông Hải Bến Tre  |  HOSE: DHC  |  Ngành Giấy &amp; Bao bì</t>
  </si>
  <si>
    <t xml:space="preserve">CHỈ TIÊU CHÍNH 2025A/2026E</t>
  </si>
  <si>
    <t xml:space="preserve">Ngày phân tích</t>
  </si>
  <si>
    <t xml:space="preserve">17/06/2026</t>
  </si>
  <si>
    <t xml:space="preserve">EPS 2025A (VNĐ/CP)</t>
  </si>
  <si>
    <t xml:space="preserve">3,988</t>
  </si>
  <si>
    <t xml:space="preserve">Sàn niêm yết</t>
  </si>
  <si>
    <t xml:space="preserve">HOSE</t>
  </si>
  <si>
    <t xml:space="preserve">EPS 2026E (VNĐ/CP)</t>
  </si>
  <si>
    <t xml:space="preserve">~4,400</t>
  </si>
  <si>
    <t xml:space="preserve">Khuyến nghị</t>
  </si>
  <si>
    <t xml:space="preserve">MUA / TÍCH LŨY</t>
  </si>
  <si>
    <t xml:space="preserve">P/E Forward</t>
  </si>
  <si>
    <t xml:space="preserve">8.3x</t>
  </si>
  <si>
    <t xml:space="preserve">Giá mục tiêu</t>
  </si>
  <si>
    <t xml:space="preserve">47,000 VNĐ/CP</t>
  </si>
  <si>
    <t xml:space="preserve">EV/EBITDA 2025A</t>
  </si>
  <si>
    <t xml:space="preserve">5.2x</t>
  </si>
  <si>
    <t xml:space="preserve">Giá thị trường</t>
  </si>
  <si>
    <t xml:space="preserve">36,600 VNĐ/CP</t>
  </si>
  <si>
    <t xml:space="preserve">ROE 2025A</t>
  </si>
  <si>
    <t xml:space="preserve">20.6%</t>
  </si>
  <si>
    <t xml:space="preserve">Vốn hóa thị trường</t>
  </si>
  <si>
    <t xml:space="preserve">3,535 tỷ VNĐ</t>
  </si>
  <si>
    <t xml:space="preserve">BVPS 2025A (VNĐ/CP)</t>
  </si>
  <si>
    <t xml:space="preserve">22,893</t>
  </si>
  <si>
    <t xml:space="preserve">Giá cao 52 tuần</t>
  </si>
  <si>
    <t xml:space="preserve">45,000 VNĐ</t>
  </si>
  <si>
    <t xml:space="preserve">Net Cash (tỷ VNĐ)</t>
  </si>
  <si>
    <t xml:space="preserve">253</t>
  </si>
  <si>
    <t xml:space="preserve">Giá thấp 52 tuần</t>
  </si>
  <si>
    <t xml:space="preserve">29,500 VNĐ</t>
  </si>
  <si>
    <t xml:space="preserve">Cổ tức (VNĐ/CP)</t>
  </si>
  <si>
    <t xml:space="preserve">2,000</t>
  </si>
  <si>
    <t xml:space="preserve">Phân tích viên</t>
  </si>
  <si>
    <t xml:space="preserve">Chuyên gia DHC</t>
  </si>
  <si>
    <t xml:space="preserve">Lưu ý: Mô hình chỉ mang tính tham khảo, không phải khuyến nghị đầu tư chính thức.</t>
  </si>
  <si>
    <t xml:space="preserve">GIẢ ĐỊNH &amp; THÔNG SỐ MÔ HÌNH</t>
  </si>
  <si>
    <t xml:space="preserve">Tham số</t>
  </si>
  <si>
    <t xml:space="preserve">2024A</t>
  </si>
  <si>
    <t xml:space="preserve">2025A</t>
  </si>
  <si>
    <t xml:space="preserve">2026E</t>
  </si>
  <si>
    <t xml:space="preserve">2027E</t>
  </si>
  <si>
    <t xml:space="preserve">Ghi chú</t>
  </si>
  <si>
    <t xml:space="preserve">A. DOANH THU — PHÂN MẢU VOLUME × GIÁ</t>
  </si>
  <si>
    <t xml:space="preserve">Sản lượng giấy cuộn (nghìn tấn)</t>
  </si>
  <si>
    <t xml:space="preserve">Giao Long 2 full công suất</t>
  </si>
  <si>
    <t xml:space="preserve">ASP giấy cuộn (triệu VNĐ/tấn)</t>
  </si>
  <si>
    <t xml:space="preserve">Kỳ vọng phục hồi giá giấy toàn cầu</t>
  </si>
  <si>
    <t xml:space="preserve">Doanh thu bao bì (tỷ VNĐ)</t>
  </si>
  <si>
    <t xml:space="preserve">Tăng trưởng mảng bao bì carton</t>
  </si>
  <si>
    <t xml:space="preserve">B. BIÊN LỢI NHUẬN &amp; CHI PHÍ</t>
  </si>
  <si>
    <t xml:space="preserve">Biên lợi nhuận gộp (%)</t>
  </si>
  <si>
    <t xml:space="preserve">Biên phục hồi nhờ giá giấy &amp; hiệu quả SX</t>
  </si>
  <si>
    <t xml:space="preserve">Chi phí SGA / Doanh thu (%)</t>
  </si>
  <si>
    <t xml:space="preserve">Kiểm soát chi phí ổn định</t>
  </si>
  <si>
    <t xml:space="preserve">Khấu hao &amp; phân bổ D&amp;A (tỷ VNĐ)</t>
  </si>
  <si>
    <t xml:space="preserve">Tăng nhẹ theo CAPEX đầu tư</t>
  </si>
  <si>
    <t xml:space="preserve">Lãi tài chính thuần (tỷ VNĐ)</t>
  </si>
  <si>
    <t xml:space="preserve">Lãi tiền gửi &amp; đầu tư TC ngắn hạn</t>
  </si>
  <si>
    <t xml:space="preserve">Thuế suất TNDN (%)</t>
  </si>
  <si>
    <t xml:space="preserve">Thuế suất chuẩn 20%</t>
  </si>
  <si>
    <t xml:space="preserve">C. ĐỊNH GIÁ — HỆ SỐ MỤC TIÊU</t>
  </si>
  <si>
    <t xml:space="preserve">Phương pháp</t>
  </si>
  <si>
    <t xml:space="preserve">Bear</t>
  </si>
  <si>
    <t xml:space="preserve">Base</t>
  </si>
  <si>
    <t xml:space="preserve">Bull</t>
  </si>
  <si>
    <t xml:space="preserve">P/E mục tiêu (lần)</t>
  </si>
  <si>
    <t xml:space="preserve">EV/EBITDA mục tiêu (lần)</t>
  </si>
  <si>
    <t xml:space="preserve">D. THÔNG SỐ DCF</t>
  </si>
  <si>
    <t xml:space="preserve">WACC (%)</t>
  </si>
  <si>
    <t xml:space="preserve"> = Chi phí vốn bình quân gia quyền</t>
  </si>
  <si>
    <t xml:space="preserve">Tốc độ tăng trưởng vĩnh viễn g (%)</t>
  </si>
  <si>
    <t xml:space="preserve"> = Dài hạn theo GDP danh nghĩa</t>
  </si>
  <si>
    <t xml:space="preserve">CAPEX 2026E (tỷ VNĐ)</t>
  </si>
  <si>
    <t xml:space="preserve">Đầu tư Giao Long 3 phase 1</t>
  </si>
  <si>
    <t xml:space="preserve">CAPEX 2027E (tỷ VNĐ)</t>
  </si>
  <si>
    <t xml:space="preserve">Tiếp tục đầu tư Giao Long 3</t>
  </si>
  <si>
    <t xml:space="preserve">Net Cash 2025A (tỷ VNĐ)</t>
  </si>
  <si>
    <t xml:space="preserve"> = 408+763-918 = 253 tỷ</t>
  </si>
  <si>
    <t xml:space="preserve">MÔ HÌNH DOANH THU — VOLUME × GIÁ BÁN</t>
  </si>
  <si>
    <t xml:space="preserve">Chỉ tiêu</t>
  </si>
  <si>
    <t xml:space="preserve">2022A</t>
  </si>
  <si>
    <t xml:space="preserve">2023A</t>
  </si>
  <si>
    <t xml:space="preserve">I. GIẤY CUỘN CÔNG NGHIỆP (Kraft Liner / Testliner / Fluting)</t>
  </si>
  <si>
    <t xml:space="preserve">  Sản lượng (nghìn tấn)</t>
  </si>
  <si>
    <t xml:space="preserve">  ASP bình quân (triệu VNĐ/tấn)</t>
  </si>
  <si>
    <t xml:space="preserve">  Doanh thu giấy cuộn (tỷ VNĐ)</t>
  </si>
  <si>
    <t xml:space="preserve">  Tăng trưởng DT giấy cuộn (YoY%)</t>
  </si>
  <si>
    <t xml:space="preserve">-</t>
  </si>
  <si>
    <t xml:space="preserve">II. BAO BÌ CARTON</t>
  </si>
  <si>
    <t xml:space="preserve">  Doanh thu bao bì (tỷ VNĐ)</t>
  </si>
  <si>
    <t xml:space="preserve">  Tăng trưởng bao bì (YoY%)</t>
  </si>
  <si>
    <t xml:space="preserve">III. TỔNG HỢP DOANH THU</t>
  </si>
  <si>
    <t xml:space="preserve">TỔNG DOANH THU (tỷ VNĐ)</t>
  </si>
  <si>
    <t xml:space="preserve">  Tăng trưởng DT tổng (YoY%)</t>
  </si>
  <si>
    <t xml:space="preserve">  Tỷ trọng bao bì / Tổng DT (%)</t>
  </si>
  <si>
    <t xml:space="preserve">KẾT QUẢ KINH DOANH (Tỷ VNĐ) — 2021–2027E</t>
  </si>
  <si>
    <t xml:space="preserve">2021A</t>
  </si>
  <si>
    <t xml:space="preserve">Doanh thu thuần (tỷ VNĐ)</t>
  </si>
  <si>
    <t xml:space="preserve">Giá vốn hàng bán (COGS)</t>
  </si>
  <si>
    <t xml:space="preserve">Lợi nhuận gộp</t>
  </si>
  <si>
    <t xml:space="preserve">  Biên lợi nhuận gộp (%)</t>
  </si>
  <si>
    <t xml:space="preserve">Chi phí bán hàng &amp; quản lý (SGA)</t>
  </si>
  <si>
    <t xml:space="preserve">EBIT</t>
  </si>
  <si>
    <t xml:space="preserve">  Biên EBIT (%)</t>
  </si>
  <si>
    <t xml:space="preserve">Khấu hao &amp; phân bổ (D&amp;A)</t>
  </si>
  <si>
    <t xml:space="preserve">EBITDA</t>
  </si>
  <si>
    <t xml:space="preserve">  Biên EBITDA (%)</t>
  </si>
  <si>
    <t xml:space="preserve">Lãi/(lỗ) tài chính thuần</t>
  </si>
  <si>
    <t xml:space="preserve">Lợi nhuận trước thuế (LNTT)</t>
  </si>
  <si>
    <t xml:space="preserve">Thuế TNDN</t>
  </si>
  <si>
    <t xml:space="preserve">LNST (cổ đông CTM)</t>
  </si>
  <si>
    <t xml:space="preserve">  Biên lợi nhuận ròng (%)</t>
  </si>
  <si>
    <t xml:space="preserve">  Tăng trưởng LNST (YoY%)</t>
  </si>
  <si>
    <t xml:space="preserve">Số CP lưu hành (triệu)</t>
  </si>
  <si>
    <t xml:space="preserve">EPS (VNĐ/CP)</t>
  </si>
  <si>
    <t xml:space="preserve">BẢNG CÂN ĐỐI KẾ TOÁN (Tỷ VNĐ)</t>
  </si>
  <si>
    <t xml:space="preserve">A. TÀI SẢN NGẮN HẠN</t>
  </si>
  <si>
    <t xml:space="preserve">  Tiền &amp; tương đương tiền</t>
  </si>
  <si>
    <t xml:space="preserve">  Đầu tư tài chính ngắn hạn</t>
  </si>
  <si>
    <t xml:space="preserve">  Phải thu khách hàng (AR)</t>
  </si>
  <si>
    <t xml:space="preserve">  Hàng tồn kho</t>
  </si>
  <si>
    <t xml:space="preserve">  Tài sản ngắn hạn khác</t>
  </si>
  <si>
    <t xml:space="preserve">TỔNG TÀI SẢN NGẮN HẠN</t>
  </si>
  <si>
    <t xml:space="preserve">B. TÀI SẢN DÀI HẠN</t>
  </si>
  <si>
    <t xml:space="preserve">  Tài sản cố định (PPE thuần)</t>
  </si>
  <si>
    <t xml:space="preserve">  Tài sản dài hạn khác</t>
  </si>
  <si>
    <t xml:space="preserve">TỔNG TÀI SẢN</t>
  </si>
  <si>
    <t xml:space="preserve">C. NỢ PHẢI TRẢ</t>
  </si>
  <si>
    <t xml:space="preserve">  Vay &amp; nợ thuê tài chính ngắn hạn</t>
  </si>
  <si>
    <t xml:space="preserve">  Phải trả người bán &amp; PTNB ngắn hạn</t>
  </si>
  <si>
    <t xml:space="preserve">  Nợ ngắn hạn khác</t>
  </si>
  <si>
    <t xml:space="preserve">TỔNG NỢ PHẢI TRẢ</t>
  </si>
  <si>
    <t xml:space="preserve">D. VỐN CHỦ SỞ HỮU</t>
  </si>
  <si>
    <t xml:space="preserve">  Vốn cổ phần</t>
  </si>
  <si>
    <t xml:space="preserve">  Lợi nhuận giữ lại &amp; thặng dư</t>
  </si>
  <si>
    <t xml:space="preserve">VCSH (cổ đông CTM)</t>
  </si>
  <si>
    <t xml:space="preserve">E. CHỈ TIÊU BỔ SUNG</t>
  </si>
  <si>
    <t xml:space="preserve">Net Cash = Tiền + ĐTTC NH - Vay NH</t>
  </si>
  <si>
    <t xml:space="preserve">BVPS (VNĐ/CP)</t>
  </si>
  <si>
    <t xml:space="preserve">LƯU CHUYỂN TIỀN TỆ (Tỷ VNĐ)</t>
  </si>
  <si>
    <t xml:space="preserve">A. HOẠT ĐỘNG KINH DOANH (CFO)</t>
  </si>
  <si>
    <t xml:space="preserve">  LNST</t>
  </si>
  <si>
    <t xml:space="preserve">  Điều chỉnh D&amp;A</t>
  </si>
  <si>
    <t xml:space="preserve">  Thay đổi vốn lưu động &amp; khác</t>
  </si>
  <si>
    <t xml:space="preserve">CFO (Lưu chuyển tiền thuần HĐKD)</t>
  </si>
  <si>
    <t xml:space="preserve">B. HOẠT ĐỘNG ĐẦU TƯ (CFI)</t>
  </si>
  <si>
    <t xml:space="preserve">  CAPEX (đầu tư TSCĐ)</t>
  </si>
  <si>
    <t xml:space="preserve">CFI (Lưu chuyển tiền HĐĐT)</t>
  </si>
  <si>
    <t xml:space="preserve">C. HOẠT ĐỘNG TÀI CHÍNH (CFF)</t>
  </si>
  <si>
    <t xml:space="preserve">  Vay ròng (phát hành - trả nợ)</t>
  </si>
  <si>
    <t xml:space="preserve">  Cổ tức đã trả</t>
  </si>
  <si>
    <t xml:space="preserve">CFF (Lưu chuyển tiền HĐTC)</t>
  </si>
  <si>
    <t xml:space="preserve">D. TỔNG HỢP &amp; FCF</t>
  </si>
  <si>
    <t xml:space="preserve">THAY ĐỔI TIỀN THUẦN</t>
  </si>
  <si>
    <t xml:space="preserve">FCF = CFO - CAPEX</t>
  </si>
  <si>
    <t xml:space="preserve">FCF trên mỗi cổ phiếu (VNĐ/CP)</t>
  </si>
  <si>
    <t xml:space="preserve">ĐỊNH GIÁ CỔ PHIẾU DHC</t>
  </si>
  <si>
    <t xml:space="preserve">THÔNG SỐ ĐẦU VÀO</t>
  </si>
  <si>
    <t xml:space="preserve">Giá thị trường hiện tại (VNĐ/CP)</t>
  </si>
  <si>
    <t xml:space="preserve">Số cổ phiếu lưu hành (triệu CP)</t>
  </si>
  <si>
    <t xml:space="preserve">PHƯƠNG PHÁP 1: P/E FORWARD</t>
  </si>
  <si>
    <t xml:space="preserve">Giá mục tiêu P/E (VNĐ/CP)</t>
  </si>
  <si>
    <t xml:space="preserve">PHƯƠNG PHÁP 2: EV/EBITDA FORWARD</t>
  </si>
  <si>
    <t xml:space="preserve">EBITDA 2026E (tỷ VNĐ)</t>
  </si>
  <si>
    <t xml:space="preserve">EV mục tiêu (tỷ VNĐ)</t>
  </si>
  <si>
    <t xml:space="preserve">Equity Value = EV + Net Cash (tỷ VNĐ)</t>
  </si>
  <si>
    <t xml:space="preserve">Giá mục tiêu EV/EBITDA (VNĐ/CP)</t>
  </si>
  <si>
    <t xml:space="preserve">TỔNG HỢP BLENDED (P/E 50% + EV/EBITDA 50%)</t>
  </si>
  <si>
    <t xml:space="preserve">Giá blended (VNĐ/CP)</t>
  </si>
  <si>
    <t xml:space="preserve">Upside / (Downside) vs giá hiện tại</t>
  </si>
  <si>
    <t xml:space="preserve">KHUYẾN NGHỊ</t>
  </si>
  <si>
    <t xml:space="preserve">TRÁNH / CHỜ</t>
  </si>
  <si>
    <t xml:space="preserve">MUA MẠNH</t>
  </si>
  <si>
    <t xml:space="preserve">PHÂN TÍCH DCF — DÒNG TIỀN CHIẾT KHẤU</t>
  </si>
  <si>
    <t xml:space="preserve">THÔNG SỐ DCF</t>
  </si>
  <si>
    <t xml:space="preserve">DỰ BÁO FCFF 2026E–2030E</t>
  </si>
  <si>
    <t xml:space="preserve">2028E</t>
  </si>
  <si>
    <t xml:space="preserve">2029E</t>
  </si>
  <si>
    <t xml:space="preserve">2030E</t>
  </si>
  <si>
    <t xml:space="preserve">EBIT (tỷ VNĐ)</t>
  </si>
  <si>
    <t xml:space="preserve">NOPAT = EBIT×(1−20%)</t>
  </si>
  <si>
    <t xml:space="preserve">(+) D&amp;A (tỷ VNĐ)</t>
  </si>
  <si>
    <t xml:space="preserve">(−) CAPEX (tỷ VNĐ)</t>
  </si>
  <si>
    <t xml:space="preserve">(−) Thay đổi NWC (tỷ VNĐ)</t>
  </si>
  <si>
    <t xml:space="preserve">FCFF (tỷ VNĐ)</t>
  </si>
  <si>
    <t xml:space="preserve">Hệ số chiết khấu</t>
  </si>
  <si>
    <t xml:space="preserve">PV(FCFF) (tỷ VNĐ)</t>
  </si>
  <si>
    <t xml:space="preserve">TÍNH TOÁN GIÁ TRỊ</t>
  </si>
  <si>
    <t xml:space="preserve">Tổng PV(FCFF) 2026–2030 (tỷ VNĐ)</t>
  </si>
  <si>
    <t xml:space="preserve">Terminal Value (tỷ VNĐ)</t>
  </si>
  <si>
    <t xml:space="preserve">PV(Terminal Value) (tỷ VNĐ)</t>
  </si>
  <si>
    <t xml:space="preserve">Enterprise Value (tỷ VNĐ)</t>
  </si>
  <si>
    <t xml:space="preserve">(+) Net Cash (tỷ VNĐ)</t>
  </si>
  <si>
    <t xml:space="preserve">Equity Value (tỷ VNĐ)</t>
  </si>
  <si>
    <t xml:space="preserve">Giá trị nội tại DCF/CP (VNĐ/CP)</t>
  </si>
  <si>
    <t xml:space="preserve">PHÂN TÍCH ĐỘ NHẠY</t>
  </si>
  <si>
    <t xml:space="preserve">BẢNG 1: ĐỊNH GIÁ THEO P/E × EPS 2026E</t>
  </si>
  <si>
    <t xml:space="preserve">P/E \ EPS (VNĐ)</t>
  </si>
  <si>
    <t xml:space="preserve">7x</t>
  </si>
  <si>
    <t xml:space="preserve">8x</t>
  </si>
  <si>
    <t xml:space="preserve">9x</t>
  </si>
  <si>
    <t xml:space="preserve">10x</t>
  </si>
  <si>
    <t xml:space="preserve">11x</t>
  </si>
  <si>
    <t xml:space="preserve">12x</t>
  </si>
  <si>
    <t xml:space="preserve">BẢNG 2: ĐỊNH GIÁ THEO EV/EBITDA × EBITDA 2026E</t>
  </si>
  <si>
    <t xml:space="preserve">EV/EBITDA \ EBITDA (tỷ)</t>
  </si>
  <si>
    <t xml:space="preserve">5x</t>
  </si>
  <si>
    <t xml:space="preserve">6x</t>
  </si>
  <si>
    <t xml:space="preserve">SO SÁNH CÔNG TY CÙNG NGÀNH</t>
  </si>
  <si>
    <t xml:space="preserve">Công ty</t>
  </si>
  <si>
    <t xml:space="preserve">Sàn</t>
  </si>
  <si>
    <t xml:space="preserve">Vốn hóa (tỷ)</t>
  </si>
  <si>
    <t xml:space="preserve">P/E</t>
  </si>
  <si>
    <t xml:space="preserve">EV/EBITDA</t>
  </si>
  <si>
    <t xml:space="preserve">Biên GP (%)</t>
  </si>
  <si>
    <t xml:space="preserve">ROE (%)</t>
  </si>
  <si>
    <t xml:space="preserve">DHC — Đông Hải BT</t>
  </si>
  <si>
    <t xml:space="preserve">16.2%</t>
  </si>
  <si>
    <t xml:space="preserve">Tiêu điểm phân tích</t>
  </si>
  <si>
    <t xml:space="preserve">SVI</t>
  </si>
  <si>
    <t xml:space="preserve">14.5%</t>
  </si>
  <si>
    <t xml:space="preserve">15.2%</t>
  </si>
  <si>
    <t xml:space="preserve">Bao bì sóng, cạnh tranh trực tiếp</t>
  </si>
  <si>
    <t xml:space="preserve">Saigon Paper (SAP)</t>
  </si>
  <si>
    <t xml:space="preserve">12.8%</t>
  </si>
  <si>
    <t xml:space="preserve">11.5%</t>
  </si>
  <si>
    <t xml:space="preserve">Giấy tissue &amp; offset</t>
  </si>
  <si>
    <t xml:space="preserve">SCG Packaging</t>
  </si>
  <si>
    <t xml:space="preserve">SET</t>
  </si>
  <si>
    <t xml:space="preserve">18.5%</t>
  </si>
  <si>
    <t xml:space="preserve">16.8%</t>
  </si>
  <si>
    <t xml:space="preserve">Tập đoàn bao bì Thái Lan</t>
  </si>
  <si>
    <t xml:space="preserve">Smurfit WestRock</t>
  </si>
  <si>
    <t xml:space="preserve">NYSE</t>
  </si>
  <si>
    <t xml:space="preserve">20.0%</t>
  </si>
  <si>
    <t xml:space="preserve">Global leader giấy bao bì</t>
  </si>
  <si>
    <t xml:space="preserve">Rengo Co.</t>
  </si>
  <si>
    <t xml:space="preserve">TSE</t>
  </si>
  <si>
    <t xml:space="preserve">17.5%</t>
  </si>
  <si>
    <t xml:space="preserve">14.0%</t>
  </si>
  <si>
    <t xml:space="preserve">Nhật Bản — tương đồng model</t>
  </si>
  <si>
    <t xml:space="preserve">Trung bình peers VN</t>
  </si>
  <si>
    <t xml:space="preserve">—</t>
  </si>
  <si>
    <t xml:space="preserve">13.7%</t>
  </si>
  <si>
    <t xml:space="preserve">13.4%</t>
  </si>
  <si>
    <t xml:space="preserve">Bình quân đơn giản DHC/SVI/SAP</t>
  </si>
  <si>
    <t xml:space="preserve">Định giá DHC vs peers: P/E &amp; EV/EBITDA thấp hơn trung bình ngành → Còn dư địa nâng hệ số định giá</t>
  </si>
  <si>
    <t xml:space="preserve">PHÂN TÍCH PESTLE — BỐI CẢNH VĨ MÔ</t>
  </si>
  <si>
    <t xml:space="preserve">Nhân tố</t>
  </si>
  <si>
    <t xml:space="preserve">Tích cực / Cơ hội</t>
  </si>
  <si>
    <t xml:space="preserve">Rủi ro / Thách thức</t>
  </si>
  <si>
    <t xml:space="preserve">Đánh giá net</t>
  </si>
  <si>
    <t xml:space="preserve">Chính trị (Political)</t>
  </si>
  <si>
    <t xml:space="preserve">Việt Nam ổn định chính trị; chính sách ủng hộ công nghiệp hóa, khu công nghiệp phát triển mạnh</t>
  </si>
  <si>
    <t xml:space="preserve">Căng thẳng thương mại Mỹ-Trung; rủi ro thuế quan với hàng XK sang Mỹ</t>
  </si>
  <si>
    <t xml:space="preserve">TÍCH CỰC</t>
  </si>
  <si>
    <t xml:space="preserve">Kinh tế (Economic)</t>
  </si>
  <si>
    <t xml:space="preserve">GDP VN tăng 6–7%/năm; TMĐT tăng trưởng 25%+/năm thúc đẩy nhu cầu bao bì</t>
  </si>
  <si>
    <t xml:space="preserve">Lạm phát chi phí giấy OCC; biến động tỷ giá ảnh hưởng nhập khẩu nguyên liệu</t>
  </si>
  <si>
    <t xml:space="preserve">Xã hội (Social)</t>
  </si>
  <si>
    <t xml:space="preserve">Xu hướng tiêu dùng online bùng nổ; dân số trung lưu tăng → nhu cầu đóng gói cao</t>
  </si>
  <si>
    <t xml:space="preserve">Áp lực chuyển đổi xanh; người tiêu dùng kỳ vọng bao bì thân thiện môi trường</t>
  </si>
  <si>
    <t xml:space="preserve">TRUNG LẬP</t>
  </si>
  <si>
    <t xml:space="preserve">Công nghệ (Technology)</t>
  </si>
  <si>
    <t xml:space="preserve">Tự động hóa sản xuất nâng cao năng suất; Giao Long 3 ứng dụng công nghệ mới</t>
  </si>
  <si>
    <t xml:space="preserve">Đầu tư CAPEX lớn cho R&amp;D; rủi ro lỗi thời máy móc nếu không đổi mới kịp</t>
  </si>
  <si>
    <t xml:space="preserve">Pháp lý (Legal)</t>
  </si>
  <si>
    <t xml:space="preserve">EPR 2025 → cơ hội mở rộng mảng tái chế; quy định bao bì tạo rào cản gia nhập ngành</t>
  </si>
  <si>
    <t xml:space="preserve">Chi phí tuân thủ EPR tăng; yêu cầu tái chế ≥50% có thể ảnh hưởng biên lợi nhuận</t>
  </si>
  <si>
    <t xml:space="preserve">Môi trường (Environment)</t>
  </si>
  <si>
    <t xml:space="preserve">DHC dùng giấy tái chế OCC → lợi thế xanh; chứng chỉ FSC/ISO nâng cao uy tín</t>
  </si>
  <si>
    <t xml:space="preserve">Biến đổi khí hậu; quy định phát thải CO₂ ngày càng chặt chẽ hơn</t>
  </si>
  <si>
    <t xml:space="preserve">NET PESTLE</t>
  </si>
  <si>
    <t xml:space="preserve">4/6 nhân tố Tích cực; Kinh tế &amp; Công nghệ là 2 động lực chính</t>
  </si>
  <si>
    <t xml:space="preserve">Rủi ro kiểm soát được; chủ yếu từ thuế quan &amp; chi phí nguyên liệu</t>
  </si>
  <si>
    <t xml:space="preserve">CÁC CHỈ SỐ TÀI CHÍNH</t>
  </si>
  <si>
    <t xml:space="preserve">Chỉ số</t>
  </si>
  <si>
    <t xml:space="preserve">A. CHỈ SỐ TĂNG TRƯỞNG (YoY%)</t>
  </si>
  <si>
    <t xml:space="preserve">Tăng trưởng DT</t>
  </si>
  <si>
    <t xml:space="preserve">Tăng trưởng GP</t>
  </si>
  <si>
    <t xml:space="preserve">Tăng trưởng EBITDA</t>
  </si>
  <si>
    <t xml:space="preserve">Tăng trưởng LNST</t>
  </si>
  <si>
    <t xml:space="preserve">B. CHỈ SỐ SINH LỜI (%)</t>
  </si>
  <si>
    <t xml:space="preserve">Biên lợi nhuận gộp</t>
  </si>
  <si>
    <t xml:space="preserve">Biên EBITDA</t>
  </si>
  <si>
    <t xml:space="preserve">Biên lợi nhuận ròng</t>
  </si>
  <si>
    <t xml:space="preserve">ROIC (%)</t>
  </si>
  <si>
    <t xml:space="preserve">C. ĐÒN BẨY TÀI CHÍNH</t>
  </si>
  <si>
    <t xml:space="preserve">D/E (Tổng nợ / VCSH)</t>
  </si>
  <si>
    <t xml:space="preserve">Net Debt/EBITDA</t>
  </si>
  <si>
    <t xml:space="preserve">D. THANH KHOẢN</t>
  </si>
  <si>
    <t xml:space="preserve">Current Ratio (TSngắn hạn / Nợ NH)</t>
  </si>
  <si>
    <t xml:space="preserve">Quick Ratio ((Tiền+ĐTTC+AR) / Nợ NH)</t>
  </si>
  <si>
    <t xml:space="preserve">E. CHỈ SỐ ĐỊNH GIÁ (dùng giá 36,600 VNĐ)</t>
  </si>
  <si>
    <t xml:space="preserve">P/E trailing</t>
  </si>
  <si>
    <t xml:space="preserve">P/B (Price/Book Value)</t>
  </si>
  <si>
    <t xml:space="preserve">Dividend Yield (%)</t>
  </si>
  <si>
    <t xml:space="preserve">THEO DÕI ĐẦU TƯ — DHC (CÁC YẾU TỐ CẦN CẬP NHẬT ĐỊNH KỲ)</t>
  </si>
  <si>
    <t xml:space="preserve">Màu ngưỡng: 🟢 Tốt = giữ thesis  |  🟡 Trung lập = theo dõi sát  |  🔴 Xấu = xem xét lại khuyến nghị</t>
  </si>
  <si>
    <t xml:space="preserve">A. CHỈ SỐ VĨ MÔ &amp; NGÀNH</t>
  </si>
  <si>
    <t xml:space="preserve">Chỉ số / Yếu tố</t>
  </si>
  <si>
    <t xml:space="preserve">Giá trị hiện tại</t>
  </si>
  <si>
    <t xml:space="preserve">Ngưỡng tốt 🟢</t>
  </si>
  <si>
    <t xml:space="preserve">Ngưỡng trung lập 🟡</t>
  </si>
  <si>
    <t xml:space="preserve">Ngưỡng xấu 🔴</t>
  </si>
  <si>
    <t xml:space="preserve">Ý nghĩa / Hành động</t>
  </si>
  <si>
    <t xml:space="preserve">Tần suất</t>
  </si>
  <si>
    <t xml:space="preserve">Giá giấy OCC (USD/tấn)</t>
  </si>
  <si>
    <t xml:space="preserve">~120–140</t>
  </si>
  <si>
    <t xml:space="preserve">≥ 120 &amp; ≤ 140</t>
  </si>
  <si>
    <t xml:space="preserve">100–120 hoặc 140–160</t>
  </si>
  <si>
    <t xml:space="preserve">&lt; 100 hoặc &gt; 160</t>
  </si>
  <si>
    <t xml:space="preserve">Chi phí nguyên liệu chính (~60% COGS)</t>
  </si>
  <si>
    <t xml:space="preserve">Hàng tháng</t>
  </si>
  <si>
    <t xml:space="preserve">ASP giấy cuộn VN (tr VNĐ/tấn)</t>
  </si>
  <si>
    <t xml:space="preserve">~9.3</t>
  </si>
  <si>
    <t xml:space="preserve">≥ 10.0</t>
  </si>
  <si>
    <t xml:space="preserve">9.0–10.0</t>
  </si>
  <si>
    <t xml:space="preserve">&lt; 9.0</t>
  </si>
  <si>
    <t xml:space="preserve">Doanh thu giảm nếu ASP xuống dưới 9.0</t>
  </si>
  <si>
    <t xml:space="preserve">Hàng quý</t>
  </si>
  <si>
    <t xml:space="preserve">XNK hàng hóa VN (tỷ USD)</t>
  </si>
  <si>
    <t xml:space="preserve">~380</t>
  </si>
  <si>
    <t xml:space="preserve">≥ 380</t>
  </si>
  <si>
    <t xml:space="preserve">350–380</t>
  </si>
  <si>
    <t xml:space="preserve">&lt; 350</t>
  </si>
  <si>
    <t xml:space="preserve">Nhu cầu bao bì xuất khẩu</t>
  </si>
  <si>
    <t xml:space="preserve">GDP Việt Nam (YoY%)</t>
  </si>
  <si>
    <t xml:space="preserve">~6.5%</t>
  </si>
  <si>
    <t xml:space="preserve">≥ 6.5%</t>
  </si>
  <si>
    <t xml:space="preserve">5.0–6.5%</t>
  </si>
  <si>
    <t xml:space="preserve">&lt; 5.0%</t>
  </si>
  <si>
    <t xml:space="preserve">Tiêu dùng nội địa &amp; TMĐT giảm</t>
  </si>
  <si>
    <t xml:space="preserve">Tỷ giá USD/VNĐ</t>
  </si>
  <si>
    <t xml:space="preserve">~25,500</t>
  </si>
  <si>
    <t xml:space="preserve">23,000–26,000</t>
  </si>
  <si>
    <t xml:space="preserve">26,000–27,000</t>
  </si>
  <si>
    <t xml:space="preserve">&gt; 27,000</t>
  </si>
  <si>
    <t xml:space="preserve">Chi phí NK máy móc, nguyên liệu tăng</t>
  </si>
  <si>
    <t xml:space="preserve">Hàng ngày</t>
  </si>
  <si>
    <t xml:space="preserve">B. BCTC DOANH NGHIỆP (cập nhật sau mỗi quý)</t>
  </si>
  <si>
    <t xml:space="preserve">Doanh thu YoY%</t>
  </si>
  <si>
    <t xml:space="preserve">[quý gần nhất]</t>
  </si>
  <si>
    <t xml:space="preserve">&gt; +10%</t>
  </si>
  <si>
    <t xml:space="preserve">0% → +10%</t>
  </si>
  <si>
    <t xml:space="preserve">&lt; 0%</t>
  </si>
  <si>
    <t xml:space="preserve">Tín hiệu tăng trưởng volume + giá</t>
  </si>
  <si>
    <t xml:space="preserve">LNST YoY%</t>
  </si>
  <si>
    <t xml:space="preserve">&gt; +15%</t>
  </si>
  <si>
    <t xml:space="preserve">0% → +15%</t>
  </si>
  <si>
    <t xml:space="preserve">Sức khỏe lợi nhuận cốt lõi</t>
  </si>
  <si>
    <t xml:space="preserve">~16%</t>
  </si>
  <si>
    <t xml:space="preserve">&gt; 15%</t>
  </si>
  <si>
    <t xml:space="preserve">12–15%</t>
  </si>
  <si>
    <t xml:space="preserve">&lt; 12%</t>
  </si>
  <si>
    <t xml:space="preserve">Kiểm soát COGS &amp; định giá đầu ra</t>
  </si>
  <si>
    <t xml:space="preserve">~1.3x</t>
  </si>
  <si>
    <t xml:space="preserve">&lt; 1.0x</t>
  </si>
  <si>
    <t xml:space="preserve">1.0–2.0x</t>
  </si>
  <si>
    <t xml:space="preserve">&gt; 2.0x</t>
  </si>
  <si>
    <t xml:space="preserve">Rủi ro đòn bẩy tài chính</t>
  </si>
  <si>
    <t xml:space="preserve">Doanh thu mảng bao bì (tỷ)</t>
  </si>
  <si>
    <t xml:space="preserve">~726</t>
  </si>
  <si>
    <t xml:space="preserve">≥ 726</t>
  </si>
  <si>
    <t xml:space="preserve">600–726</t>
  </si>
  <si>
    <t xml:space="preserve">&lt; 600</t>
  </si>
  <si>
    <t xml:space="preserve">Động lực tăng trưởng chính 2026</t>
  </si>
  <si>
    <t xml:space="preserve">CAPEX thực tế (tỷ/năm)</t>
  </si>
  <si>
    <t xml:space="preserve">[năm hiện tại]</t>
  </si>
  <si>
    <t xml:space="preserve">&lt; 400</t>
  </si>
  <si>
    <t xml:space="preserve">400–500</t>
  </si>
  <si>
    <t xml:space="preserve">&gt; 500</t>
  </si>
  <si>
    <t xml:space="preserve">Giao Long 3 — rủi ro overrun vốn</t>
  </si>
  <si>
    <t xml:space="preserve">Hàng năm</t>
  </si>
  <si>
    <t xml:space="preserve">C. CATALYST THEO DÕI</t>
  </si>
  <si>
    <t xml:space="preserve">Sự kiện / Catalyst</t>
  </si>
  <si>
    <t xml:space="preserve">Thời điểm</t>
  </si>
  <si>
    <t xml:space="preserve">Xác suất</t>
  </si>
  <si>
    <t xml:space="preserve">Tác động</t>
  </si>
  <si>
    <t xml:space="preserve">Loại</t>
  </si>
  <si>
    <t xml:space="preserve">Giao Long 3 phase 1 khởi công</t>
  </si>
  <si>
    <t xml:space="preserve">Q2/2028</t>
  </si>
  <si>
    <t xml:space="preserve">Trung bình</t>
  </si>
  <si>
    <t xml:space="preserve">Nâng công suất 50%</t>
  </si>
  <si>
    <t xml:space="preserve">Tích cực</t>
  </si>
  <si>
    <t xml:space="preserve">Catalyst dài hạn lớn nhất</t>
  </si>
  <si>
    <t xml:space="preserve">KQKD Q2/2026 công bố</t>
  </si>
  <si>
    <t xml:space="preserve">T8/2026</t>
  </si>
  <si>
    <t xml:space="preserve">Cao</t>
  </si>
  <si>
    <t xml:space="preserve">Xác nhận luận điểm đầu tư</t>
  </si>
  <si>
    <t xml:space="preserve">Theo dõi biên GP &amp; tăng trưởng bao bì</t>
  </si>
  <si>
    <t xml:space="preserve">Chi trả cổ tức 2025 (2,000 VNĐ)</t>
  </si>
  <si>
    <t xml:space="preserve">Q3/2026</t>
  </si>
  <si>
    <t xml:space="preserve">Yield 5.5% tại giá 36,600</t>
  </si>
  <si>
    <t xml:space="preserve">Đã được ĐHCĐ thông qua</t>
  </si>
  <si>
    <t xml:space="preserve">Diễn biến thuế quan Mỹ (tariff)</t>
  </si>
  <si>
    <t xml:space="preserve">2026–2027</t>
  </si>
  <si>
    <t xml:space="preserve">Giảm XK → cầu bao bì giảm</t>
  </si>
  <si>
    <t xml:space="preserve">Tiêu cực</t>
  </si>
  <si>
    <t xml:space="preserve">Rủi ro gián tiếp qua khách hàng xuất khẩu</t>
  </si>
  <si>
    <t xml:space="preserve">EPR 2025 triển khai</t>
  </si>
  <si>
    <t xml:space="preserve">2026</t>
  </si>
  <si>
    <t xml:space="preserve">Chi phí tuân thủ tăng; rào cản gia nhập tốt</t>
  </si>
  <si>
    <t xml:space="preserve">Trung lập</t>
  </si>
  <si>
    <t xml:space="preserve">Tác động hai chiều</t>
  </si>
  <si>
    <t xml:space="preserve">D. ĐIỀU KIỆN ĐÁNH GIÁ LẠI KHUYẾN NGHỊ</t>
  </si>
  <si>
    <t xml:space="preserve">HẠ XUỐNG TRUNG LẬP / BÁN NẾU:</t>
  </si>
  <si>
    <t xml:space="preserve">  •  LNST 2 quý liên tiếp thấp hơn kịch bản Bear &gt; 20%</t>
  </si>
  <si>
    <t xml:space="preserve">  •  Biên LN gộp giảm dưới 12% và duy trì &gt; 2 quý</t>
  </si>
  <si>
    <t xml:space="preserve">  •  ASP giấy cuộn xuống dưới 9.0 tr/tấn và giá OCC &gt; 160 USD/tấn đồng thời</t>
  </si>
  <si>
    <t xml:space="preserve">  •  CAPEX Giao Long 3 vượt 600 tỷ/năm (overrun &gt; 20% kế hoạch)</t>
  </si>
  <si>
    <t xml:space="preserve">  •  Catalyst chính (Giao Long 3) bị hoãn hơn 12 tháng so với kế hoạch</t>
  </si>
  <si>
    <t xml:space="preserve">NÂNG LÊN MUA MẠNH NẾU:</t>
  </si>
  <si>
    <t xml:space="preserve">  •  LNST 2026E vượt kịch bản Bull (&gt;500 tỷ) nhờ ASP phục hồi + bao bì tăng mạnh</t>
  </si>
  <si>
    <t xml:space="preserve">  •  Biên LN gộp duy trì trên 17% trong 2 quý liên tiếp</t>
  </si>
  <si>
    <t xml:space="preserve">  •  Doanh thu bao bì đạt &gt; 1,000 tỷ trước Q4/2026</t>
  </si>
  <si>
    <t xml:space="preserve">  •  Thông báo Giao Long 3 khởi công sớm hơn kế hoạch &gt; 6 tháng</t>
  </si>
  <si>
    <t xml:space="preserve">  •  Giá CP giảm về vùng 28,000–30,000 VNĐ (P/E &lt; 8x trailing)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</si>
</sst>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"/>
    <numFmt numFmtId="167" formatCode="0.0%"/>
    <numFmt numFmtId="168" formatCode="0.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B05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sz val="10"/>
      <color rgb="FF00B050"/>
      <name val="Calibri"/>
      <family val="0"/>
      <charset val="1"/>
    </font>
    <font>
      <i val="true"/>
      <sz val="10"/>
      <color rgb="FF00B05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i val="true"/>
      <sz val="10"/>
      <color rgb="FF9C6500"/>
      <name val="Calibri"/>
      <family val="0"/>
      <charset val="1"/>
    </font>
    <font>
      <sz val="10"/>
      <color rgb="FFFFFFFF"/>
      <name val="Calibri"/>
      <family val="0"/>
      <charset val="1"/>
    </font>
    <font>
      <sz val="10"/>
      <color rgb="FF2E75B6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"/>
    <col collapsed="false" customWidth="true" hidden="false" outlineLevel="0" max="3" min="3" style="1" width="28"/>
    <col collapsed="false" customWidth="true" hidden="false" outlineLevel="0" max="7" min="4" style="1" width="18"/>
    <col collapsed="false" customWidth="true" hidden="false" outlineLevel="0" max="8" min="8" style="1" width="3"/>
  </cols>
  <sheetData>
    <row r="1" customFormat="false" ht="7.5" hidden="false" customHeight="true" outlineLevel="0" collapsed="false"/>
    <row r="2" customFormat="false" ht="60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13.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5" t="s">
        <v>3</v>
      </c>
      <c r="C5" s="6" t="s">
        <v>4</v>
      </c>
      <c r="E5" s="5" t="s">
        <v>5</v>
      </c>
      <c r="F5" s="6" t="s">
        <v>6</v>
      </c>
      <c r="G5" s="7"/>
    </row>
    <row r="6" customFormat="false" ht="15" hidden="false" customHeight="true" outlineLevel="0" collapsed="false">
      <c r="B6" s="5" t="s">
        <v>7</v>
      </c>
      <c r="C6" s="6" t="s">
        <v>8</v>
      </c>
      <c r="E6" s="5" t="s">
        <v>9</v>
      </c>
      <c r="F6" s="6" t="s">
        <v>10</v>
      </c>
      <c r="G6" s="7"/>
    </row>
    <row r="7" customFormat="false" ht="15" hidden="false" customHeight="true" outlineLevel="0" collapsed="false">
      <c r="B7" s="5" t="s">
        <v>11</v>
      </c>
      <c r="C7" s="8" t="s">
        <v>12</v>
      </c>
      <c r="E7" s="5" t="s">
        <v>13</v>
      </c>
      <c r="F7" s="6" t="s">
        <v>14</v>
      </c>
      <c r="G7" s="7"/>
    </row>
    <row r="8" customFormat="false" ht="15" hidden="false" customHeight="true" outlineLevel="0" collapsed="false">
      <c r="B8" s="5" t="s">
        <v>15</v>
      </c>
      <c r="C8" s="6" t="s">
        <v>16</v>
      </c>
      <c r="E8" s="5" t="s">
        <v>17</v>
      </c>
      <c r="F8" s="6" t="s">
        <v>18</v>
      </c>
      <c r="G8" s="7"/>
    </row>
    <row r="9" customFormat="false" ht="15" hidden="false" customHeight="true" outlineLevel="0" collapsed="false">
      <c r="B9" s="5" t="s">
        <v>19</v>
      </c>
      <c r="C9" s="6" t="s">
        <v>20</v>
      </c>
      <c r="E9" s="5" t="s">
        <v>21</v>
      </c>
      <c r="F9" s="6" t="s">
        <v>22</v>
      </c>
      <c r="G9" s="7"/>
    </row>
    <row r="10" customFormat="false" ht="15" hidden="false" customHeight="true" outlineLevel="0" collapsed="false">
      <c r="B10" s="5" t="s">
        <v>23</v>
      </c>
      <c r="C10" s="6" t="s">
        <v>24</v>
      </c>
      <c r="E10" s="5" t="s">
        <v>25</v>
      </c>
      <c r="F10" s="6" t="s">
        <v>26</v>
      </c>
      <c r="G10" s="7"/>
    </row>
    <row r="11" customFormat="false" ht="15" hidden="false" customHeight="true" outlineLevel="0" collapsed="false">
      <c r="B11" s="5" t="s">
        <v>27</v>
      </c>
      <c r="C11" s="6" t="s">
        <v>28</v>
      </c>
      <c r="E11" s="5" t="s">
        <v>29</v>
      </c>
      <c r="F11" s="6" t="s">
        <v>30</v>
      </c>
      <c r="G11" s="7"/>
    </row>
    <row r="12" customFormat="false" ht="15" hidden="false" customHeight="true" outlineLevel="0" collapsed="false">
      <c r="B12" s="5" t="s">
        <v>31</v>
      </c>
      <c r="C12" s="6" t="s">
        <v>32</v>
      </c>
      <c r="E12" s="5" t="s">
        <v>33</v>
      </c>
      <c r="F12" s="6" t="s">
        <v>34</v>
      </c>
      <c r="G12" s="7"/>
    </row>
    <row r="13" customFormat="false" ht="15" hidden="false" customHeight="true" outlineLevel="0" collapsed="false">
      <c r="B13" s="5" t="s">
        <v>35</v>
      </c>
      <c r="C13" s="6" t="s">
        <v>36</v>
      </c>
    </row>
    <row r="16" customFormat="false" ht="15" hidden="false" customHeight="true" outlineLevel="0" collapsed="false">
      <c r="B16" s="9" t="s">
        <v>37</v>
      </c>
      <c r="C16" s="9"/>
      <c r="D16" s="9"/>
      <c r="E16" s="9"/>
      <c r="F16" s="9"/>
      <c r="G16" s="9"/>
    </row>
  </sheetData>
  <mergeCells count="4">
    <mergeCell ref="B2:G2"/>
    <mergeCell ref="B3:G3"/>
    <mergeCell ref="B4:G4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6" min="3" style="1" width="12"/>
    <col collapsed="false" customWidth="true" hidden="false" outlineLevel="0" max="7" min="7" style="1" width="28"/>
  </cols>
  <sheetData>
    <row r="1" customFormat="false" ht="15.75" hidden="false" customHeight="true" outlineLevel="0" collapsed="false">
      <c r="B1" s="10" t="s">
        <v>38</v>
      </c>
      <c r="C1" s="10"/>
      <c r="D1" s="10"/>
      <c r="E1" s="10"/>
      <c r="F1" s="10"/>
      <c r="G1" s="10"/>
    </row>
    <row r="2" customFormat="false" ht="15" hidden="false" customHeight="true" outlineLevel="0" collapsed="false">
      <c r="B2" s="11" t="s">
        <v>39</v>
      </c>
      <c r="C2" s="11" t="s">
        <v>40</v>
      </c>
      <c r="D2" s="11" t="s">
        <v>41</v>
      </c>
      <c r="E2" s="11" t="s">
        <v>42</v>
      </c>
      <c r="F2" s="11" t="s">
        <v>43</v>
      </c>
      <c r="G2" s="11" t="s">
        <v>44</v>
      </c>
    </row>
    <row r="3" customFormat="false" ht="13.5" hidden="false" customHeight="true" outlineLevel="0" collapsed="false">
      <c r="B3" s="12" t="s">
        <v>45</v>
      </c>
      <c r="C3" s="12"/>
      <c r="D3" s="12"/>
      <c r="E3" s="12"/>
      <c r="F3" s="12"/>
      <c r="G3" s="12"/>
    </row>
    <row r="4" customFormat="false" ht="15" hidden="false" customHeight="true" outlineLevel="0" collapsed="false">
      <c r="B4" s="7" t="s">
        <v>46</v>
      </c>
      <c r="C4" s="13" t="n">
        <v>305</v>
      </c>
      <c r="D4" s="13" t="n">
        <v>313</v>
      </c>
      <c r="E4" s="14" t="n">
        <v>320</v>
      </c>
      <c r="F4" s="14" t="n">
        <v>330</v>
      </c>
      <c r="G4" s="15" t="s">
        <v>47</v>
      </c>
    </row>
    <row r="5" customFormat="false" ht="15" hidden="false" customHeight="true" outlineLevel="0" collapsed="false">
      <c r="B5" s="7" t="s">
        <v>48</v>
      </c>
      <c r="C5" s="13" t="n">
        <v>10.37</v>
      </c>
      <c r="D5" s="13" t="n">
        <v>9.28</v>
      </c>
      <c r="E5" s="14" t="n">
        <v>10.4</v>
      </c>
      <c r="F5" s="14" t="n">
        <v>11</v>
      </c>
      <c r="G5" s="15" t="s">
        <v>49</v>
      </c>
    </row>
    <row r="6" customFormat="false" ht="15" hidden="false" customHeight="true" outlineLevel="0" collapsed="false">
      <c r="B6" s="7" t="s">
        <v>50</v>
      </c>
      <c r="C6" s="16" t="n">
        <v>434</v>
      </c>
      <c r="D6" s="16" t="n">
        <v>726</v>
      </c>
      <c r="E6" s="17" t="n">
        <v>871</v>
      </c>
      <c r="F6" s="17" t="n">
        <v>1000</v>
      </c>
      <c r="G6" s="15" t="s">
        <v>51</v>
      </c>
    </row>
    <row r="7" customFormat="false" ht="13.5" hidden="false" customHeight="true" outlineLevel="0" collapsed="false">
      <c r="B7" s="12" t="s">
        <v>52</v>
      </c>
      <c r="C7" s="12"/>
      <c r="D7" s="12"/>
      <c r="E7" s="12"/>
      <c r="F7" s="12"/>
      <c r="G7" s="12"/>
    </row>
    <row r="8" customFormat="false" ht="15" hidden="false" customHeight="true" outlineLevel="0" collapsed="false">
      <c r="B8" s="7" t="s">
        <v>53</v>
      </c>
      <c r="C8" s="18" t="n">
        <v>0.118432026688907</v>
      </c>
      <c r="D8" s="18" t="n">
        <v>0.161663453594051</v>
      </c>
      <c r="E8" s="19" t="n">
        <v>0.165</v>
      </c>
      <c r="F8" s="19" t="n">
        <v>0.17</v>
      </c>
      <c r="G8" s="15" t="s">
        <v>54</v>
      </c>
    </row>
    <row r="9" customFormat="false" ht="15" hidden="false" customHeight="true" outlineLevel="0" collapsed="false">
      <c r="B9" s="7" t="s">
        <v>55</v>
      </c>
      <c r="C9" s="18" t="n">
        <v>0.0457</v>
      </c>
      <c r="D9" s="18" t="n">
        <v>0.0343</v>
      </c>
      <c r="E9" s="19" t="n">
        <v>0.045</v>
      </c>
      <c r="F9" s="19" t="n">
        <v>0.043</v>
      </c>
      <c r="G9" s="15" t="s">
        <v>56</v>
      </c>
    </row>
    <row r="10" customFormat="false" ht="15" hidden="false" customHeight="true" outlineLevel="0" collapsed="false">
      <c r="B10" s="7" t="s">
        <v>57</v>
      </c>
      <c r="C10" s="16" t="n">
        <v>105</v>
      </c>
      <c r="D10" s="16" t="n">
        <v>111</v>
      </c>
      <c r="E10" s="17" t="n">
        <v>115</v>
      </c>
      <c r="F10" s="17" t="n">
        <v>120</v>
      </c>
      <c r="G10" s="15" t="s">
        <v>58</v>
      </c>
    </row>
    <row r="11" customFormat="false" ht="15" hidden="false" customHeight="true" outlineLevel="0" collapsed="false">
      <c r="B11" s="7" t="s">
        <v>59</v>
      </c>
      <c r="C11" s="16" t="n">
        <v>6</v>
      </c>
      <c r="D11" s="16" t="n">
        <v>33</v>
      </c>
      <c r="E11" s="17" t="n">
        <v>45</v>
      </c>
      <c r="F11" s="17" t="n">
        <v>50</v>
      </c>
      <c r="G11" s="15" t="s">
        <v>60</v>
      </c>
    </row>
    <row r="12" customFormat="false" ht="15" hidden="false" customHeight="true" outlineLevel="0" collapsed="false">
      <c r="B12" s="7" t="s">
        <v>61</v>
      </c>
      <c r="C12" s="18" t="n">
        <v>0.132616487455197</v>
      </c>
      <c r="D12" s="18" t="n">
        <v>0.140043763676149</v>
      </c>
      <c r="E12" s="19" t="n">
        <v>0.2</v>
      </c>
      <c r="F12" s="19" t="n">
        <v>0.2</v>
      </c>
      <c r="G12" s="15" t="s">
        <v>62</v>
      </c>
    </row>
    <row r="13" customFormat="false" ht="13.5" hidden="false" customHeight="true" outlineLevel="0" collapsed="false">
      <c r="B13" s="12" t="s">
        <v>63</v>
      </c>
      <c r="C13" s="12"/>
      <c r="D13" s="12"/>
      <c r="E13" s="12"/>
      <c r="F13" s="12"/>
      <c r="G13" s="12"/>
    </row>
    <row r="14" customFormat="false" ht="15" hidden="false" customHeight="true" outlineLevel="0" collapsed="false">
      <c r="B14" s="20" t="s">
        <v>64</v>
      </c>
      <c r="C14" s="20" t="s">
        <v>65</v>
      </c>
      <c r="D14" s="20" t="s">
        <v>66</v>
      </c>
      <c r="E14" s="20" t="s">
        <v>67</v>
      </c>
      <c r="F14" s="21"/>
      <c r="G14" s="21"/>
    </row>
    <row r="15" customFormat="false" ht="15" hidden="false" customHeight="true" outlineLevel="0" collapsed="false">
      <c r="B15" s="7" t="s">
        <v>68</v>
      </c>
      <c r="C15" s="22" t="n">
        <v>7</v>
      </c>
      <c r="D15" s="23" t="n">
        <v>10</v>
      </c>
      <c r="E15" s="24" t="n">
        <v>13</v>
      </c>
      <c r="F15" s="14" t="n">
        <v>7</v>
      </c>
      <c r="G15" s="14" t="n">
        <v>10</v>
      </c>
    </row>
    <row r="16" customFormat="false" ht="15" hidden="false" customHeight="true" outlineLevel="0" collapsed="false">
      <c r="B16" s="7" t="s">
        <v>69</v>
      </c>
      <c r="C16" s="22" t="n">
        <v>6</v>
      </c>
      <c r="D16" s="23" t="n">
        <v>8</v>
      </c>
      <c r="E16" s="24" t="n">
        <v>10</v>
      </c>
      <c r="F16" s="14" t="n">
        <v>6</v>
      </c>
      <c r="G16" s="14" t="n">
        <v>8</v>
      </c>
    </row>
    <row r="17" customFormat="false" ht="13.5" hidden="false" customHeight="true" outlineLevel="0" collapsed="false">
      <c r="B17" s="12" t="s">
        <v>70</v>
      </c>
      <c r="C17" s="12"/>
      <c r="D17" s="12"/>
      <c r="E17" s="12"/>
      <c r="F17" s="12"/>
      <c r="G17" s="12"/>
    </row>
    <row r="18" customFormat="false" ht="15" hidden="false" customHeight="true" outlineLevel="0" collapsed="false">
      <c r="B18" s="7" t="s">
        <v>71</v>
      </c>
      <c r="E18" s="19" t="n">
        <v>0.12</v>
      </c>
      <c r="G18" s="15" t="s">
        <v>72</v>
      </c>
    </row>
    <row r="19" customFormat="false" ht="15" hidden="false" customHeight="true" outlineLevel="0" collapsed="false">
      <c r="B19" s="7" t="s">
        <v>73</v>
      </c>
      <c r="E19" s="19" t="n">
        <v>0.03</v>
      </c>
      <c r="G19" s="15" t="s">
        <v>74</v>
      </c>
    </row>
    <row r="20" customFormat="false" ht="15" hidden="false" customHeight="true" outlineLevel="0" collapsed="false">
      <c r="B20" s="7" t="s">
        <v>75</v>
      </c>
      <c r="E20" s="17" t="n">
        <v>350</v>
      </c>
      <c r="G20" s="15" t="s">
        <v>76</v>
      </c>
    </row>
    <row r="21" customFormat="false" ht="15" hidden="false" customHeight="true" outlineLevel="0" collapsed="false">
      <c r="B21" s="7" t="s">
        <v>77</v>
      </c>
      <c r="E21" s="17" t="n">
        <v>400</v>
      </c>
      <c r="G21" s="15" t="s">
        <v>78</v>
      </c>
    </row>
    <row r="22" customFormat="false" ht="15" hidden="false" customHeight="true" outlineLevel="0" collapsed="false">
      <c r="B22" s="7" t="s">
        <v>79</v>
      </c>
      <c r="E22" s="17" t="n">
        <v>253</v>
      </c>
      <c r="G22" s="15" t="s">
        <v>80</v>
      </c>
    </row>
  </sheetData>
  <mergeCells count="5">
    <mergeCell ref="B1:G1"/>
    <mergeCell ref="B3:G3"/>
    <mergeCell ref="B7:G7"/>
    <mergeCell ref="B13:G13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8" min="3" style="1" width="12"/>
  </cols>
  <sheetData>
    <row r="1" customFormat="false" ht="15.75" hidden="false" customHeight="true" outlineLevel="0" collapsed="false">
      <c r="B1" s="10" t="s">
        <v>81</v>
      </c>
      <c r="C1" s="10"/>
      <c r="D1" s="10"/>
      <c r="E1" s="10"/>
      <c r="F1" s="10"/>
      <c r="G1" s="10"/>
      <c r="H1" s="10"/>
    </row>
    <row r="2" customFormat="false" ht="15" hidden="false" customHeight="true" outlineLevel="0" collapsed="false">
      <c r="B2" s="11" t="s">
        <v>82</v>
      </c>
      <c r="C2" s="11" t="s">
        <v>83</v>
      </c>
      <c r="D2" s="11" t="s">
        <v>84</v>
      </c>
      <c r="E2" s="11" t="s">
        <v>40</v>
      </c>
      <c r="F2" s="11" t="s">
        <v>41</v>
      </c>
      <c r="G2" s="11" t="s">
        <v>42</v>
      </c>
      <c r="H2" s="11" t="s">
        <v>43</v>
      </c>
    </row>
    <row r="3" customFormat="false" ht="13.5" hidden="false" customHeight="true" outlineLevel="0" collapsed="false">
      <c r="B3" s="12" t="s">
        <v>85</v>
      </c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B4" s="7" t="s">
        <v>86</v>
      </c>
      <c r="C4" s="13" t="n">
        <v>297</v>
      </c>
      <c r="D4" s="13" t="n">
        <v>295</v>
      </c>
      <c r="E4" s="13" t="n">
        <v>305</v>
      </c>
      <c r="F4" s="13" t="n">
        <v>313</v>
      </c>
      <c r="G4" s="14" t="n">
        <v>320</v>
      </c>
      <c r="H4" s="14" t="n">
        <v>330</v>
      </c>
    </row>
    <row r="5" customFormat="false" ht="15" hidden="false" customHeight="true" outlineLevel="0" collapsed="false">
      <c r="B5" s="7" t="s">
        <v>87</v>
      </c>
      <c r="C5" s="13" t="n">
        <v>11.42</v>
      </c>
      <c r="D5" s="13" t="n">
        <v>10.07</v>
      </c>
      <c r="E5" s="13" t="n">
        <v>10.37</v>
      </c>
      <c r="F5" s="13" t="n">
        <v>9.28</v>
      </c>
      <c r="G5" s="14" t="n">
        <v>10.4</v>
      </c>
      <c r="H5" s="14" t="n">
        <v>11</v>
      </c>
    </row>
    <row r="6" customFormat="false" ht="15" hidden="false" customHeight="true" outlineLevel="0" collapsed="false">
      <c r="B6" s="25" t="s">
        <v>88</v>
      </c>
      <c r="C6" s="26" t="n">
        <v>3392</v>
      </c>
      <c r="D6" s="26" t="n">
        <v>2971</v>
      </c>
      <c r="E6" s="26" t="n">
        <v>3163</v>
      </c>
      <c r="F6" s="26" t="n">
        <v>2905</v>
      </c>
      <c r="G6" s="16" t="n">
        <f aca="false">G4*G5</f>
        <v>3328</v>
      </c>
      <c r="H6" s="16" t="n">
        <f aca="false">H4*H5</f>
        <v>3630</v>
      </c>
    </row>
    <row r="7" customFormat="false" ht="15" hidden="false" customHeight="true" outlineLevel="0" collapsed="false">
      <c r="B7" s="7" t="s">
        <v>89</v>
      </c>
      <c r="C7" s="27" t="s">
        <v>90</v>
      </c>
      <c r="D7" s="18" t="n">
        <v>-0.124151615395048</v>
      </c>
      <c r="E7" s="18" t="n">
        <v>0.0646996448588692</v>
      </c>
      <c r="F7" s="18" t="n">
        <v>-0.0816383957506679</v>
      </c>
      <c r="G7" s="18" t="n">
        <f aca="false">(G6-F6)/F6</f>
        <v>0.145611015490534</v>
      </c>
      <c r="H7" s="18" t="n">
        <f aca="false">(H6-G6)/G6</f>
        <v>0.0907451923076923</v>
      </c>
    </row>
    <row r="8" customFormat="false" ht="13.5" hidden="false" customHeight="true" outlineLevel="0" collapsed="false">
      <c r="B8" s="12" t="s">
        <v>91</v>
      </c>
      <c r="C8" s="12"/>
      <c r="D8" s="12"/>
      <c r="E8" s="12"/>
      <c r="F8" s="12"/>
      <c r="G8" s="12"/>
      <c r="H8" s="12"/>
    </row>
    <row r="9" customFormat="false" ht="15" hidden="false" customHeight="true" outlineLevel="0" collapsed="false">
      <c r="B9" s="7" t="s">
        <v>92</v>
      </c>
      <c r="C9" s="16" t="n">
        <v>340</v>
      </c>
      <c r="D9" s="16" t="n">
        <v>286</v>
      </c>
      <c r="E9" s="16" t="n">
        <v>434</v>
      </c>
      <c r="F9" s="16" t="n">
        <v>726</v>
      </c>
      <c r="G9" s="17" t="n">
        <v>871</v>
      </c>
      <c r="H9" s="17" t="n">
        <v>1000</v>
      </c>
    </row>
    <row r="10" customFormat="false" ht="15" hidden="false" customHeight="true" outlineLevel="0" collapsed="false">
      <c r="B10" s="7" t="s">
        <v>93</v>
      </c>
      <c r="C10" s="27" t="s">
        <v>90</v>
      </c>
      <c r="D10" s="18" t="n">
        <v>-0.158823529411765</v>
      </c>
      <c r="E10" s="18" t="n">
        <v>0.517482517482518</v>
      </c>
      <c r="F10" s="18" t="n">
        <v>0.672811059907834</v>
      </c>
      <c r="G10" s="18" t="n">
        <f aca="false">(G9-F9)/F9</f>
        <v>0.199724517906336</v>
      </c>
      <c r="H10" s="18" t="n">
        <f aca="false">(H9-G9)/G9</f>
        <v>0.148105625717566</v>
      </c>
    </row>
    <row r="11" customFormat="false" ht="13.5" hidden="false" customHeight="true" outlineLevel="0" collapsed="false">
      <c r="B11" s="12" t="s">
        <v>94</v>
      </c>
      <c r="C11" s="12"/>
      <c r="D11" s="12"/>
      <c r="E11" s="12"/>
      <c r="F11" s="12"/>
      <c r="G11" s="12"/>
      <c r="H11" s="12"/>
    </row>
    <row r="12" customFormat="false" ht="15" hidden="false" customHeight="true" outlineLevel="0" collapsed="false">
      <c r="B12" s="4" t="s">
        <v>95</v>
      </c>
      <c r="C12" s="26" t="n">
        <v>3732</v>
      </c>
      <c r="D12" s="26" t="n">
        <v>3257</v>
      </c>
      <c r="E12" s="26" t="n">
        <v>3597</v>
      </c>
      <c r="F12" s="26" t="n">
        <v>3631</v>
      </c>
      <c r="G12" s="16" t="n">
        <f aca="false">G6+G9</f>
        <v>4199</v>
      </c>
      <c r="H12" s="16" t="n">
        <f aca="false">H6+H9</f>
        <v>4630</v>
      </c>
    </row>
    <row r="13" customFormat="false" ht="15" hidden="false" customHeight="true" outlineLevel="0" collapsed="false">
      <c r="B13" s="7" t="s">
        <v>96</v>
      </c>
      <c r="C13" s="27" t="s">
        <v>90</v>
      </c>
      <c r="D13" s="18" t="n">
        <v>-0.127277599142551</v>
      </c>
      <c r="E13" s="18" t="n">
        <v>0.104390543444888</v>
      </c>
      <c r="F13" s="18" t="n">
        <v>0.00945232137892688</v>
      </c>
      <c r="G13" s="18" t="n">
        <f aca="false">(G12-F12)/F12</f>
        <v>0.156430735334619</v>
      </c>
      <c r="H13" s="18" t="n">
        <f aca="false">(H12-G12)/G12</f>
        <v>0.102643486544415</v>
      </c>
    </row>
    <row r="14" customFormat="false" ht="15" hidden="false" customHeight="true" outlineLevel="0" collapsed="false">
      <c r="B14" s="7" t="s">
        <v>97</v>
      </c>
      <c r="C14" s="18" t="n">
        <v>0.0911039657020364</v>
      </c>
      <c r="D14" s="18" t="n">
        <v>0.0878108688977587</v>
      </c>
      <c r="E14" s="18" t="n">
        <v>0.120656102307479</v>
      </c>
      <c r="F14" s="18" t="n">
        <v>0.199944918755164</v>
      </c>
      <c r="G14" s="18" t="n">
        <f aca="false">G9/G12</f>
        <v>0.207430340557276</v>
      </c>
      <c r="H14" s="18" t="n">
        <f aca="false">H9/H12</f>
        <v>0.215982721382289</v>
      </c>
    </row>
  </sheetData>
  <mergeCells count="4">
    <mergeCell ref="B1:H1"/>
    <mergeCell ref="B3:H3"/>
    <mergeCell ref="B8:H8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9" min="3" style="1" width="11"/>
  </cols>
  <sheetData>
    <row r="1" customFormat="false" ht="15.75" hidden="false" customHeight="true" outlineLevel="0" collapsed="false">
      <c r="B1" s="10" t="s">
        <v>98</v>
      </c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B2" s="11" t="s">
        <v>82</v>
      </c>
      <c r="C2" s="11" t="s">
        <v>99</v>
      </c>
      <c r="D2" s="11" t="s">
        <v>83</v>
      </c>
      <c r="E2" s="11" t="s">
        <v>84</v>
      </c>
      <c r="F2" s="11" t="s">
        <v>40</v>
      </c>
      <c r="G2" s="11" t="s">
        <v>41</v>
      </c>
      <c r="H2" s="11" t="s">
        <v>42</v>
      </c>
      <c r="I2" s="11" t="s">
        <v>43</v>
      </c>
    </row>
    <row r="3" customFormat="false" ht="15" hidden="false" customHeight="true" outlineLevel="0" collapsed="false">
      <c r="B3" s="5" t="s">
        <v>100</v>
      </c>
      <c r="C3" s="26" t="n">
        <v>4164</v>
      </c>
      <c r="D3" s="26" t="n">
        <v>3935</v>
      </c>
      <c r="E3" s="26" t="n">
        <v>3259</v>
      </c>
      <c r="F3" s="26" t="n">
        <v>3597</v>
      </c>
      <c r="G3" s="26" t="n">
        <v>3631</v>
      </c>
      <c r="H3" s="16" t="n">
        <f aca="false">'03_Doanh thu'!G12</f>
        <v>4199</v>
      </c>
      <c r="I3" s="16" t="n">
        <f aca="false">'03_Doanh thu'!H12</f>
        <v>4630</v>
      </c>
    </row>
    <row r="4" customFormat="false" ht="15" hidden="false" customHeight="true" outlineLevel="0" collapsed="false">
      <c r="B4" s="7" t="s">
        <v>101</v>
      </c>
      <c r="C4" s="16" t="n">
        <v>3492</v>
      </c>
      <c r="D4" s="16" t="n">
        <v>3324</v>
      </c>
      <c r="E4" s="16" t="n">
        <v>2755</v>
      </c>
      <c r="F4" s="16" t="n">
        <v>3170</v>
      </c>
      <c r="G4" s="16" t="n">
        <v>3044</v>
      </c>
      <c r="H4" s="16" t="n">
        <f aca="false">H3*(1-'02_Giả định'!E8)</f>
        <v>3506.165</v>
      </c>
      <c r="I4" s="16" t="n">
        <f aca="false">I3*(1-'02_Giả định'!F8)</f>
        <v>3842.9</v>
      </c>
    </row>
    <row r="5" customFormat="false" ht="15" hidden="false" customHeight="true" outlineLevel="0" collapsed="false">
      <c r="B5" s="5" t="s">
        <v>102</v>
      </c>
      <c r="C5" s="26" t="n">
        <v>672</v>
      </c>
      <c r="D5" s="26" t="n">
        <v>611</v>
      </c>
      <c r="E5" s="26" t="n">
        <v>504</v>
      </c>
      <c r="F5" s="26" t="n">
        <v>426</v>
      </c>
      <c r="G5" s="26" t="n">
        <v>587</v>
      </c>
      <c r="H5" s="16" t="n">
        <f aca="false">H3-H4</f>
        <v>692.835</v>
      </c>
      <c r="I5" s="16" t="n">
        <f aca="false">I3-I4</f>
        <v>787.1</v>
      </c>
    </row>
    <row r="6" customFormat="false" ht="15" hidden="false" customHeight="true" outlineLevel="0" collapsed="false">
      <c r="B6" s="7" t="s">
        <v>103</v>
      </c>
      <c r="C6" s="18" t="n">
        <v>0.161383285302594</v>
      </c>
      <c r="D6" s="18" t="n">
        <v>0.155273189326557</v>
      </c>
      <c r="E6" s="18" t="n">
        <v>0.154648665234735</v>
      </c>
      <c r="F6" s="18" t="n">
        <v>0.118432026688907</v>
      </c>
      <c r="G6" s="18" t="n">
        <v>0.161663453594051</v>
      </c>
      <c r="H6" s="18" t="n">
        <f aca="false">H5/H3</f>
        <v>0.165</v>
      </c>
      <c r="I6" s="18" t="n">
        <f aca="false">I5/I3</f>
        <v>0.17</v>
      </c>
    </row>
    <row r="7" customFormat="false" ht="15" hidden="false" customHeight="true" outlineLevel="0" collapsed="false">
      <c r="B7" s="7" t="s">
        <v>104</v>
      </c>
      <c r="C7" s="16" t="n">
        <v>161</v>
      </c>
      <c r="D7" s="16" t="n">
        <v>158</v>
      </c>
      <c r="E7" s="16" t="n">
        <v>146</v>
      </c>
      <c r="F7" s="16" t="n">
        <v>153</v>
      </c>
      <c r="G7" s="16" t="n">
        <v>163</v>
      </c>
      <c r="H7" s="16" t="n">
        <f aca="false">H3*'02_Giả định'!E9</f>
        <v>188.955</v>
      </c>
      <c r="I7" s="16" t="n">
        <f aca="false">I3*'02_Giả định'!F9</f>
        <v>199.09</v>
      </c>
    </row>
    <row r="8" customFormat="false" ht="15" hidden="false" customHeight="true" outlineLevel="0" collapsed="false">
      <c r="B8" s="7" t="s">
        <v>105</v>
      </c>
      <c r="C8" s="16" t="n">
        <v>511</v>
      </c>
      <c r="D8" s="16" t="n">
        <v>453</v>
      </c>
      <c r="E8" s="16" t="n">
        <v>358</v>
      </c>
      <c r="F8" s="16" t="n">
        <v>274</v>
      </c>
      <c r="G8" s="16" t="n">
        <v>424</v>
      </c>
      <c r="H8" s="16" t="n">
        <f aca="false">H5-H7</f>
        <v>503.88</v>
      </c>
      <c r="I8" s="16" t="n">
        <f aca="false">I5-I7</f>
        <v>588.01</v>
      </c>
    </row>
    <row r="9" customFormat="false" ht="15" hidden="false" customHeight="true" outlineLevel="0" collapsed="false">
      <c r="B9" s="7" t="s">
        <v>106</v>
      </c>
      <c r="C9" s="18" t="n">
        <v>0.122718539865514</v>
      </c>
      <c r="D9" s="18" t="n">
        <v>0.115120711562897</v>
      </c>
      <c r="E9" s="18" t="n">
        <v>0.109849647131022</v>
      </c>
      <c r="F9" s="18" t="n">
        <v>0.0761745899360578</v>
      </c>
      <c r="G9" s="18" t="n">
        <v>0.116772239052603</v>
      </c>
      <c r="H9" s="18" t="n">
        <f aca="false">H8/H3</f>
        <v>0.12</v>
      </c>
      <c r="I9" s="18" t="n">
        <f aca="false">I8/I3</f>
        <v>0.127</v>
      </c>
    </row>
    <row r="10" customFormat="false" ht="15" hidden="false" customHeight="true" outlineLevel="0" collapsed="false">
      <c r="B10" s="7" t="s">
        <v>107</v>
      </c>
      <c r="C10" s="16" t="n">
        <v>103</v>
      </c>
      <c r="D10" s="16" t="n">
        <v>101</v>
      </c>
      <c r="E10" s="16" t="n">
        <v>102</v>
      </c>
      <c r="F10" s="16" t="n">
        <v>105</v>
      </c>
      <c r="G10" s="16" t="n">
        <v>111</v>
      </c>
      <c r="H10" s="16" t="n">
        <f aca="false">'02_Giả định'!E10</f>
        <v>115</v>
      </c>
      <c r="I10" s="16" t="n">
        <f aca="false">'02_Giả định'!F10</f>
        <v>120</v>
      </c>
    </row>
    <row r="11" customFormat="false" ht="15" hidden="false" customHeight="true" outlineLevel="0" collapsed="false">
      <c r="B11" s="5" t="s">
        <v>108</v>
      </c>
      <c r="C11" s="26" t="n">
        <v>613</v>
      </c>
      <c r="D11" s="26" t="n">
        <v>554</v>
      </c>
      <c r="E11" s="26" t="n">
        <v>460</v>
      </c>
      <c r="F11" s="26" t="n">
        <v>379</v>
      </c>
      <c r="G11" s="26" t="n">
        <v>535</v>
      </c>
      <c r="H11" s="16" t="n">
        <f aca="false">H8+H10</f>
        <v>618.88</v>
      </c>
      <c r="I11" s="16" t="n">
        <f aca="false">I8+I10</f>
        <v>708.01</v>
      </c>
    </row>
    <row r="12" customFormat="false" ht="15" hidden="false" customHeight="true" outlineLevel="0" collapsed="false">
      <c r="B12" s="7" t="s">
        <v>109</v>
      </c>
      <c r="C12" s="18" t="n">
        <v>0.147214217098943</v>
      </c>
      <c r="D12" s="18" t="n">
        <v>0.140787801778907</v>
      </c>
      <c r="E12" s="18" t="n">
        <v>0.14114759128567</v>
      </c>
      <c r="F12" s="18" t="n">
        <v>0.105365582429803</v>
      </c>
      <c r="G12" s="18" t="n">
        <v>0.147342329936657</v>
      </c>
      <c r="H12" s="18" t="n">
        <f aca="false">H11/H3</f>
        <v>0.147387473207907</v>
      </c>
      <c r="I12" s="18" t="n">
        <f aca="false">I11/I3</f>
        <v>0.152917926565875</v>
      </c>
    </row>
    <row r="13" customFormat="false" ht="15" hidden="false" customHeight="true" outlineLevel="0" collapsed="false">
      <c r="B13" s="7" t="s">
        <v>110</v>
      </c>
      <c r="C13" s="16" t="n">
        <v>1</v>
      </c>
      <c r="D13" s="16" t="n">
        <v>-16</v>
      </c>
      <c r="E13" s="16" t="n">
        <v>0</v>
      </c>
      <c r="F13" s="16" t="n">
        <v>6</v>
      </c>
      <c r="G13" s="16" t="n">
        <v>33</v>
      </c>
      <c r="H13" s="16" t="n">
        <f aca="false">'02_Giả định'!E11</f>
        <v>45</v>
      </c>
      <c r="I13" s="16" t="n">
        <f aca="false">'02_Giả định'!F11</f>
        <v>50</v>
      </c>
    </row>
    <row r="14" customFormat="false" ht="15" hidden="false" customHeight="true" outlineLevel="0" collapsed="false">
      <c r="B14" s="7" t="s">
        <v>111</v>
      </c>
      <c r="C14" s="16" t="n">
        <v>512</v>
      </c>
      <c r="D14" s="16" t="n">
        <v>437</v>
      </c>
      <c r="E14" s="16" t="n">
        <v>358</v>
      </c>
      <c r="F14" s="16" t="n">
        <v>279</v>
      </c>
      <c r="G14" s="16" t="n">
        <v>457</v>
      </c>
      <c r="H14" s="16" t="n">
        <f aca="false">H8+H13</f>
        <v>548.88</v>
      </c>
      <c r="I14" s="16" t="n">
        <f aca="false">I8+I13</f>
        <v>638.01</v>
      </c>
    </row>
    <row r="15" customFormat="false" ht="15" hidden="false" customHeight="true" outlineLevel="0" collapsed="false">
      <c r="B15" s="7" t="s">
        <v>112</v>
      </c>
      <c r="C15" s="16" t="n">
        <v>31</v>
      </c>
      <c r="D15" s="16" t="n">
        <v>57</v>
      </c>
      <c r="E15" s="16" t="n">
        <v>48</v>
      </c>
      <c r="F15" s="16" t="n">
        <v>37</v>
      </c>
      <c r="G15" s="16" t="n">
        <v>64</v>
      </c>
      <c r="H15" s="16" t="n">
        <f aca="false">H14*'02_Giả định'!E12</f>
        <v>109.776</v>
      </c>
      <c r="I15" s="16" t="n">
        <f aca="false">I14*'02_Giả định'!F12</f>
        <v>127.602</v>
      </c>
    </row>
    <row r="16" customFormat="false" ht="15" hidden="false" customHeight="true" outlineLevel="0" collapsed="false">
      <c r="B16" s="5" t="s">
        <v>113</v>
      </c>
      <c r="C16" s="26" t="n">
        <v>481</v>
      </c>
      <c r="D16" s="26" t="n">
        <v>379</v>
      </c>
      <c r="E16" s="26" t="n">
        <v>309</v>
      </c>
      <c r="F16" s="26" t="n">
        <v>242</v>
      </c>
      <c r="G16" s="26" t="n">
        <v>393</v>
      </c>
      <c r="H16" s="16" t="n">
        <f aca="false">H14-H15</f>
        <v>439.104</v>
      </c>
      <c r="I16" s="16" t="n">
        <f aca="false">I14-I15</f>
        <v>510.408</v>
      </c>
    </row>
    <row r="17" customFormat="false" ht="15" hidden="false" customHeight="true" outlineLevel="0" collapsed="false">
      <c r="B17" s="7" t="s">
        <v>114</v>
      </c>
      <c r="C17" s="18" t="n">
        <v>0.115513928914505</v>
      </c>
      <c r="D17" s="18" t="n">
        <v>0.0963151207115629</v>
      </c>
      <c r="E17" s="18" t="n">
        <v>0.0948143602332004</v>
      </c>
      <c r="F17" s="18" t="n">
        <v>0.0672782874617737</v>
      </c>
      <c r="G17" s="18" t="n">
        <v>0.108234646103002</v>
      </c>
      <c r="H17" s="18" t="n">
        <f aca="false">H16/H3</f>
        <v>0.10457346987378</v>
      </c>
      <c r="I17" s="18" t="n">
        <f aca="false">I16/I3</f>
        <v>0.110239308855292</v>
      </c>
    </row>
    <row r="18" customFormat="false" ht="15" hidden="false" customHeight="true" outlineLevel="0" collapsed="false">
      <c r="B18" s="7" t="s">
        <v>115</v>
      </c>
      <c r="C18" s="27" t="s">
        <v>90</v>
      </c>
      <c r="D18" s="18" t="n">
        <v>-0.212058212058212</v>
      </c>
      <c r="E18" s="18" t="n">
        <v>-0.184696569920844</v>
      </c>
      <c r="F18" s="18" t="n">
        <v>-0.216828478964401</v>
      </c>
      <c r="G18" s="18" t="n">
        <v>0.62396694214876</v>
      </c>
      <c r="H18" s="18" t="n">
        <f aca="false">(H16-G16)/G16</f>
        <v>0.117312977099237</v>
      </c>
      <c r="I18" s="18" t="n">
        <f aca="false">(I16-H16)/H16</f>
        <v>0.162385220813293</v>
      </c>
    </row>
    <row r="19" customFormat="false" ht="15" hidden="false" customHeight="true" outlineLevel="0" collapsed="false">
      <c r="B19" s="7" t="s">
        <v>116</v>
      </c>
      <c r="C19" s="13" t="n">
        <v>96.59</v>
      </c>
      <c r="D19" s="13" t="n">
        <v>96.59</v>
      </c>
      <c r="E19" s="13" t="n">
        <v>96.59</v>
      </c>
      <c r="F19" s="13" t="n">
        <v>96.59</v>
      </c>
      <c r="G19" s="13" t="n">
        <v>96.59</v>
      </c>
      <c r="H19" s="13" t="n">
        <v>96.59</v>
      </c>
      <c r="I19" s="13" t="n">
        <v>96.59</v>
      </c>
    </row>
    <row r="20" customFormat="false" ht="15" hidden="false" customHeight="true" outlineLevel="0" collapsed="false">
      <c r="B20" s="7" t="s">
        <v>117</v>
      </c>
      <c r="C20" s="16" t="n">
        <v>4884</v>
      </c>
      <c r="D20" s="16" t="n">
        <v>3850</v>
      </c>
      <c r="E20" s="16" t="n">
        <v>3107</v>
      </c>
      <c r="F20" s="16" t="n">
        <v>2460</v>
      </c>
      <c r="G20" s="16" t="n">
        <v>3988</v>
      </c>
      <c r="H20" s="16" t="n">
        <f aca="false">H16/H19*1000</f>
        <v>4546.0606688063</v>
      </c>
      <c r="I20" s="16" t="n">
        <f aca="false">I16/I19*1000</f>
        <v>5284.27373434103</v>
      </c>
    </row>
  </sheetData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7" min="3" style="1" width="12"/>
  </cols>
  <sheetData>
    <row r="1" customFormat="false" ht="15.75" hidden="false" customHeight="true" outlineLevel="0" collapsed="false">
      <c r="B1" s="10" t="s">
        <v>118</v>
      </c>
      <c r="C1" s="10"/>
      <c r="D1" s="10"/>
      <c r="E1" s="10"/>
      <c r="F1" s="10"/>
      <c r="G1" s="10"/>
    </row>
    <row r="2" customFormat="false" ht="15" hidden="false" customHeight="true" outlineLevel="0" collapsed="false">
      <c r="B2" s="11" t="s">
        <v>82</v>
      </c>
      <c r="C2" s="11" t="s">
        <v>84</v>
      </c>
      <c r="D2" s="11" t="s">
        <v>40</v>
      </c>
      <c r="E2" s="11" t="s">
        <v>41</v>
      </c>
      <c r="F2" s="11" t="s">
        <v>42</v>
      </c>
      <c r="G2" s="11" t="s">
        <v>43</v>
      </c>
    </row>
    <row r="3" customFormat="false" ht="13.5" hidden="false" customHeight="true" outlineLevel="0" collapsed="false">
      <c r="B3" s="12" t="s">
        <v>119</v>
      </c>
      <c r="C3" s="12"/>
      <c r="D3" s="12"/>
      <c r="E3" s="12"/>
      <c r="F3" s="12"/>
      <c r="G3" s="12"/>
    </row>
    <row r="4" customFormat="false" ht="15" hidden="false" customHeight="true" outlineLevel="0" collapsed="false">
      <c r="B4" s="7" t="s">
        <v>120</v>
      </c>
      <c r="C4" s="16" t="n">
        <v>247</v>
      </c>
      <c r="D4" s="16" t="n">
        <v>571</v>
      </c>
      <c r="E4" s="16" t="n">
        <v>408</v>
      </c>
      <c r="F4" s="16" t="n">
        <f aca="false">E4*1.05</f>
        <v>428.4</v>
      </c>
      <c r="G4" s="16" t="n">
        <f aca="false">F4*1.05</f>
        <v>449.82</v>
      </c>
    </row>
    <row r="5" customFormat="false" ht="15" hidden="false" customHeight="true" outlineLevel="0" collapsed="false">
      <c r="B5" s="7" t="s">
        <v>121</v>
      </c>
      <c r="C5" s="16" t="n">
        <v>101</v>
      </c>
      <c r="D5" s="16" t="n">
        <v>337</v>
      </c>
      <c r="E5" s="16" t="n">
        <v>763</v>
      </c>
      <c r="F5" s="16" t="n">
        <f aca="false">E5*1.05</f>
        <v>801.15</v>
      </c>
      <c r="G5" s="16" t="n">
        <f aca="false">F5*1.05</f>
        <v>841.2075</v>
      </c>
    </row>
    <row r="6" customFormat="false" ht="15" hidden="false" customHeight="true" outlineLevel="0" collapsed="false">
      <c r="B6" s="7" t="s">
        <v>122</v>
      </c>
      <c r="C6" s="16" t="n">
        <v>626</v>
      </c>
      <c r="D6" s="16" t="n">
        <v>696</v>
      </c>
      <c r="E6" s="16" t="n">
        <v>751</v>
      </c>
      <c r="F6" s="16" t="n">
        <f aca="false">E6*1.05</f>
        <v>788.55</v>
      </c>
      <c r="G6" s="16" t="n">
        <f aca="false">F6*1.05</f>
        <v>827.9775</v>
      </c>
    </row>
    <row r="7" customFormat="false" ht="15" hidden="false" customHeight="true" outlineLevel="0" collapsed="false">
      <c r="B7" s="7" t="s">
        <v>123</v>
      </c>
      <c r="C7" s="16" t="n">
        <v>504</v>
      </c>
      <c r="D7" s="16" t="n">
        <v>524</v>
      </c>
      <c r="E7" s="16" t="n">
        <v>492</v>
      </c>
      <c r="F7" s="16" t="n">
        <f aca="false">E7*1.05</f>
        <v>516.6</v>
      </c>
      <c r="G7" s="16" t="n">
        <f aca="false">F7*1.05</f>
        <v>542.43</v>
      </c>
    </row>
    <row r="8" customFormat="false" ht="15" hidden="false" customHeight="true" outlineLevel="0" collapsed="false">
      <c r="B8" s="7" t="s">
        <v>124</v>
      </c>
      <c r="C8" s="16" t="n">
        <v>100</v>
      </c>
      <c r="D8" s="16" t="n">
        <v>113</v>
      </c>
      <c r="E8" s="16" t="n">
        <v>165</v>
      </c>
      <c r="F8" s="16" t="n">
        <f aca="false">E8*1.05</f>
        <v>173.25</v>
      </c>
      <c r="G8" s="16" t="n">
        <f aca="false">F8*1.05</f>
        <v>181.9125</v>
      </c>
    </row>
    <row r="9" customFormat="false" ht="15" hidden="false" customHeight="true" outlineLevel="0" collapsed="false">
      <c r="B9" s="5" t="s">
        <v>125</v>
      </c>
      <c r="C9" s="26" t="n">
        <v>1578</v>
      </c>
      <c r="D9" s="26" t="n">
        <v>2241</v>
      </c>
      <c r="E9" s="26" t="n">
        <v>2579</v>
      </c>
      <c r="F9" s="16" t="n">
        <f aca="false">SUM(F4:F8)</f>
        <v>2707.95</v>
      </c>
      <c r="G9" s="16" t="n">
        <f aca="false">SUM(G4:G8)</f>
        <v>2843.3475</v>
      </c>
    </row>
    <row r="10" customFormat="false" ht="13.5" hidden="false" customHeight="true" outlineLevel="0" collapsed="false">
      <c r="B10" s="12" t="s">
        <v>126</v>
      </c>
      <c r="C10" s="12"/>
      <c r="D10" s="12"/>
      <c r="E10" s="12"/>
      <c r="F10" s="12"/>
      <c r="G10" s="12"/>
    </row>
    <row r="11" customFormat="false" ht="15" hidden="false" customHeight="true" outlineLevel="0" collapsed="false">
      <c r="B11" s="7" t="s">
        <v>127</v>
      </c>
      <c r="C11" s="16" t="n">
        <v>1087</v>
      </c>
      <c r="D11" s="16" t="n">
        <v>1010</v>
      </c>
      <c r="E11" s="16" t="n">
        <v>993</v>
      </c>
      <c r="F11" s="16" t="n">
        <f aca="false">E11+'02_Giả định'!E20-'02_Giả định'!E10</f>
        <v>1228</v>
      </c>
      <c r="G11" s="16" t="n">
        <f aca="false">F11+'02_Giả định'!E21-'02_Giả định'!F10</f>
        <v>1508</v>
      </c>
    </row>
    <row r="12" customFormat="false" ht="15" hidden="false" customHeight="true" outlineLevel="0" collapsed="false">
      <c r="B12" s="7" t="s">
        <v>128</v>
      </c>
      <c r="C12" s="16" t="n">
        <v>250</v>
      </c>
      <c r="D12" s="16" t="n">
        <v>-6</v>
      </c>
      <c r="E12" s="16" t="n">
        <v>7</v>
      </c>
      <c r="F12" s="16" t="n">
        <f aca="false">E12</f>
        <v>7</v>
      </c>
      <c r="G12" s="16" t="n">
        <f aca="false">F12</f>
        <v>7</v>
      </c>
    </row>
    <row r="13" customFormat="false" ht="15" hidden="false" customHeight="true" outlineLevel="0" collapsed="false">
      <c r="B13" s="4" t="s">
        <v>129</v>
      </c>
      <c r="C13" s="26" t="n">
        <v>2915</v>
      </c>
      <c r="D13" s="26" t="n">
        <v>3245</v>
      </c>
      <c r="E13" s="26" t="n">
        <v>3579</v>
      </c>
      <c r="F13" s="16" t="n">
        <f aca="false">F9+F11+F12</f>
        <v>3942.95</v>
      </c>
      <c r="G13" s="16" t="n">
        <f aca="false">G9+G11+G12</f>
        <v>4358.3475</v>
      </c>
    </row>
    <row r="14" customFormat="false" ht="13.5" hidden="false" customHeight="true" outlineLevel="0" collapsed="false">
      <c r="B14" s="12" t="s">
        <v>130</v>
      </c>
      <c r="C14" s="12"/>
      <c r="D14" s="12"/>
      <c r="E14" s="12"/>
      <c r="F14" s="12"/>
      <c r="G14" s="12"/>
    </row>
    <row r="15" customFormat="false" ht="15" hidden="false" customHeight="true" outlineLevel="0" collapsed="false">
      <c r="B15" s="7" t="s">
        <v>131</v>
      </c>
      <c r="C15" s="16" t="n">
        <v>702</v>
      </c>
      <c r="D15" s="16" t="n">
        <v>761</v>
      </c>
      <c r="E15" s="16" t="n">
        <v>918</v>
      </c>
      <c r="F15" s="16" t="n">
        <f aca="false">E15*1.03</f>
        <v>945.54</v>
      </c>
      <c r="G15" s="16" t="n">
        <f aca="false">F15*1.03</f>
        <v>973.9062</v>
      </c>
    </row>
    <row r="16" customFormat="false" ht="15" hidden="false" customHeight="true" outlineLevel="0" collapsed="false">
      <c r="B16" s="7" t="s">
        <v>132</v>
      </c>
      <c r="C16" s="16" t="n">
        <v>361</v>
      </c>
      <c r="D16" s="16" t="n">
        <v>481</v>
      </c>
      <c r="E16" s="16" t="n">
        <v>450</v>
      </c>
      <c r="F16" s="16" t="n">
        <f aca="false">E16*1.03</f>
        <v>463.5</v>
      </c>
      <c r="G16" s="16" t="n">
        <f aca="false">F16*1.03</f>
        <v>477.405</v>
      </c>
    </row>
    <row r="17" customFormat="false" ht="15" hidden="false" customHeight="true" outlineLevel="0" collapsed="false">
      <c r="B17" s="7" t="s">
        <v>133</v>
      </c>
      <c r="C17" s="16" t="n">
        <v>0</v>
      </c>
      <c r="D17" s="16" t="n">
        <v>0</v>
      </c>
      <c r="E17" s="16" t="n">
        <v>0</v>
      </c>
      <c r="F17" s="16" t="n">
        <f aca="false">0</f>
        <v>0</v>
      </c>
      <c r="G17" s="16" t="n">
        <f aca="false">0</f>
        <v>0</v>
      </c>
    </row>
    <row r="18" customFormat="false" ht="15" hidden="false" customHeight="true" outlineLevel="0" collapsed="false">
      <c r="B18" s="28" t="s">
        <v>134</v>
      </c>
      <c r="C18" s="29" t="n">
        <v>1063</v>
      </c>
      <c r="D18" s="29" t="n">
        <v>1242</v>
      </c>
      <c r="E18" s="29" t="n">
        <v>1368</v>
      </c>
      <c r="F18" s="16" t="n">
        <f aca="false">SUM(F15:F17)</f>
        <v>1409.04</v>
      </c>
      <c r="G18" s="16" t="n">
        <f aca="false">SUM(G15:G17)</f>
        <v>1451.3112</v>
      </c>
    </row>
    <row r="19" customFormat="false" ht="13.5" hidden="false" customHeight="true" outlineLevel="0" collapsed="false">
      <c r="B19" s="12" t="s">
        <v>135</v>
      </c>
      <c r="C19" s="12"/>
      <c r="D19" s="12"/>
      <c r="E19" s="12"/>
      <c r="F19" s="12"/>
      <c r="G19" s="12"/>
    </row>
    <row r="20" customFormat="false" ht="15" hidden="false" customHeight="true" outlineLevel="0" collapsed="false">
      <c r="B20" s="7" t="s">
        <v>136</v>
      </c>
      <c r="C20" s="16" t="n">
        <v>966</v>
      </c>
      <c r="D20" s="16" t="n">
        <v>966</v>
      </c>
      <c r="E20" s="16" t="n">
        <v>966</v>
      </c>
      <c r="F20" s="16" t="n">
        <f aca="false">E20</f>
        <v>966</v>
      </c>
      <c r="G20" s="16" t="n">
        <f aca="false">F20</f>
        <v>966</v>
      </c>
    </row>
    <row r="21" customFormat="false" ht="15" hidden="false" customHeight="true" outlineLevel="0" collapsed="false">
      <c r="B21" s="7" t="s">
        <v>137</v>
      </c>
      <c r="C21" s="16" t="n">
        <v>883</v>
      </c>
      <c r="D21" s="16" t="n">
        <v>1035</v>
      </c>
      <c r="E21" s="16" t="n">
        <v>1245</v>
      </c>
      <c r="F21" s="16" t="n">
        <f aca="false">E21+'04_KQKD'!H16</f>
        <v>1684.104</v>
      </c>
      <c r="G21" s="16" t="n">
        <f aca="false">F21+'04_KQKD'!I16</f>
        <v>2194.512</v>
      </c>
    </row>
    <row r="22" customFormat="false" ht="15" hidden="false" customHeight="true" outlineLevel="0" collapsed="false">
      <c r="B22" s="30" t="s">
        <v>138</v>
      </c>
      <c r="C22" s="31" t="n">
        <v>1849</v>
      </c>
      <c r="D22" s="31" t="n">
        <v>2001</v>
      </c>
      <c r="E22" s="31" t="n">
        <v>2211</v>
      </c>
      <c r="F22" s="16" t="n">
        <f aca="false">F20+F21</f>
        <v>2650.104</v>
      </c>
      <c r="G22" s="16" t="n">
        <f aca="false">G20+G21</f>
        <v>3160.512</v>
      </c>
    </row>
    <row r="23" customFormat="false" ht="13.5" hidden="false" customHeight="true" outlineLevel="0" collapsed="false">
      <c r="B23" s="12" t="s">
        <v>139</v>
      </c>
      <c r="C23" s="12"/>
      <c r="D23" s="12"/>
      <c r="E23" s="12"/>
      <c r="F23" s="12"/>
      <c r="G23" s="12"/>
    </row>
    <row r="24" customFormat="false" ht="15" hidden="false" customHeight="true" outlineLevel="0" collapsed="false">
      <c r="B24" s="7" t="s">
        <v>140</v>
      </c>
      <c r="C24" s="16" t="n">
        <v>-354</v>
      </c>
      <c r="D24" s="16" t="n">
        <v>147</v>
      </c>
      <c r="E24" s="16" t="n">
        <v>253</v>
      </c>
      <c r="F24" s="16" t="n">
        <f aca="false">F4+F5-F15</f>
        <v>284.01</v>
      </c>
      <c r="G24" s="16" t="n">
        <f aca="false">G4+G5-G15</f>
        <v>317.1213</v>
      </c>
    </row>
    <row r="25" customFormat="false" ht="15" hidden="false" customHeight="true" outlineLevel="0" collapsed="false">
      <c r="B25" s="7" t="s">
        <v>141</v>
      </c>
      <c r="C25" s="16" t="n">
        <v>19143</v>
      </c>
      <c r="D25" s="16" t="n">
        <v>20716</v>
      </c>
      <c r="E25" s="16" t="n">
        <v>22891</v>
      </c>
      <c r="F25" s="16" t="n">
        <f aca="false">F22/96.59*1000</f>
        <v>27436.6290506264</v>
      </c>
      <c r="G25" s="16" t="n">
        <f aca="false">G22/96.59*1000</f>
        <v>32720.9027849674</v>
      </c>
    </row>
  </sheetData>
  <mergeCells count="6">
    <mergeCell ref="B1:G1"/>
    <mergeCell ref="B3:G3"/>
    <mergeCell ref="B10:G10"/>
    <mergeCell ref="B14:G14"/>
    <mergeCell ref="B19:G19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7" min="3" style="1" width="12"/>
  </cols>
  <sheetData>
    <row r="1" customFormat="false" ht="15.75" hidden="false" customHeight="true" outlineLevel="0" collapsed="false">
      <c r="B1" s="10" t="s">
        <v>142</v>
      </c>
      <c r="C1" s="10"/>
      <c r="D1" s="10"/>
      <c r="E1" s="10"/>
      <c r="F1" s="10"/>
      <c r="G1" s="10"/>
    </row>
    <row r="2" customFormat="false" ht="15" hidden="false" customHeight="true" outlineLevel="0" collapsed="false">
      <c r="B2" s="11" t="s">
        <v>82</v>
      </c>
      <c r="C2" s="11" t="s">
        <v>84</v>
      </c>
      <c r="D2" s="11" t="s">
        <v>40</v>
      </c>
      <c r="E2" s="11" t="s">
        <v>41</v>
      </c>
      <c r="F2" s="11" t="s">
        <v>42</v>
      </c>
      <c r="G2" s="11" t="s">
        <v>43</v>
      </c>
    </row>
    <row r="3" customFormat="false" ht="13.5" hidden="false" customHeight="true" outlineLevel="0" collapsed="false">
      <c r="B3" s="12" t="s">
        <v>143</v>
      </c>
      <c r="C3" s="12"/>
      <c r="D3" s="12"/>
      <c r="E3" s="12"/>
      <c r="F3" s="12"/>
      <c r="G3" s="12"/>
    </row>
    <row r="4" customFormat="false" ht="15" hidden="false" customHeight="true" outlineLevel="0" collapsed="false">
      <c r="B4" s="7" t="s">
        <v>144</v>
      </c>
      <c r="C4" s="16" t="n">
        <v>309</v>
      </c>
      <c r="D4" s="16" t="n">
        <v>242</v>
      </c>
      <c r="E4" s="16" t="n">
        <v>393</v>
      </c>
      <c r="F4" s="16" t="n">
        <f aca="false">'04_KQKD'!H16</f>
        <v>439.104</v>
      </c>
      <c r="G4" s="16" t="n">
        <f aca="false">'04_KQKD'!I16</f>
        <v>510.408</v>
      </c>
    </row>
    <row r="5" customFormat="false" ht="15" hidden="false" customHeight="true" outlineLevel="0" collapsed="false">
      <c r="B5" s="7" t="s">
        <v>145</v>
      </c>
      <c r="C5" s="16" t="n">
        <v>102</v>
      </c>
      <c r="D5" s="16" t="n">
        <v>105</v>
      </c>
      <c r="E5" s="16" t="n">
        <v>111</v>
      </c>
      <c r="F5" s="16" t="n">
        <f aca="false">'04_KQKD'!H10</f>
        <v>115</v>
      </c>
      <c r="G5" s="16" t="n">
        <f aca="false">'04_KQKD'!I10</f>
        <v>120</v>
      </c>
    </row>
    <row r="6" customFormat="false" ht="15" hidden="false" customHeight="true" outlineLevel="0" collapsed="false">
      <c r="B6" s="7" t="s">
        <v>146</v>
      </c>
      <c r="C6" s="16" t="n">
        <v>-170</v>
      </c>
      <c r="D6" s="16" t="n">
        <v>309</v>
      </c>
      <c r="E6" s="16" t="n">
        <v>-39</v>
      </c>
      <c r="F6" s="16" t="n">
        <f aca="false">-50</f>
        <v>-50</v>
      </c>
      <c r="G6" s="16" t="n">
        <f aca="false">-60</f>
        <v>-60</v>
      </c>
    </row>
    <row r="7" customFormat="false" ht="15" hidden="false" customHeight="true" outlineLevel="0" collapsed="false">
      <c r="B7" s="30" t="s">
        <v>147</v>
      </c>
      <c r="C7" s="31" t="n">
        <v>241</v>
      </c>
      <c r="D7" s="31" t="n">
        <v>656</v>
      </c>
      <c r="E7" s="31" t="n">
        <v>465</v>
      </c>
      <c r="F7" s="16" t="n">
        <f aca="false">SUM(F4:F6)</f>
        <v>504.104</v>
      </c>
      <c r="G7" s="16" t="n">
        <f aca="false">SUM(G4:G6)</f>
        <v>570.408</v>
      </c>
    </row>
    <row r="8" customFormat="false" ht="13.5" hidden="false" customHeight="true" outlineLevel="0" collapsed="false">
      <c r="B8" s="12" t="s">
        <v>148</v>
      </c>
      <c r="C8" s="12"/>
      <c r="D8" s="12"/>
      <c r="E8" s="12"/>
      <c r="F8" s="12"/>
      <c r="G8" s="12"/>
    </row>
    <row r="9" customFormat="false" ht="15" hidden="false" customHeight="true" outlineLevel="0" collapsed="false">
      <c r="B9" s="7" t="s">
        <v>149</v>
      </c>
      <c r="C9" s="16" t="n">
        <v>-88</v>
      </c>
      <c r="D9" s="16" t="n">
        <v>-71</v>
      </c>
      <c r="E9" s="16" t="n">
        <v>-183</v>
      </c>
      <c r="F9" s="16" t="n">
        <f aca="false">-'02_Giả định'!E20</f>
        <v>-350</v>
      </c>
      <c r="G9" s="16" t="n">
        <f aca="false">-'02_Giả định'!E21</f>
        <v>-400</v>
      </c>
    </row>
    <row r="10" customFormat="false" ht="15" hidden="false" customHeight="true" outlineLevel="0" collapsed="false">
      <c r="B10" s="28" t="s">
        <v>150</v>
      </c>
      <c r="C10" s="29" t="n">
        <v>-88</v>
      </c>
      <c r="D10" s="29" t="n">
        <v>-71</v>
      </c>
      <c r="E10" s="29" t="n">
        <v>-183</v>
      </c>
      <c r="F10" s="16" t="n">
        <f aca="false">F9</f>
        <v>-350</v>
      </c>
      <c r="G10" s="16" t="n">
        <f aca="false">G9</f>
        <v>-400</v>
      </c>
    </row>
    <row r="11" customFormat="false" ht="13.5" hidden="false" customHeight="true" outlineLevel="0" collapsed="false">
      <c r="B11" s="12" t="s">
        <v>151</v>
      </c>
      <c r="C11" s="12"/>
      <c r="D11" s="12"/>
      <c r="E11" s="12"/>
      <c r="F11" s="12"/>
      <c r="G11" s="12"/>
    </row>
    <row r="12" customFormat="false" ht="15" hidden="false" customHeight="true" outlineLevel="0" collapsed="false">
      <c r="B12" s="7" t="s">
        <v>152</v>
      </c>
      <c r="C12" s="16" t="n">
        <v>0</v>
      </c>
      <c r="D12" s="16" t="n">
        <v>0</v>
      </c>
      <c r="E12" s="16" t="n">
        <v>0</v>
      </c>
      <c r="F12" s="16" t="n">
        <f aca="false">50</f>
        <v>50</v>
      </c>
      <c r="G12" s="16" t="n">
        <f aca="false">50</f>
        <v>50</v>
      </c>
    </row>
    <row r="13" customFormat="false" ht="15" hidden="false" customHeight="true" outlineLevel="0" collapsed="false">
      <c r="B13" s="7" t="s">
        <v>153</v>
      </c>
      <c r="C13" s="16" t="n">
        <v>-193</v>
      </c>
      <c r="D13" s="16" t="n">
        <v>-193</v>
      </c>
      <c r="E13" s="16" t="n">
        <v>-193</v>
      </c>
      <c r="F13" s="16" t="n">
        <f aca="false">-193</f>
        <v>-193</v>
      </c>
      <c r="G13" s="16" t="n">
        <f aca="false">-193</f>
        <v>-193</v>
      </c>
    </row>
    <row r="14" customFormat="false" ht="15" hidden="false" customHeight="true" outlineLevel="0" collapsed="false">
      <c r="B14" s="32" t="s">
        <v>154</v>
      </c>
      <c r="C14" s="33" t="n">
        <v>-193</v>
      </c>
      <c r="D14" s="33" t="n">
        <v>-193</v>
      </c>
      <c r="E14" s="33" t="n">
        <v>-193</v>
      </c>
      <c r="F14" s="16" t="n">
        <f aca="false">F12+F13</f>
        <v>-143</v>
      </c>
      <c r="G14" s="16" t="n">
        <f aca="false">G12+G13</f>
        <v>-143</v>
      </c>
    </row>
    <row r="15" customFormat="false" ht="13.5" hidden="false" customHeight="true" outlineLevel="0" collapsed="false">
      <c r="B15" s="12" t="s">
        <v>155</v>
      </c>
      <c r="C15" s="12"/>
      <c r="D15" s="12"/>
      <c r="E15" s="12"/>
      <c r="F15" s="12"/>
      <c r="G15" s="12"/>
    </row>
    <row r="16" customFormat="false" ht="15" hidden="false" customHeight="true" outlineLevel="0" collapsed="false">
      <c r="B16" s="5" t="s">
        <v>156</v>
      </c>
      <c r="C16" s="26" t="n">
        <v>-40</v>
      </c>
      <c r="D16" s="26" t="n">
        <v>392</v>
      </c>
      <c r="E16" s="26" t="n">
        <v>89</v>
      </c>
      <c r="F16" s="16" t="n">
        <f aca="false">F7+F10+F14</f>
        <v>11.104</v>
      </c>
      <c r="G16" s="16" t="n">
        <f aca="false">G7+G10+G14</f>
        <v>27.4080000000004</v>
      </c>
    </row>
    <row r="17" customFormat="false" ht="15" hidden="false" customHeight="true" outlineLevel="0" collapsed="false">
      <c r="B17" s="4" t="s">
        <v>157</v>
      </c>
      <c r="C17" s="26" t="n">
        <v>153</v>
      </c>
      <c r="D17" s="26" t="n">
        <v>586</v>
      </c>
      <c r="E17" s="26" t="n">
        <v>282</v>
      </c>
      <c r="F17" s="16" t="n">
        <f aca="false">F7+F9</f>
        <v>154.104</v>
      </c>
      <c r="G17" s="16" t="n">
        <f aca="false">G7+G9</f>
        <v>170.408</v>
      </c>
    </row>
    <row r="18" customFormat="false" ht="15" hidden="false" customHeight="true" outlineLevel="0" collapsed="false">
      <c r="B18" s="7" t="s">
        <v>158</v>
      </c>
      <c r="C18" s="16" t="n">
        <v>1584</v>
      </c>
      <c r="D18" s="16" t="n">
        <v>6067</v>
      </c>
      <c r="E18" s="16" t="n">
        <v>2920</v>
      </c>
      <c r="F18" s="16" t="n">
        <f aca="false">F17/96.59*1000</f>
        <v>1595.44466300859</v>
      </c>
      <c r="G18" s="16" t="n">
        <f aca="false">G17/96.59*1000</f>
        <v>1764.24060461746</v>
      </c>
    </row>
  </sheetData>
  <mergeCells count="5">
    <mergeCell ref="B1:G1"/>
    <mergeCell ref="B3:G3"/>
    <mergeCell ref="B8:G8"/>
    <mergeCell ref="B11:G11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6" min="6" style="1" width="4"/>
  </cols>
  <sheetData>
    <row r="1" customFormat="false" ht="15.75" hidden="false" customHeight="true" outlineLevel="0" collapsed="false">
      <c r="B1" s="10" t="s">
        <v>159</v>
      </c>
      <c r="C1" s="10"/>
      <c r="D1" s="10"/>
      <c r="E1" s="10"/>
    </row>
    <row r="2" customFormat="false" ht="13.5" hidden="false" customHeight="true" outlineLevel="0" collapsed="false">
      <c r="B2" s="12" t="s">
        <v>160</v>
      </c>
      <c r="C2" s="12"/>
      <c r="D2" s="12"/>
      <c r="E2" s="12"/>
    </row>
    <row r="3" customFormat="false" ht="15" hidden="false" customHeight="true" outlineLevel="0" collapsed="false">
      <c r="B3" s="7" t="s">
        <v>161</v>
      </c>
      <c r="C3" s="17" t="n">
        <v>36600</v>
      </c>
    </row>
    <row r="4" customFormat="false" ht="15" hidden="false" customHeight="true" outlineLevel="0" collapsed="false">
      <c r="B4" s="7" t="s">
        <v>79</v>
      </c>
      <c r="C4" s="16" t="n">
        <f aca="false">'02_Giả định'!E22</f>
        <v>253</v>
      </c>
    </row>
    <row r="5" customFormat="false" ht="15" hidden="false" customHeight="true" outlineLevel="0" collapsed="false">
      <c r="B5" s="7" t="s">
        <v>162</v>
      </c>
      <c r="C5" s="13" t="n">
        <v>96.59</v>
      </c>
    </row>
    <row r="6" customFormat="false" ht="13.5" hidden="false" customHeight="true" outlineLevel="0" collapsed="false">
      <c r="B6" s="12" t="s">
        <v>163</v>
      </c>
      <c r="C6" s="12"/>
      <c r="D6" s="12"/>
      <c r="E6" s="12"/>
    </row>
    <row r="7" customFormat="false" ht="15" hidden="false" customHeight="true" outlineLevel="0" collapsed="false">
      <c r="B7" s="11" t="s">
        <v>82</v>
      </c>
      <c r="C7" s="34" t="s">
        <v>65</v>
      </c>
      <c r="D7" s="35" t="s">
        <v>66</v>
      </c>
      <c r="E7" s="8" t="s">
        <v>67</v>
      </c>
    </row>
    <row r="8" customFormat="false" ht="15" hidden="false" customHeight="true" outlineLevel="0" collapsed="false">
      <c r="B8" s="7" t="s">
        <v>68</v>
      </c>
      <c r="C8" s="13" t="n">
        <f aca="false">'02_Giả định'!C15</f>
        <v>7</v>
      </c>
      <c r="D8" s="13" t="n">
        <f aca="false">'02_Giả định'!D15</f>
        <v>10</v>
      </c>
      <c r="E8" s="13" t="n">
        <f aca="false">'02_Giả định'!E15</f>
        <v>13</v>
      </c>
    </row>
    <row r="9" customFormat="false" ht="15" hidden="false" customHeight="true" outlineLevel="0" collapsed="false">
      <c r="B9" s="7" t="s">
        <v>9</v>
      </c>
      <c r="C9" s="16" t="n">
        <f aca="false">'04_KQKD'!H20</f>
        <v>4546.0606688063</v>
      </c>
      <c r="D9" s="16" t="n">
        <f aca="false">'04_KQKD'!H20</f>
        <v>4546.0606688063</v>
      </c>
      <c r="E9" s="16" t="n">
        <f aca="false">'04_KQKD'!H20</f>
        <v>4546.0606688063</v>
      </c>
    </row>
    <row r="10" customFormat="false" ht="15" hidden="false" customHeight="true" outlineLevel="0" collapsed="false">
      <c r="B10" s="5" t="s">
        <v>164</v>
      </c>
      <c r="C10" s="16" t="n">
        <f aca="false">C8*C9</f>
        <v>31822.4246816441</v>
      </c>
      <c r="D10" s="16" t="n">
        <f aca="false">D8*D9</f>
        <v>45460.606688063</v>
      </c>
      <c r="E10" s="16" t="n">
        <f aca="false">E8*E9</f>
        <v>59098.7886944818</v>
      </c>
    </row>
    <row r="11" customFormat="false" ht="13.5" hidden="false" customHeight="true" outlineLevel="0" collapsed="false">
      <c r="B11" s="12" t="s">
        <v>165</v>
      </c>
      <c r="C11" s="12"/>
      <c r="D11" s="12"/>
      <c r="E11" s="12"/>
    </row>
    <row r="12" customFormat="false" ht="15" hidden="false" customHeight="true" outlineLevel="0" collapsed="false">
      <c r="B12" s="11" t="s">
        <v>82</v>
      </c>
      <c r="C12" s="34" t="s">
        <v>65</v>
      </c>
      <c r="D12" s="35" t="s">
        <v>66</v>
      </c>
      <c r="E12" s="8" t="s">
        <v>67</v>
      </c>
    </row>
    <row r="13" customFormat="false" ht="15" hidden="false" customHeight="true" outlineLevel="0" collapsed="false">
      <c r="B13" s="7" t="s">
        <v>69</v>
      </c>
      <c r="C13" s="13" t="n">
        <f aca="false">'02_Giả định'!C16</f>
        <v>6</v>
      </c>
      <c r="D13" s="13" t="n">
        <f aca="false">'02_Giả định'!D16</f>
        <v>8</v>
      </c>
      <c r="E13" s="13" t="n">
        <f aca="false">'02_Giả định'!E16</f>
        <v>10</v>
      </c>
    </row>
    <row r="14" customFormat="false" ht="15" hidden="false" customHeight="true" outlineLevel="0" collapsed="false">
      <c r="B14" s="7" t="s">
        <v>166</v>
      </c>
      <c r="C14" s="16" t="n">
        <f aca="false">'04_KQKD'!H11</f>
        <v>618.88</v>
      </c>
      <c r="D14" s="16" t="n">
        <f aca="false">'04_KQKD'!H11</f>
        <v>618.88</v>
      </c>
      <c r="E14" s="16" t="n">
        <f aca="false">'04_KQKD'!H11</f>
        <v>618.88</v>
      </c>
    </row>
    <row r="15" customFormat="false" ht="15" hidden="false" customHeight="true" outlineLevel="0" collapsed="false">
      <c r="B15" s="7" t="s">
        <v>167</v>
      </c>
      <c r="C15" s="16" t="n">
        <f aca="false">C13*C14</f>
        <v>3713.28</v>
      </c>
      <c r="D15" s="16" t="n">
        <f aca="false">D13*D14</f>
        <v>4951.04</v>
      </c>
      <c r="E15" s="16" t="n">
        <f aca="false">E13*E14</f>
        <v>6188.8</v>
      </c>
    </row>
    <row r="16" customFormat="false" ht="15" hidden="false" customHeight="true" outlineLevel="0" collapsed="false">
      <c r="B16" s="7" t="s">
        <v>168</v>
      </c>
      <c r="C16" s="16" t="n">
        <f aca="false">C15+C4</f>
        <v>3966.28</v>
      </c>
      <c r="D16" s="16" t="n">
        <f aca="false">D15+D4</f>
        <v>4951.04</v>
      </c>
      <c r="E16" s="16" t="n">
        <f aca="false">E15+E4</f>
        <v>6188.8</v>
      </c>
    </row>
    <row r="17" customFormat="false" ht="15" hidden="false" customHeight="true" outlineLevel="0" collapsed="false">
      <c r="B17" s="5" t="s">
        <v>169</v>
      </c>
      <c r="C17" s="16" t="n">
        <f aca="false">C16/$C$5*1000</f>
        <v>41063.0500051765</v>
      </c>
      <c r="D17" s="16" t="n">
        <f aca="false">D16/$C$5*1000</f>
        <v>51258.30831349</v>
      </c>
      <c r="E17" s="16" t="n">
        <f aca="false">E16/$C$5*1000</f>
        <v>64072.8853918625</v>
      </c>
    </row>
    <row r="18" customFormat="false" ht="13.5" hidden="false" customHeight="true" outlineLevel="0" collapsed="false">
      <c r="B18" s="12" t="s">
        <v>170</v>
      </c>
      <c r="C18" s="12"/>
      <c r="D18" s="12"/>
      <c r="E18" s="12"/>
    </row>
    <row r="19" customFormat="false" ht="15" hidden="false" customHeight="true" outlineLevel="0" collapsed="false">
      <c r="B19" s="11" t="s">
        <v>82</v>
      </c>
      <c r="C19" s="34" t="s">
        <v>65</v>
      </c>
      <c r="D19" s="35" t="s">
        <v>66</v>
      </c>
      <c r="E19" s="8" t="s">
        <v>67</v>
      </c>
    </row>
    <row r="20" customFormat="false" ht="15" hidden="false" customHeight="true" outlineLevel="0" collapsed="false">
      <c r="B20" s="5" t="s">
        <v>171</v>
      </c>
      <c r="C20" s="16" t="n">
        <f aca="false">(C10+C17)/2</f>
        <v>36442.7373434103</v>
      </c>
      <c r="D20" s="16" t="n">
        <f aca="false">(D10+D17)/2</f>
        <v>48359.4575007765</v>
      </c>
      <c r="E20" s="16" t="n">
        <f aca="false">(E10+E17)/2</f>
        <v>61585.8370431722</v>
      </c>
    </row>
    <row r="21" customFormat="false" ht="15" hidden="false" customHeight="true" outlineLevel="0" collapsed="false">
      <c r="B21" s="7" t="s">
        <v>172</v>
      </c>
      <c r="C21" s="18" t="n">
        <f aca="false">(C20-$C$3)/$C$3</f>
        <v>-0.00429679389589346</v>
      </c>
      <c r="D21" s="18" t="n">
        <f aca="false">(D20-$C$3)/$C$3</f>
        <v>0.32129665302668</v>
      </c>
      <c r="E21" s="18" t="n">
        <f aca="false">(E20-$C$3)/$C$3</f>
        <v>0.682673143256071</v>
      </c>
    </row>
    <row r="22" customFormat="false" ht="15" hidden="false" customHeight="true" outlineLevel="0" collapsed="false">
      <c r="B22" s="7" t="s">
        <v>173</v>
      </c>
      <c r="C22" s="34" t="s">
        <v>174</v>
      </c>
      <c r="D22" s="8" t="s">
        <v>12</v>
      </c>
      <c r="E22" s="8" t="s">
        <v>175</v>
      </c>
    </row>
  </sheetData>
  <mergeCells count="5">
    <mergeCell ref="B1:E1"/>
    <mergeCell ref="B2:E2"/>
    <mergeCell ref="B6:E6"/>
    <mergeCell ref="B11:E11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8" min="3" style="1" width="12"/>
  </cols>
  <sheetData>
    <row r="1" customFormat="false" ht="15.75" hidden="false" customHeight="true" outlineLevel="0" collapsed="false">
      <c r="B1" s="10" t="s">
        <v>176</v>
      </c>
      <c r="C1" s="10"/>
      <c r="D1" s="10"/>
      <c r="E1" s="10"/>
      <c r="F1" s="10"/>
      <c r="G1" s="10"/>
      <c r="H1" s="10"/>
    </row>
    <row r="2" customFormat="false" ht="13.5" hidden="false" customHeight="true" outlineLevel="0" collapsed="false">
      <c r="B2" s="12" t="s">
        <v>177</v>
      </c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B3" s="7" t="s">
        <v>71</v>
      </c>
      <c r="C3" s="18" t="n">
        <f aca="false">'02_Giả định'!E18</f>
        <v>0.12</v>
      </c>
    </row>
    <row r="4" customFormat="false" ht="15" hidden="false" customHeight="true" outlineLevel="0" collapsed="false">
      <c r="B4" s="7" t="s">
        <v>73</v>
      </c>
      <c r="C4" s="18" t="n">
        <f aca="false">'02_Giả định'!E19</f>
        <v>0.03</v>
      </c>
    </row>
    <row r="5" customFormat="false" ht="15" hidden="false" customHeight="true" outlineLevel="0" collapsed="false">
      <c r="B5" s="7" t="s">
        <v>29</v>
      </c>
      <c r="C5" s="16" t="n">
        <f aca="false">'02_Giả định'!E22</f>
        <v>253</v>
      </c>
    </row>
    <row r="6" customFormat="false" ht="13.5" hidden="false" customHeight="true" outlineLevel="0" collapsed="false">
      <c r="B6" s="12" t="s">
        <v>178</v>
      </c>
      <c r="C6" s="12"/>
      <c r="D6" s="12"/>
      <c r="E6" s="12"/>
      <c r="F6" s="12"/>
      <c r="G6" s="12"/>
      <c r="H6" s="12"/>
    </row>
    <row r="7" customFormat="false" ht="15" hidden="false" customHeight="true" outlineLevel="0" collapsed="false">
      <c r="B7" s="11" t="s">
        <v>82</v>
      </c>
      <c r="C7" s="11" t="s">
        <v>42</v>
      </c>
      <c r="D7" s="11" t="s">
        <v>43</v>
      </c>
      <c r="E7" s="11" t="s">
        <v>179</v>
      </c>
      <c r="F7" s="11" t="s">
        <v>180</v>
      </c>
      <c r="G7" s="11" t="s">
        <v>181</v>
      </c>
      <c r="H7" s="36"/>
    </row>
    <row r="8" customFormat="false" ht="15" hidden="false" customHeight="true" outlineLevel="0" collapsed="false">
      <c r="B8" s="7" t="s">
        <v>182</v>
      </c>
      <c r="C8" s="16" t="n">
        <f aca="false">'04_KQKD'!H8</f>
        <v>503.88</v>
      </c>
      <c r="D8" s="16" t="n">
        <f aca="false">'04_KQKD'!I8</f>
        <v>588.01</v>
      </c>
      <c r="E8" s="16" t="n">
        <f aca="false">D8*1.06</f>
        <v>623.290600000001</v>
      </c>
      <c r="F8" s="16" t="n">
        <f aca="false">E8*1.06</f>
        <v>660.688036000001</v>
      </c>
      <c r="G8" s="16" t="n">
        <f aca="false">F8*1.06</f>
        <v>700.329318160001</v>
      </c>
    </row>
    <row r="9" customFormat="false" ht="15" hidden="false" customHeight="true" outlineLevel="0" collapsed="false">
      <c r="B9" s="7" t="s">
        <v>183</v>
      </c>
      <c r="C9" s="16" t="n">
        <f aca="false">C8*0.8</f>
        <v>403.104</v>
      </c>
      <c r="D9" s="16" t="n">
        <f aca="false">D8*0.8</f>
        <v>470.408</v>
      </c>
      <c r="E9" s="16" t="n">
        <f aca="false">E8*0.8</f>
        <v>498.63248</v>
      </c>
      <c r="F9" s="16" t="n">
        <f aca="false">F8*0.8</f>
        <v>528.550428800001</v>
      </c>
      <c r="G9" s="16" t="n">
        <f aca="false">G8*0.8</f>
        <v>560.263454528001</v>
      </c>
    </row>
    <row r="10" customFormat="false" ht="15" hidden="false" customHeight="true" outlineLevel="0" collapsed="false">
      <c r="B10" s="7" t="s">
        <v>184</v>
      </c>
      <c r="C10" s="16" t="n">
        <f aca="false">'04_KQKD'!H10</f>
        <v>115</v>
      </c>
      <c r="D10" s="16" t="n">
        <f aca="false">'04_KQKD'!I10</f>
        <v>120</v>
      </c>
      <c r="E10" s="16" t="n">
        <v>125</v>
      </c>
      <c r="F10" s="16" t="n">
        <v>130</v>
      </c>
      <c r="G10" s="16" t="n">
        <v>135</v>
      </c>
    </row>
    <row r="11" customFormat="false" ht="15" hidden="false" customHeight="true" outlineLevel="0" collapsed="false">
      <c r="B11" s="7" t="s">
        <v>185</v>
      </c>
      <c r="C11" s="16" t="n">
        <f aca="false">'02_Giả định'!E20</f>
        <v>350</v>
      </c>
      <c r="D11" s="16" t="n">
        <f aca="false">'02_Giả định'!E21</f>
        <v>400</v>
      </c>
      <c r="E11" s="16" t="n">
        <v>200</v>
      </c>
      <c r="F11" s="16" t="n">
        <v>200</v>
      </c>
      <c r="G11" s="16" t="n">
        <v>200</v>
      </c>
    </row>
    <row r="12" customFormat="false" ht="15" hidden="false" customHeight="true" outlineLevel="0" collapsed="false">
      <c r="B12" s="7" t="s">
        <v>186</v>
      </c>
      <c r="C12" s="16" t="n">
        <v>50</v>
      </c>
      <c r="D12" s="16" t="n">
        <v>50</v>
      </c>
      <c r="E12" s="16" t="n">
        <v>50</v>
      </c>
      <c r="F12" s="16" t="n">
        <v>50</v>
      </c>
      <c r="G12" s="16" t="n">
        <v>50</v>
      </c>
    </row>
    <row r="13" customFormat="false" ht="15" hidden="false" customHeight="true" outlineLevel="0" collapsed="false">
      <c r="B13" s="30" t="s">
        <v>187</v>
      </c>
      <c r="C13" s="16" t="n">
        <f aca="false">C9+C10-C11-C12</f>
        <v>118.104</v>
      </c>
      <c r="D13" s="16" t="n">
        <f aca="false">D9+D10-D11-D12</f>
        <v>140.408</v>
      </c>
      <c r="E13" s="16" t="n">
        <f aca="false">E9+E10-E11-E12</f>
        <v>373.63248</v>
      </c>
      <c r="F13" s="16" t="n">
        <f aca="false">F9+F10-F11-F12</f>
        <v>408.550428800001</v>
      </c>
      <c r="G13" s="16" t="n">
        <f aca="false">G9+G10-G11-G12</f>
        <v>445.263454528001</v>
      </c>
    </row>
    <row r="14" customFormat="false" ht="15" hidden="false" customHeight="true" outlineLevel="0" collapsed="false">
      <c r="B14" s="7" t="s">
        <v>188</v>
      </c>
      <c r="C14" s="13" t="n">
        <f aca="false">1/(1+$C$3)^1</f>
        <v>0.892857142857143</v>
      </c>
      <c r="D14" s="13" t="n">
        <f aca="false">1/(1+$C$3)^2</f>
        <v>0.79719387755102</v>
      </c>
      <c r="E14" s="13" t="n">
        <f aca="false">1/(1+$C$3)^3</f>
        <v>0.711780247813411</v>
      </c>
      <c r="F14" s="13" t="n">
        <f aca="false">1/(1+$C$3)^4</f>
        <v>0.635518078404831</v>
      </c>
      <c r="G14" s="13" t="n">
        <f aca="false">1/(1+$C$3)^5</f>
        <v>0.567426855718599</v>
      </c>
    </row>
    <row r="15" customFormat="false" ht="15" hidden="false" customHeight="true" outlineLevel="0" collapsed="false">
      <c r="B15" s="5" t="s">
        <v>189</v>
      </c>
      <c r="C15" s="16" t="n">
        <f aca="false">C13*C14</f>
        <v>105.45</v>
      </c>
      <c r="D15" s="16" t="n">
        <f aca="false">D13*D14</f>
        <v>111.932397959184</v>
      </c>
      <c r="E15" s="16" t="n">
        <f aca="false">E13*E14</f>
        <v>265.94421920554</v>
      </c>
      <c r="F15" s="16" t="n">
        <f aca="false">F13*F14</f>
        <v>259.641183442446</v>
      </c>
      <c r="G15" s="16" t="n">
        <f aca="false">G13*G14</f>
        <v>252.654441969225</v>
      </c>
    </row>
    <row r="16" customFormat="false" ht="13.5" hidden="false" customHeight="true" outlineLevel="0" collapsed="false">
      <c r="B16" s="12" t="s">
        <v>190</v>
      </c>
      <c r="C16" s="12"/>
      <c r="D16" s="12"/>
      <c r="E16" s="12"/>
      <c r="F16" s="12"/>
      <c r="G16" s="12"/>
      <c r="H16" s="12"/>
    </row>
    <row r="17" customFormat="false" ht="15" hidden="false" customHeight="true" outlineLevel="0" collapsed="false">
      <c r="B17" s="7" t="s">
        <v>191</v>
      </c>
      <c r="C17" s="16" t="n">
        <f aca="false">SUM(C15:G15)</f>
        <v>995.622242576395</v>
      </c>
    </row>
    <row r="18" customFormat="false" ht="15" hidden="false" customHeight="true" outlineLevel="0" collapsed="false">
      <c r="B18" s="7" t="s">
        <v>192</v>
      </c>
      <c r="C18" s="16" t="n">
        <f aca="false">G13*(1+C4)/(C3-C4)</f>
        <v>5095.79286848712</v>
      </c>
    </row>
    <row r="19" customFormat="false" ht="15" hidden="false" customHeight="true" outlineLevel="0" collapsed="false">
      <c r="B19" s="7" t="s">
        <v>193</v>
      </c>
      <c r="C19" s="16" t="n">
        <f aca="false">C18/(1+C3)^5</f>
        <v>2891.48972475891</v>
      </c>
    </row>
    <row r="20" customFormat="false" ht="15" hidden="false" customHeight="true" outlineLevel="0" collapsed="false">
      <c r="B20" s="5" t="s">
        <v>194</v>
      </c>
      <c r="C20" s="16" t="n">
        <f aca="false">C17+C19</f>
        <v>3887.1119673353</v>
      </c>
    </row>
    <row r="21" customFormat="false" ht="15" hidden="false" customHeight="true" outlineLevel="0" collapsed="false">
      <c r="B21" s="7" t="s">
        <v>195</v>
      </c>
      <c r="C21" s="16" t="n">
        <f aca="false">C5</f>
        <v>253</v>
      </c>
    </row>
    <row r="22" customFormat="false" ht="15" hidden="false" customHeight="true" outlineLevel="0" collapsed="false">
      <c r="B22" s="30" t="s">
        <v>196</v>
      </c>
      <c r="C22" s="16" t="n">
        <f aca="false">C20+C21</f>
        <v>4140.1119673353</v>
      </c>
    </row>
    <row r="23" customFormat="false" ht="15" hidden="false" customHeight="true" outlineLevel="0" collapsed="false">
      <c r="B23" s="4" t="s">
        <v>197</v>
      </c>
      <c r="C23" s="16" t="n">
        <f aca="false">C22/96.59*1000</f>
        <v>42862.7390758391</v>
      </c>
    </row>
  </sheetData>
  <mergeCells count="4">
    <mergeCell ref="B1:H1"/>
    <mergeCell ref="B2:H2"/>
    <mergeCell ref="B6:H6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9" min="3" style="1" width="12"/>
  </cols>
  <sheetData>
    <row r="1" customFormat="false" ht="15.75" hidden="false" customHeight="true" outlineLevel="0" collapsed="false">
      <c r="B1" s="10" t="s">
        <v>198</v>
      </c>
      <c r="C1" s="10"/>
      <c r="D1" s="10"/>
      <c r="E1" s="10"/>
      <c r="F1" s="10"/>
      <c r="G1" s="10"/>
      <c r="H1" s="10"/>
      <c r="I1" s="10"/>
    </row>
    <row r="2" customFormat="false" ht="13.5" hidden="false" customHeight="true" outlineLevel="0" collapsed="false">
      <c r="B2" s="12" t="s">
        <v>199</v>
      </c>
      <c r="C2" s="12"/>
      <c r="D2" s="12"/>
      <c r="E2" s="12"/>
      <c r="F2" s="12"/>
      <c r="G2" s="12"/>
      <c r="H2" s="12"/>
      <c r="I2" s="12"/>
    </row>
    <row r="3" customFormat="false" ht="15" hidden="false" customHeight="true" outlineLevel="0" collapsed="false">
      <c r="B3" s="20" t="s">
        <v>200</v>
      </c>
      <c r="C3" s="37" t="n">
        <v>3400</v>
      </c>
      <c r="D3" s="37" t="n">
        <v>3700</v>
      </c>
      <c r="E3" s="37" t="n">
        <v>4000</v>
      </c>
      <c r="F3" s="37" t="n">
        <v>4300</v>
      </c>
      <c r="G3" s="37" t="n">
        <v>4600</v>
      </c>
      <c r="H3" s="37" t="n">
        <v>4900</v>
      </c>
    </row>
    <row r="4" customFormat="false" ht="15" hidden="false" customHeight="true" outlineLevel="0" collapsed="false">
      <c r="B4" s="20" t="s">
        <v>201</v>
      </c>
      <c r="C4" s="38" t="n">
        <v>23800</v>
      </c>
      <c r="D4" s="38" t="n">
        <v>25900</v>
      </c>
      <c r="E4" s="38" t="n">
        <v>28000</v>
      </c>
      <c r="F4" s="38" t="n">
        <v>30100</v>
      </c>
      <c r="G4" s="38" t="n">
        <v>32200</v>
      </c>
      <c r="H4" s="38" t="n">
        <v>34300</v>
      </c>
    </row>
    <row r="5" customFormat="false" ht="15" hidden="false" customHeight="true" outlineLevel="0" collapsed="false">
      <c r="B5" s="20" t="s">
        <v>202</v>
      </c>
      <c r="C5" s="38" t="n">
        <v>27200</v>
      </c>
      <c r="D5" s="38" t="n">
        <v>29600</v>
      </c>
      <c r="E5" s="38" t="n">
        <v>32000</v>
      </c>
      <c r="F5" s="38" t="n">
        <v>34400</v>
      </c>
      <c r="G5" s="39" t="n">
        <v>36800</v>
      </c>
      <c r="H5" s="39" t="n">
        <v>39200</v>
      </c>
    </row>
    <row r="6" customFormat="false" ht="15" hidden="false" customHeight="true" outlineLevel="0" collapsed="false">
      <c r="B6" s="20" t="s">
        <v>203</v>
      </c>
      <c r="C6" s="38" t="n">
        <v>30600</v>
      </c>
      <c r="D6" s="38" t="n">
        <v>33300</v>
      </c>
      <c r="E6" s="38" t="n">
        <v>36000</v>
      </c>
      <c r="F6" s="39" t="n">
        <v>38700</v>
      </c>
      <c r="G6" s="39" t="n">
        <v>41400</v>
      </c>
      <c r="H6" s="39" t="n">
        <v>44100</v>
      </c>
    </row>
    <row r="7" customFormat="false" ht="15" hidden="false" customHeight="true" outlineLevel="0" collapsed="false">
      <c r="B7" s="20" t="s">
        <v>204</v>
      </c>
      <c r="C7" s="38" t="n">
        <v>34000</v>
      </c>
      <c r="D7" s="39" t="n">
        <v>37000</v>
      </c>
      <c r="E7" s="39" t="n">
        <v>40000</v>
      </c>
      <c r="F7" s="39" t="n">
        <v>43000</v>
      </c>
      <c r="G7" s="39" t="n">
        <v>46000</v>
      </c>
      <c r="H7" s="40" t="n">
        <v>49000</v>
      </c>
    </row>
    <row r="8" customFormat="false" ht="15" hidden="false" customHeight="true" outlineLevel="0" collapsed="false">
      <c r="B8" s="20" t="s">
        <v>205</v>
      </c>
      <c r="C8" s="39" t="n">
        <v>37400</v>
      </c>
      <c r="D8" s="39" t="n">
        <v>40700</v>
      </c>
      <c r="E8" s="39" t="n">
        <v>44000</v>
      </c>
      <c r="F8" s="40" t="n">
        <v>47300</v>
      </c>
      <c r="G8" s="40" t="n">
        <v>50600</v>
      </c>
      <c r="H8" s="40" t="n">
        <v>53900</v>
      </c>
    </row>
    <row r="9" customFormat="false" ht="15" hidden="false" customHeight="true" outlineLevel="0" collapsed="false">
      <c r="B9" s="20" t="s">
        <v>206</v>
      </c>
      <c r="C9" s="39" t="n">
        <v>40800</v>
      </c>
      <c r="D9" s="39" t="n">
        <v>44400</v>
      </c>
      <c r="E9" s="40" t="n">
        <v>48000</v>
      </c>
      <c r="F9" s="40" t="n">
        <v>51600</v>
      </c>
      <c r="G9" s="40" t="n">
        <v>55200</v>
      </c>
      <c r="H9" s="40" t="n">
        <v>58800</v>
      </c>
    </row>
    <row r="11" customFormat="false" ht="13.5" hidden="false" customHeight="true" outlineLevel="0" collapsed="false">
      <c r="B11" s="12" t="s">
        <v>207</v>
      </c>
      <c r="C11" s="12"/>
      <c r="D11" s="12"/>
      <c r="E11" s="12"/>
      <c r="F11" s="12"/>
      <c r="G11" s="12"/>
      <c r="H11" s="12"/>
      <c r="I11" s="12"/>
    </row>
    <row r="12" customFormat="false" ht="15" hidden="false" customHeight="true" outlineLevel="0" collapsed="false">
      <c r="B12" s="20" t="s">
        <v>208</v>
      </c>
      <c r="C12" s="37" t="n">
        <v>550</v>
      </c>
      <c r="D12" s="37" t="n">
        <v>580</v>
      </c>
      <c r="E12" s="37" t="n">
        <v>610</v>
      </c>
      <c r="F12" s="37" t="n">
        <v>640</v>
      </c>
      <c r="G12" s="37" t="n">
        <v>670</v>
      </c>
      <c r="H12" s="37" t="n">
        <v>700</v>
      </c>
      <c r="I12" s="37" t="n">
        <v>730</v>
      </c>
    </row>
    <row r="13" customFormat="false" ht="15" hidden="false" customHeight="true" outlineLevel="0" collapsed="false">
      <c r="B13" s="20" t="s">
        <v>209</v>
      </c>
      <c r="C13" s="38" t="n">
        <v>31090</v>
      </c>
      <c r="D13" s="38" t="n">
        <v>32643</v>
      </c>
      <c r="E13" s="38" t="n">
        <v>34196</v>
      </c>
      <c r="F13" s="38" t="n">
        <v>35749</v>
      </c>
      <c r="G13" s="39" t="n">
        <v>37302</v>
      </c>
      <c r="H13" s="39" t="n">
        <v>38855</v>
      </c>
      <c r="I13" s="39" t="n">
        <v>40408</v>
      </c>
    </row>
    <row r="14" customFormat="false" ht="15" hidden="false" customHeight="true" outlineLevel="0" collapsed="false">
      <c r="B14" s="20" t="s">
        <v>210</v>
      </c>
      <c r="C14" s="39" t="n">
        <v>36784</v>
      </c>
      <c r="D14" s="39" t="n">
        <v>38648</v>
      </c>
      <c r="E14" s="39" t="n">
        <v>40511</v>
      </c>
      <c r="F14" s="39" t="n">
        <v>42375</v>
      </c>
      <c r="G14" s="39" t="n">
        <v>44239</v>
      </c>
      <c r="H14" s="39" t="n">
        <v>46102</v>
      </c>
      <c r="I14" s="40" t="n">
        <v>47966</v>
      </c>
    </row>
    <row r="15" customFormat="false" ht="15" hidden="false" customHeight="true" outlineLevel="0" collapsed="false">
      <c r="B15" s="20" t="s">
        <v>201</v>
      </c>
      <c r="C15" s="39" t="n">
        <v>42479</v>
      </c>
      <c r="D15" s="39" t="n">
        <v>44653</v>
      </c>
      <c r="E15" s="39" t="n">
        <v>46827</v>
      </c>
      <c r="F15" s="40" t="n">
        <v>49001</v>
      </c>
      <c r="G15" s="40" t="n">
        <v>51175</v>
      </c>
      <c r="H15" s="40" t="n">
        <v>53349</v>
      </c>
      <c r="I15" s="40" t="n">
        <v>55523</v>
      </c>
    </row>
    <row r="16" customFormat="false" ht="15" hidden="false" customHeight="true" outlineLevel="0" collapsed="false">
      <c r="B16" s="20" t="s">
        <v>202</v>
      </c>
      <c r="C16" s="40" t="n">
        <v>48173</v>
      </c>
      <c r="D16" s="40" t="n">
        <v>50657</v>
      </c>
      <c r="E16" s="40" t="n">
        <v>53142</v>
      </c>
      <c r="F16" s="40" t="n">
        <v>55627</v>
      </c>
      <c r="G16" s="40" t="n">
        <v>58112</v>
      </c>
      <c r="H16" s="40" t="n">
        <v>60596</v>
      </c>
      <c r="I16" s="40" t="n">
        <v>63081</v>
      </c>
    </row>
    <row r="17" customFormat="false" ht="15" hidden="false" customHeight="true" outlineLevel="0" collapsed="false">
      <c r="B17" s="20" t="s">
        <v>203</v>
      </c>
      <c r="C17" s="40" t="n">
        <v>53867</v>
      </c>
      <c r="D17" s="40" t="n">
        <v>56662</v>
      </c>
      <c r="E17" s="40" t="n">
        <v>59458</v>
      </c>
      <c r="F17" s="40" t="n">
        <v>62253</v>
      </c>
      <c r="G17" s="40" t="n">
        <v>65048</v>
      </c>
      <c r="H17" s="40" t="n">
        <v>67843</v>
      </c>
      <c r="I17" s="40" t="n">
        <v>70639</v>
      </c>
    </row>
    <row r="18" customFormat="false" ht="15" hidden="false" customHeight="true" outlineLevel="0" collapsed="false">
      <c r="B18" s="20" t="s">
        <v>204</v>
      </c>
      <c r="C18" s="40" t="n">
        <v>59561</v>
      </c>
      <c r="D18" s="40" t="n">
        <v>62667</v>
      </c>
      <c r="E18" s="40" t="n">
        <v>65773</v>
      </c>
      <c r="F18" s="40" t="n">
        <v>68879</v>
      </c>
      <c r="G18" s="40" t="n">
        <v>71985</v>
      </c>
      <c r="H18" s="40" t="n">
        <v>75091</v>
      </c>
      <c r="I18" s="40" t="n">
        <v>78197</v>
      </c>
    </row>
  </sheetData>
  <mergeCells count="3">
    <mergeCell ref="B1:I1"/>
    <mergeCell ref="B2:I2"/>
    <mergeCell ref="B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9" min="9" style="1" width="28"/>
  </cols>
  <sheetData>
    <row r="1" customFormat="false" ht="15.75" hidden="false" customHeight="true" outlineLevel="0" collapsed="false">
      <c r="B1" s="10" t="s">
        <v>211</v>
      </c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B2" s="11" t="s">
        <v>212</v>
      </c>
      <c r="C2" s="11" t="s">
        <v>213</v>
      </c>
      <c r="D2" s="11" t="s">
        <v>214</v>
      </c>
      <c r="E2" s="11" t="s">
        <v>215</v>
      </c>
      <c r="F2" s="11" t="s">
        <v>216</v>
      </c>
      <c r="G2" s="11" t="s">
        <v>217</v>
      </c>
      <c r="H2" s="11" t="s">
        <v>218</v>
      </c>
      <c r="I2" s="11" t="s">
        <v>44</v>
      </c>
    </row>
    <row r="3" customFormat="false" ht="15" hidden="false" customHeight="true" outlineLevel="0" collapsed="false">
      <c r="B3" s="30" t="s">
        <v>219</v>
      </c>
      <c r="C3" s="41" t="s">
        <v>8</v>
      </c>
      <c r="D3" s="42" t="n">
        <v>3535</v>
      </c>
      <c r="E3" s="43" t="n">
        <v>8.3</v>
      </c>
      <c r="F3" s="43" t="n">
        <v>5.2</v>
      </c>
      <c r="G3" s="44" t="s">
        <v>220</v>
      </c>
      <c r="H3" s="44" t="s">
        <v>22</v>
      </c>
      <c r="I3" s="45" t="s">
        <v>221</v>
      </c>
    </row>
    <row r="4" customFormat="false" ht="15" hidden="false" customHeight="true" outlineLevel="0" collapsed="false">
      <c r="B4" s="7" t="s">
        <v>222</v>
      </c>
      <c r="C4" s="27" t="s">
        <v>8</v>
      </c>
      <c r="D4" s="16" t="n">
        <v>1850</v>
      </c>
      <c r="E4" s="13" t="n">
        <v>10.5</v>
      </c>
      <c r="F4" s="13" t="n">
        <v>6.8</v>
      </c>
      <c r="G4" s="6" t="s">
        <v>223</v>
      </c>
      <c r="H4" s="6" t="s">
        <v>224</v>
      </c>
      <c r="I4" s="46" t="s">
        <v>225</v>
      </c>
    </row>
    <row r="5" customFormat="false" ht="15" hidden="false" customHeight="true" outlineLevel="0" collapsed="false">
      <c r="B5" s="7" t="s">
        <v>226</v>
      </c>
      <c r="C5" s="27" t="s">
        <v>8</v>
      </c>
      <c r="D5" s="16" t="n">
        <v>950</v>
      </c>
      <c r="E5" s="13" t="n">
        <v>12</v>
      </c>
      <c r="F5" s="13" t="n">
        <v>7.5</v>
      </c>
      <c r="G5" s="6" t="s">
        <v>227</v>
      </c>
      <c r="H5" s="6" t="s">
        <v>228</v>
      </c>
      <c r="I5" s="46" t="s">
        <v>229</v>
      </c>
    </row>
    <row r="6" customFormat="false" ht="15" hidden="false" customHeight="true" outlineLevel="0" collapsed="false">
      <c r="B6" s="7" t="s">
        <v>230</v>
      </c>
      <c r="C6" s="27" t="s">
        <v>231</v>
      </c>
      <c r="D6" s="16" t="n">
        <v>18000</v>
      </c>
      <c r="E6" s="13" t="n">
        <v>14</v>
      </c>
      <c r="F6" s="13" t="n">
        <v>9.2</v>
      </c>
      <c r="G6" s="6" t="s">
        <v>232</v>
      </c>
      <c r="H6" s="6" t="s">
        <v>233</v>
      </c>
      <c r="I6" s="46" t="s">
        <v>234</v>
      </c>
    </row>
    <row r="7" customFormat="false" ht="15" hidden="false" customHeight="true" outlineLevel="0" collapsed="false">
      <c r="B7" s="7" t="s">
        <v>235</v>
      </c>
      <c r="C7" s="27" t="s">
        <v>236</v>
      </c>
      <c r="D7" s="16" t="n">
        <v>250000</v>
      </c>
      <c r="E7" s="13" t="n">
        <v>15</v>
      </c>
      <c r="F7" s="13" t="n">
        <v>10.5</v>
      </c>
      <c r="G7" s="6" t="s">
        <v>237</v>
      </c>
      <c r="H7" s="6" t="s">
        <v>232</v>
      </c>
      <c r="I7" s="46" t="s">
        <v>238</v>
      </c>
    </row>
    <row r="8" customFormat="false" ht="15" hidden="false" customHeight="true" outlineLevel="0" collapsed="false">
      <c r="B8" s="7" t="s">
        <v>239</v>
      </c>
      <c r="C8" s="27" t="s">
        <v>240</v>
      </c>
      <c r="D8" s="16" t="n">
        <v>35000</v>
      </c>
      <c r="E8" s="13" t="n">
        <v>12.5</v>
      </c>
      <c r="F8" s="13" t="n">
        <v>8</v>
      </c>
      <c r="G8" s="6" t="s">
        <v>241</v>
      </c>
      <c r="H8" s="6" t="s">
        <v>242</v>
      </c>
      <c r="I8" s="46" t="s">
        <v>243</v>
      </c>
    </row>
    <row r="9" customFormat="false" ht="15" hidden="false" customHeight="true" outlineLevel="0" collapsed="false">
      <c r="B9" s="7" t="s">
        <v>244</v>
      </c>
      <c r="C9" s="27" t="s">
        <v>245</v>
      </c>
      <c r="D9" s="16" t="n">
        <v>1400</v>
      </c>
      <c r="E9" s="13" t="n">
        <v>11.3</v>
      </c>
      <c r="F9" s="13" t="n">
        <v>7.2</v>
      </c>
      <c r="G9" s="6" t="s">
        <v>246</v>
      </c>
      <c r="H9" s="6" t="s">
        <v>247</v>
      </c>
      <c r="I9" s="46" t="s">
        <v>248</v>
      </c>
    </row>
    <row r="10" customFormat="false" ht="15" hidden="false" customHeight="true" outlineLevel="0" collapsed="false">
      <c r="B10" s="47" t="s">
        <v>249</v>
      </c>
      <c r="C10" s="47"/>
      <c r="D10" s="47"/>
      <c r="E10" s="47"/>
      <c r="F10" s="47"/>
      <c r="G10" s="47"/>
      <c r="H10" s="47"/>
      <c r="I10" s="47"/>
    </row>
  </sheetData>
  <mergeCells count="2">
    <mergeCell ref="B1:I1"/>
    <mergeCell ref="B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4" min="3" style="1" width="30"/>
    <col collapsed="false" customWidth="true" hidden="false" outlineLevel="0" max="5" min="5" style="1" width="22"/>
  </cols>
  <sheetData>
    <row r="1" customFormat="false" ht="15.75" hidden="false" customHeight="true" outlineLevel="0" collapsed="false">
      <c r="B1" s="10" t="s">
        <v>250</v>
      </c>
      <c r="C1" s="10"/>
      <c r="D1" s="10"/>
      <c r="E1" s="10"/>
    </row>
    <row r="2" customFormat="false" ht="15" hidden="false" customHeight="true" outlineLevel="0" collapsed="false">
      <c r="B2" s="11" t="s">
        <v>251</v>
      </c>
      <c r="C2" s="11" t="s">
        <v>252</v>
      </c>
      <c r="D2" s="11" t="s">
        <v>253</v>
      </c>
      <c r="E2" s="11" t="s">
        <v>254</v>
      </c>
    </row>
    <row r="3" customFormat="false" ht="51.75" hidden="false" customHeight="true" outlineLevel="0" collapsed="false">
      <c r="B3" s="5" t="s">
        <v>255</v>
      </c>
      <c r="C3" s="48" t="s">
        <v>256</v>
      </c>
      <c r="D3" s="49" t="s">
        <v>257</v>
      </c>
      <c r="E3" s="8" t="s">
        <v>258</v>
      </c>
    </row>
    <row r="4" customFormat="false" ht="51.75" hidden="false" customHeight="true" outlineLevel="0" collapsed="false">
      <c r="B4" s="5" t="s">
        <v>259</v>
      </c>
      <c r="C4" s="48" t="s">
        <v>260</v>
      </c>
      <c r="D4" s="49" t="s">
        <v>261</v>
      </c>
      <c r="E4" s="8" t="s">
        <v>258</v>
      </c>
    </row>
    <row r="5" customFormat="false" ht="51.75" hidden="false" customHeight="true" outlineLevel="0" collapsed="false">
      <c r="B5" s="5" t="s">
        <v>262</v>
      </c>
      <c r="C5" s="48" t="s">
        <v>263</v>
      </c>
      <c r="D5" s="49" t="s">
        <v>264</v>
      </c>
      <c r="E5" s="35" t="s">
        <v>265</v>
      </c>
    </row>
    <row r="6" customFormat="false" ht="51.75" hidden="false" customHeight="true" outlineLevel="0" collapsed="false">
      <c r="B6" s="5" t="s">
        <v>266</v>
      </c>
      <c r="C6" s="48" t="s">
        <v>267</v>
      </c>
      <c r="D6" s="49" t="s">
        <v>268</v>
      </c>
      <c r="E6" s="8" t="s">
        <v>258</v>
      </c>
    </row>
    <row r="7" customFormat="false" ht="51.75" hidden="false" customHeight="true" outlineLevel="0" collapsed="false">
      <c r="B7" s="5" t="s">
        <v>269</v>
      </c>
      <c r="C7" s="48" t="s">
        <v>270</v>
      </c>
      <c r="D7" s="49" t="s">
        <v>271</v>
      </c>
      <c r="E7" s="35" t="s">
        <v>265</v>
      </c>
    </row>
    <row r="8" customFormat="false" ht="51.75" hidden="false" customHeight="true" outlineLevel="0" collapsed="false">
      <c r="B8" s="5" t="s">
        <v>272</v>
      </c>
      <c r="C8" s="48" t="s">
        <v>273</v>
      </c>
      <c r="D8" s="49" t="s">
        <v>274</v>
      </c>
      <c r="E8" s="35" t="s">
        <v>265</v>
      </c>
    </row>
    <row r="9" customFormat="false" ht="15" hidden="false" customHeight="true" outlineLevel="0" collapsed="false">
      <c r="B9" s="12" t="s">
        <v>275</v>
      </c>
      <c r="C9" s="12" t="s">
        <v>276</v>
      </c>
      <c r="D9" s="50" t="s">
        <v>277</v>
      </c>
      <c r="E9" s="8" t="s">
        <v>258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8" min="3" style="1" width="11"/>
  </cols>
  <sheetData>
    <row r="1" customFormat="false" ht="15.75" hidden="false" customHeight="true" outlineLevel="0" collapsed="false">
      <c r="B1" s="10" t="s">
        <v>278</v>
      </c>
      <c r="C1" s="10"/>
      <c r="D1" s="10"/>
      <c r="E1" s="10"/>
      <c r="F1" s="10"/>
      <c r="G1" s="10"/>
      <c r="H1" s="10"/>
    </row>
    <row r="2" customFormat="false" ht="15" hidden="false" customHeight="true" outlineLevel="0" collapsed="false">
      <c r="B2" s="11" t="s">
        <v>279</v>
      </c>
      <c r="C2" s="11" t="s">
        <v>99</v>
      </c>
      <c r="D2" s="11" t="s">
        <v>83</v>
      </c>
      <c r="E2" s="11" t="s">
        <v>84</v>
      </c>
      <c r="F2" s="11" t="s">
        <v>40</v>
      </c>
      <c r="G2" s="11" t="s">
        <v>41</v>
      </c>
      <c r="H2" s="11" t="s">
        <v>42</v>
      </c>
    </row>
    <row r="3" customFormat="false" ht="13.5" hidden="false" customHeight="true" outlineLevel="0" collapsed="false">
      <c r="B3" s="12" t="s">
        <v>280</v>
      </c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B4" s="7" t="s">
        <v>281</v>
      </c>
      <c r="C4" s="27" t="s">
        <v>245</v>
      </c>
      <c r="D4" s="18" t="n">
        <v>-0.0549951969260327</v>
      </c>
      <c r="E4" s="18" t="n">
        <v>-0.171791613722999</v>
      </c>
      <c r="F4" s="18" t="n">
        <v>0.103712795335993</v>
      </c>
      <c r="G4" s="18" t="n">
        <v>0.00945232137892688</v>
      </c>
      <c r="H4" s="18" t="n">
        <f aca="false">('04_KQKD'!H16-'04_KQKD'!G16)/'04_KQKD'!G16</f>
        <v>0.117312977099237</v>
      </c>
    </row>
    <row r="5" customFormat="false" ht="15" hidden="false" customHeight="true" outlineLevel="0" collapsed="false">
      <c r="B5" s="7" t="s">
        <v>282</v>
      </c>
      <c r="C5" s="27" t="s">
        <v>245</v>
      </c>
      <c r="D5" s="18" t="n">
        <v>-0.0907738095238095</v>
      </c>
      <c r="E5" s="18" t="n">
        <v>-0.175122749590835</v>
      </c>
      <c r="F5" s="18" t="n">
        <v>-0.154761904761905</v>
      </c>
      <c r="G5" s="18" t="n">
        <v>0.37793427230047</v>
      </c>
      <c r="H5" s="18" t="n">
        <f aca="false">('04_KQKD'!H17-'04_KQKD'!G17)/'04_KQKD'!G17</f>
        <v>-0.0338262872476003</v>
      </c>
    </row>
    <row r="6" customFormat="false" ht="15" hidden="false" customHeight="true" outlineLevel="0" collapsed="false">
      <c r="B6" s="7" t="s">
        <v>283</v>
      </c>
      <c r="C6" s="27" t="s">
        <v>245</v>
      </c>
      <c r="D6" s="18" t="n">
        <v>-0.0962479608482871</v>
      </c>
      <c r="E6" s="18" t="n">
        <v>-0.169675090252708</v>
      </c>
      <c r="F6" s="18" t="n">
        <v>-0.176086956521739</v>
      </c>
      <c r="G6" s="18" t="n">
        <v>0.411609498680739</v>
      </c>
      <c r="H6" s="18" t="n">
        <f aca="false">('04_KQKD'!H18-'04_KQKD'!G18)/'04_KQKD'!G18</f>
        <v>-0.811988473787978</v>
      </c>
    </row>
    <row r="7" customFormat="false" ht="15" hidden="false" customHeight="true" outlineLevel="0" collapsed="false">
      <c r="B7" s="7" t="s">
        <v>284</v>
      </c>
      <c r="C7" s="27" t="s">
        <v>245</v>
      </c>
      <c r="D7" s="18" t="n">
        <v>-0.212058212058212</v>
      </c>
      <c r="E7" s="18" t="n">
        <v>-0.184696569920844</v>
      </c>
      <c r="F7" s="18" t="n">
        <v>-0.216828478964401</v>
      </c>
      <c r="G7" s="18" t="n">
        <v>0.62396694214876</v>
      </c>
      <c r="H7" s="18" t="n">
        <f aca="false">('04_KQKD'!H19-'04_KQKD'!G19)/'04_KQKD'!G19</f>
        <v>0</v>
      </c>
    </row>
    <row r="8" customFormat="false" ht="13.5" hidden="false" customHeight="true" outlineLevel="0" collapsed="false">
      <c r="B8" s="12" t="s">
        <v>285</v>
      </c>
      <c r="C8" s="12"/>
      <c r="D8" s="12"/>
      <c r="E8" s="12"/>
      <c r="F8" s="12"/>
      <c r="G8" s="12"/>
      <c r="H8" s="12"/>
    </row>
    <row r="9" customFormat="false" ht="15" hidden="false" customHeight="true" outlineLevel="0" collapsed="false">
      <c r="B9" s="7" t="s">
        <v>286</v>
      </c>
      <c r="C9" s="18" t="n">
        <v>0.161383285302594</v>
      </c>
      <c r="D9" s="18" t="n">
        <v>0.155273189326557</v>
      </c>
      <c r="E9" s="18" t="n">
        <v>0.154648665234735</v>
      </c>
      <c r="F9" s="18" t="n">
        <v>0.118432026688907</v>
      </c>
      <c r="G9" s="18" t="n">
        <v>0.161663453594051</v>
      </c>
      <c r="H9" s="18" t="n">
        <f aca="false">'04_KQKD'!H6</f>
        <v>0.165</v>
      </c>
    </row>
    <row r="10" customFormat="false" ht="15" hidden="false" customHeight="true" outlineLevel="0" collapsed="false">
      <c r="B10" s="7" t="s">
        <v>287</v>
      </c>
      <c r="C10" s="18" t="n">
        <v>0.147214217098943</v>
      </c>
      <c r="D10" s="18" t="n">
        <v>0.140787801778907</v>
      </c>
      <c r="E10" s="18" t="n">
        <v>0.14114759128567</v>
      </c>
      <c r="F10" s="18" t="n">
        <v>0.105365582429803</v>
      </c>
      <c r="G10" s="18" t="n">
        <v>0.147342329936657</v>
      </c>
      <c r="H10" s="18" t="n">
        <f aca="false">'04_KQKD'!H12</f>
        <v>0.147387473207907</v>
      </c>
    </row>
    <row r="11" customFormat="false" ht="15" hidden="false" customHeight="true" outlineLevel="0" collapsed="false">
      <c r="B11" s="7" t="s">
        <v>288</v>
      </c>
      <c r="C11" s="18" t="n">
        <v>0.115513928914505</v>
      </c>
      <c r="D11" s="18" t="n">
        <v>0.0963151207115629</v>
      </c>
      <c r="E11" s="18" t="n">
        <v>0.0948143602332004</v>
      </c>
      <c r="F11" s="18" t="n">
        <v>0.0672782874617737</v>
      </c>
      <c r="G11" s="18" t="n">
        <v>0.108234646103002</v>
      </c>
      <c r="H11" s="18" t="n">
        <f aca="false">'04_KQKD'!H17</f>
        <v>0.10457346987378</v>
      </c>
    </row>
    <row r="12" customFormat="false" ht="15" hidden="false" customHeight="true" outlineLevel="0" collapsed="false">
      <c r="B12" s="7" t="s">
        <v>218</v>
      </c>
      <c r="C12" s="18" t="n">
        <v>0.300625</v>
      </c>
      <c r="D12" s="18" t="n">
        <v>0.222941176470588</v>
      </c>
      <c r="E12" s="18" t="n">
        <v>0.167117360735533</v>
      </c>
      <c r="F12" s="18" t="n">
        <v>0.120939530234883</v>
      </c>
      <c r="G12" s="18" t="n">
        <v>0.17774762550882</v>
      </c>
      <c r="H12" s="18" t="n">
        <f aca="false">'04_KQKD'!H16/'05_CĐKT'!E22</f>
        <v>0.198599728629579</v>
      </c>
    </row>
    <row r="13" customFormat="false" ht="15" hidden="false" customHeight="true" outlineLevel="0" collapsed="false">
      <c r="B13" s="7" t="s">
        <v>289</v>
      </c>
      <c r="C13" s="18" t="n">
        <v>0.19202421875</v>
      </c>
      <c r="D13" s="18" t="n">
        <v>0.157565217391304</v>
      </c>
      <c r="E13" s="18" t="n">
        <v>0.106346483704974</v>
      </c>
      <c r="F13" s="18" t="n">
        <v>0.0732397788712715</v>
      </c>
      <c r="G13" s="18" t="n">
        <v>0.101878022967676</v>
      </c>
      <c r="H13" s="18" t="n">
        <f aca="false">'04_KQKD'!H8*(1-'02_Giả định'!E12)/'05_CĐKT'!F13</f>
        <v>0.102234114051662</v>
      </c>
    </row>
    <row r="14" customFormat="false" ht="13.5" hidden="false" customHeight="true" outlineLevel="0" collapsed="false">
      <c r="B14" s="12" t="s">
        <v>290</v>
      </c>
      <c r="C14" s="12"/>
      <c r="D14" s="12"/>
      <c r="E14" s="12"/>
      <c r="F14" s="12"/>
      <c r="G14" s="12"/>
      <c r="H14" s="12"/>
    </row>
    <row r="15" customFormat="false" ht="15" hidden="false" customHeight="true" outlineLevel="0" collapsed="false">
      <c r="B15" s="7" t="s">
        <v>291</v>
      </c>
      <c r="C15" s="27" t="s">
        <v>245</v>
      </c>
      <c r="D15" s="27" t="s">
        <v>245</v>
      </c>
      <c r="E15" s="13" t="n">
        <v>0.574905354245538</v>
      </c>
      <c r="F15" s="13" t="n">
        <v>0.620689655172414</v>
      </c>
      <c r="G15" s="13" t="n">
        <v>0.618724559023066</v>
      </c>
      <c r="H15" s="13" t="n">
        <f aca="false">'05_CĐKT'!F18/'05_CĐKT'!F22</f>
        <v>0.531692341130763</v>
      </c>
    </row>
    <row r="16" customFormat="false" ht="15" hidden="false" customHeight="true" outlineLevel="0" collapsed="false">
      <c r="B16" s="7" t="s">
        <v>292</v>
      </c>
      <c r="C16" s="27" t="s">
        <v>245</v>
      </c>
      <c r="D16" s="27" t="s">
        <v>245</v>
      </c>
      <c r="E16" s="13" t="n">
        <v>0.769565217391304</v>
      </c>
      <c r="F16" s="13" t="n">
        <v>-0.387862796833773</v>
      </c>
      <c r="G16" s="13" t="n">
        <v>-0.472897196261682</v>
      </c>
      <c r="H16" s="13" t="n">
        <f aca="false">('05_CĐKT'!F15-'05_CĐKT'!F4-'05_CĐKT'!F5)/'04_KQKD'!H11</f>
        <v>-0.458909643226473</v>
      </c>
    </row>
    <row r="17" customFormat="false" ht="13.5" hidden="false" customHeight="true" outlineLevel="0" collapsed="false">
      <c r="B17" s="12" t="s">
        <v>293</v>
      </c>
      <c r="C17" s="12"/>
      <c r="D17" s="12"/>
      <c r="E17" s="12"/>
      <c r="F17" s="12"/>
      <c r="G17" s="12"/>
      <c r="H17" s="12"/>
    </row>
    <row r="18" customFormat="false" ht="15" hidden="false" customHeight="true" outlineLevel="0" collapsed="false">
      <c r="B18" s="7" t="s">
        <v>294</v>
      </c>
      <c r="C18" s="27" t="s">
        <v>245</v>
      </c>
      <c r="D18" s="27" t="s">
        <v>245</v>
      </c>
      <c r="E18" s="13" t="n">
        <v>1.48447789275635</v>
      </c>
      <c r="F18" s="13" t="n">
        <v>1.80434782608696</v>
      </c>
      <c r="G18" s="13" t="n">
        <v>1.88523391812866</v>
      </c>
      <c r="H18" s="13" t="n">
        <f aca="false">'05_CĐKT'!F9/'05_CĐKT'!F18</f>
        <v>1.92184040197581</v>
      </c>
    </row>
    <row r="19" customFormat="false" ht="15" hidden="false" customHeight="true" outlineLevel="0" collapsed="false">
      <c r="B19" s="7" t="s">
        <v>295</v>
      </c>
      <c r="C19" s="27" t="s">
        <v>245</v>
      </c>
      <c r="D19" s="27" t="s">
        <v>245</v>
      </c>
      <c r="E19" s="13" t="n">
        <v>0.916274694261524</v>
      </c>
      <c r="F19" s="13" t="n">
        <v>1.2914653784219</v>
      </c>
      <c r="G19" s="13" t="n">
        <v>1.40497076023392</v>
      </c>
      <c r="H19" s="13" t="n">
        <f aca="false">('05_CĐKT'!F4+'05_CĐKT'!F5+'05_CĐKT'!F6)/'05_CĐKT'!F18</f>
        <v>1.43225174586953</v>
      </c>
    </row>
    <row r="20" customFormat="false" ht="13.5" hidden="false" customHeight="true" outlineLevel="0" collapsed="false">
      <c r="B20" s="12" t="s">
        <v>296</v>
      </c>
      <c r="C20" s="12"/>
      <c r="D20" s="12"/>
      <c r="E20" s="12"/>
      <c r="F20" s="12"/>
      <c r="G20" s="12"/>
      <c r="H20" s="12"/>
    </row>
    <row r="21" customFormat="false" ht="15" hidden="false" customHeight="true" outlineLevel="0" collapsed="false">
      <c r="B21" s="7" t="s">
        <v>297</v>
      </c>
      <c r="C21" s="13" t="n">
        <v>7.49385749385749</v>
      </c>
      <c r="D21" s="13" t="n">
        <v>9.50649350649351</v>
      </c>
      <c r="E21" s="13" t="n">
        <v>11.779851947216</v>
      </c>
      <c r="F21" s="13" t="n">
        <v>14.8780487804878</v>
      </c>
      <c r="G21" s="13" t="n">
        <v>9.17753259779338</v>
      </c>
      <c r="H21" s="13" t="n">
        <f aca="false">C3/'04_KQKD'!H20</f>
        <v>0</v>
      </c>
    </row>
    <row r="22" customFormat="false" ht="15" hidden="false" customHeight="true" outlineLevel="0" collapsed="false">
      <c r="B22" s="7" t="s">
        <v>298</v>
      </c>
      <c r="C22" s="13" t="n">
        <v>1.96399666666667</v>
      </c>
      <c r="D22" s="13" t="n">
        <v>1.96399666666667</v>
      </c>
      <c r="E22" s="13" t="n">
        <v>1.91194916170903</v>
      </c>
      <c r="F22" s="13" t="n">
        <v>1.76671364317841</v>
      </c>
      <c r="G22" s="13" t="n">
        <v>1.5989118046133</v>
      </c>
      <c r="H22" s="13" t="n">
        <f aca="false">36600/'05_CĐKT'!F25</f>
        <v>1.33398311915306</v>
      </c>
    </row>
    <row r="23" customFormat="false" ht="15" hidden="false" customHeight="true" outlineLevel="0" collapsed="false">
      <c r="B23" s="7" t="s">
        <v>216</v>
      </c>
      <c r="C23" s="13" t="n">
        <v>5.76703752039152</v>
      </c>
      <c r="D23" s="13" t="n">
        <v>6.3812166064982</v>
      </c>
      <c r="E23" s="13" t="n">
        <v>8.45476956521739</v>
      </c>
      <c r="F23" s="13" t="n">
        <v>8.93982585751979</v>
      </c>
      <c r="G23" s="13" t="n">
        <v>6.13494205607477</v>
      </c>
      <c r="H23" s="13" t="n">
        <f aca="false">(C3*96.59/1000-'05_CĐKT'!F24)/'04_KQKD'!H11</f>
        <v>-0.458909643226473</v>
      </c>
    </row>
    <row r="24" customFormat="false" ht="15" hidden="false" customHeight="true" outlineLevel="0" collapsed="false">
      <c r="B24" s="7" t="s">
        <v>299</v>
      </c>
      <c r="C24" s="18" t="n">
        <v>0.0546448087431694</v>
      </c>
      <c r="D24" s="18" t="n">
        <v>0.0546448087431694</v>
      </c>
      <c r="E24" s="18" t="n">
        <v>0.0546448087431694</v>
      </c>
      <c r="F24" s="18" t="n">
        <v>0.0546448087431694</v>
      </c>
      <c r="G24" s="18" t="n">
        <v>0.0546448087431694</v>
      </c>
      <c r="H24" s="18" t="n">
        <v>0.0546448087431694</v>
      </c>
    </row>
  </sheetData>
  <mergeCells count="6">
    <mergeCell ref="B1:H1"/>
    <mergeCell ref="B3:H3"/>
    <mergeCell ref="B8:H8"/>
    <mergeCell ref="B14:H14"/>
    <mergeCell ref="B17:H17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2"/>
  </cols>
  <sheetData>
    <row r="1" customFormat="false" ht="21.75" hidden="false" customHeight="true" outlineLevel="0" collapsed="false">
      <c r="B1" s="10" t="s">
        <v>300</v>
      </c>
      <c r="C1" s="10"/>
      <c r="D1" s="10"/>
      <c r="E1" s="10"/>
      <c r="F1" s="10"/>
      <c r="G1" s="10"/>
      <c r="H1" s="10"/>
    </row>
    <row r="2" customFormat="false" ht="18" hidden="false" customHeight="true" outlineLevel="0" collapsed="false">
      <c r="B2" s="51" t="s">
        <v>301</v>
      </c>
      <c r="C2" s="51"/>
      <c r="D2" s="51"/>
      <c r="E2" s="51"/>
      <c r="F2" s="51"/>
      <c r="G2" s="51"/>
      <c r="H2" s="51"/>
    </row>
    <row r="4" customFormat="false" ht="13.5" hidden="false" customHeight="true" outlineLevel="0" collapsed="false">
      <c r="B4" s="52" t="s">
        <v>302</v>
      </c>
      <c r="C4" s="52"/>
      <c r="D4" s="52"/>
      <c r="E4" s="52"/>
      <c r="F4" s="52"/>
      <c r="G4" s="52"/>
      <c r="H4" s="52"/>
      <c r="I4" s="52"/>
    </row>
    <row r="5" customFormat="false" ht="27.75" hidden="false" customHeight="true" outlineLevel="0" collapsed="false">
      <c r="B5" s="53" t="s">
        <v>303</v>
      </c>
      <c r="C5" s="53" t="s">
        <v>304</v>
      </c>
      <c r="D5" s="53" t="s">
        <v>305</v>
      </c>
      <c r="E5" s="53" t="s">
        <v>306</v>
      </c>
      <c r="F5" s="53" t="s">
        <v>307</v>
      </c>
      <c r="G5" s="53" t="s">
        <v>308</v>
      </c>
      <c r="H5" s="53" t="s">
        <v>309</v>
      </c>
    </row>
    <row r="6" customFormat="false" ht="30" hidden="false" customHeight="true" outlineLevel="0" collapsed="false">
      <c r="B6" s="54" t="s">
        <v>310</v>
      </c>
      <c r="C6" s="27" t="s">
        <v>311</v>
      </c>
      <c r="D6" s="8" t="s">
        <v>312</v>
      </c>
      <c r="E6" s="35" t="s">
        <v>313</v>
      </c>
      <c r="F6" s="34" t="s">
        <v>314</v>
      </c>
      <c r="G6" s="54" t="s">
        <v>315</v>
      </c>
      <c r="H6" s="27" t="s">
        <v>316</v>
      </c>
    </row>
    <row r="7" customFormat="false" ht="30" hidden="false" customHeight="true" outlineLevel="0" collapsed="false">
      <c r="B7" s="55" t="s">
        <v>317</v>
      </c>
      <c r="C7" s="56" t="s">
        <v>318</v>
      </c>
      <c r="D7" s="8" t="s">
        <v>319</v>
      </c>
      <c r="E7" s="35" t="s">
        <v>320</v>
      </c>
      <c r="F7" s="34" t="s">
        <v>321</v>
      </c>
      <c r="G7" s="55" t="s">
        <v>322</v>
      </c>
      <c r="H7" s="56" t="s">
        <v>323</v>
      </c>
    </row>
    <row r="8" customFormat="false" ht="30" hidden="false" customHeight="true" outlineLevel="0" collapsed="false">
      <c r="B8" s="54" t="s">
        <v>324</v>
      </c>
      <c r="C8" s="27" t="s">
        <v>325</v>
      </c>
      <c r="D8" s="8" t="s">
        <v>326</v>
      </c>
      <c r="E8" s="35" t="s">
        <v>327</v>
      </c>
      <c r="F8" s="34" t="s">
        <v>328</v>
      </c>
      <c r="G8" s="54" t="s">
        <v>329</v>
      </c>
      <c r="H8" s="27" t="s">
        <v>316</v>
      </c>
    </row>
    <row r="9" customFormat="false" ht="30" hidden="false" customHeight="true" outlineLevel="0" collapsed="false">
      <c r="B9" s="55" t="s">
        <v>330</v>
      </c>
      <c r="C9" s="56" t="s">
        <v>331</v>
      </c>
      <c r="D9" s="8" t="s">
        <v>332</v>
      </c>
      <c r="E9" s="35" t="s">
        <v>333</v>
      </c>
      <c r="F9" s="34" t="s">
        <v>334</v>
      </c>
      <c r="G9" s="55" t="s">
        <v>335</v>
      </c>
      <c r="H9" s="56" t="s">
        <v>323</v>
      </c>
    </row>
    <row r="10" customFormat="false" ht="30" hidden="false" customHeight="true" outlineLevel="0" collapsed="false">
      <c r="B10" s="54" t="s">
        <v>336</v>
      </c>
      <c r="C10" s="27" t="s">
        <v>337</v>
      </c>
      <c r="D10" s="8" t="s">
        <v>338</v>
      </c>
      <c r="E10" s="35" t="s">
        <v>339</v>
      </c>
      <c r="F10" s="34" t="s">
        <v>340</v>
      </c>
      <c r="G10" s="54" t="s">
        <v>341</v>
      </c>
      <c r="H10" s="27" t="s">
        <v>342</v>
      </c>
    </row>
    <row r="12" customFormat="false" ht="13.5" hidden="false" customHeight="true" outlineLevel="0" collapsed="false">
      <c r="B12" s="52" t="s">
        <v>343</v>
      </c>
      <c r="C12" s="52"/>
      <c r="D12" s="52"/>
      <c r="E12" s="52"/>
      <c r="F12" s="52"/>
      <c r="G12" s="52"/>
      <c r="H12" s="52"/>
      <c r="I12" s="52"/>
    </row>
    <row r="13" customFormat="false" ht="27.75" hidden="false" customHeight="true" outlineLevel="0" collapsed="false">
      <c r="B13" s="53" t="s">
        <v>303</v>
      </c>
      <c r="C13" s="53" t="s">
        <v>304</v>
      </c>
      <c r="D13" s="53" t="s">
        <v>305</v>
      </c>
      <c r="E13" s="53" t="s">
        <v>306</v>
      </c>
      <c r="F13" s="53" t="s">
        <v>307</v>
      </c>
      <c r="G13" s="53" t="s">
        <v>308</v>
      </c>
      <c r="H13" s="53" t="s">
        <v>309</v>
      </c>
    </row>
    <row r="14" customFormat="false" ht="30" hidden="false" customHeight="true" outlineLevel="0" collapsed="false">
      <c r="B14" s="54" t="s">
        <v>344</v>
      </c>
      <c r="C14" s="27" t="s">
        <v>345</v>
      </c>
      <c r="D14" s="8" t="s">
        <v>346</v>
      </c>
      <c r="E14" s="35" t="s">
        <v>347</v>
      </c>
      <c r="F14" s="34" t="s">
        <v>348</v>
      </c>
      <c r="G14" s="54" t="s">
        <v>349</v>
      </c>
      <c r="H14" s="27" t="s">
        <v>323</v>
      </c>
    </row>
    <row r="15" customFormat="false" ht="30" hidden="false" customHeight="true" outlineLevel="0" collapsed="false">
      <c r="B15" s="55" t="s">
        <v>350</v>
      </c>
      <c r="C15" s="56" t="s">
        <v>345</v>
      </c>
      <c r="D15" s="8" t="s">
        <v>351</v>
      </c>
      <c r="E15" s="35" t="s">
        <v>352</v>
      </c>
      <c r="F15" s="34" t="s">
        <v>348</v>
      </c>
      <c r="G15" s="55" t="s">
        <v>353</v>
      </c>
      <c r="H15" s="56" t="s">
        <v>323</v>
      </c>
    </row>
    <row r="16" customFormat="false" ht="30" hidden="false" customHeight="true" outlineLevel="0" collapsed="false">
      <c r="B16" s="54" t="s">
        <v>53</v>
      </c>
      <c r="C16" s="27" t="s">
        <v>354</v>
      </c>
      <c r="D16" s="8" t="s">
        <v>355</v>
      </c>
      <c r="E16" s="35" t="s">
        <v>356</v>
      </c>
      <c r="F16" s="34" t="s">
        <v>357</v>
      </c>
      <c r="G16" s="54" t="s">
        <v>358</v>
      </c>
      <c r="H16" s="27" t="s">
        <v>323</v>
      </c>
    </row>
    <row r="17" customFormat="false" ht="30" hidden="false" customHeight="true" outlineLevel="0" collapsed="false">
      <c r="B17" s="55" t="s">
        <v>292</v>
      </c>
      <c r="C17" s="56" t="s">
        <v>359</v>
      </c>
      <c r="D17" s="8" t="s">
        <v>360</v>
      </c>
      <c r="E17" s="35" t="s">
        <v>361</v>
      </c>
      <c r="F17" s="34" t="s">
        <v>362</v>
      </c>
      <c r="G17" s="55" t="s">
        <v>363</v>
      </c>
      <c r="H17" s="56" t="s">
        <v>323</v>
      </c>
    </row>
    <row r="18" customFormat="false" ht="30" hidden="false" customHeight="true" outlineLevel="0" collapsed="false">
      <c r="B18" s="54" t="s">
        <v>364</v>
      </c>
      <c r="C18" s="27" t="s">
        <v>365</v>
      </c>
      <c r="D18" s="8" t="s">
        <v>366</v>
      </c>
      <c r="E18" s="35" t="s">
        <v>367</v>
      </c>
      <c r="F18" s="34" t="s">
        <v>368</v>
      </c>
      <c r="G18" s="54" t="s">
        <v>369</v>
      </c>
      <c r="H18" s="27" t="s">
        <v>323</v>
      </c>
    </row>
    <row r="19" customFormat="false" ht="30" hidden="false" customHeight="true" outlineLevel="0" collapsed="false">
      <c r="B19" s="55" t="s">
        <v>370</v>
      </c>
      <c r="C19" s="56" t="s">
        <v>371</v>
      </c>
      <c r="D19" s="8" t="s">
        <v>372</v>
      </c>
      <c r="E19" s="35" t="s">
        <v>373</v>
      </c>
      <c r="F19" s="34" t="s">
        <v>374</v>
      </c>
      <c r="G19" s="55" t="s">
        <v>375</v>
      </c>
      <c r="H19" s="56" t="s">
        <v>376</v>
      </c>
    </row>
    <row r="21" customFormat="false" ht="13.5" hidden="false" customHeight="true" outlineLevel="0" collapsed="false">
      <c r="B21" s="52" t="s">
        <v>377</v>
      </c>
      <c r="C21" s="52"/>
      <c r="D21" s="52"/>
      <c r="E21" s="52"/>
      <c r="F21" s="52"/>
      <c r="G21" s="52"/>
      <c r="H21" s="52"/>
      <c r="I21" s="52"/>
    </row>
    <row r="22" customFormat="false" ht="18" hidden="false" customHeight="true" outlineLevel="0" collapsed="false">
      <c r="B22" s="11" t="s">
        <v>378</v>
      </c>
      <c r="C22" s="11" t="s">
        <v>379</v>
      </c>
      <c r="D22" s="11" t="s">
        <v>380</v>
      </c>
      <c r="E22" s="11" t="s">
        <v>381</v>
      </c>
      <c r="F22" s="11" t="s">
        <v>382</v>
      </c>
      <c r="G22" s="11" t="s">
        <v>44</v>
      </c>
    </row>
    <row r="23" customFormat="false" ht="30" hidden="false" customHeight="true" outlineLevel="0" collapsed="false">
      <c r="B23" s="54" t="s">
        <v>383</v>
      </c>
      <c r="C23" s="27" t="s">
        <v>384</v>
      </c>
      <c r="D23" s="27" t="s">
        <v>385</v>
      </c>
      <c r="E23" s="27" t="s">
        <v>386</v>
      </c>
      <c r="F23" s="8" t="s">
        <v>387</v>
      </c>
      <c r="G23" s="54" t="s">
        <v>388</v>
      </c>
    </row>
    <row r="24" customFormat="false" ht="30" hidden="false" customHeight="true" outlineLevel="0" collapsed="false">
      <c r="B24" s="55" t="s">
        <v>389</v>
      </c>
      <c r="C24" s="56" t="s">
        <v>390</v>
      </c>
      <c r="D24" s="56" t="s">
        <v>391</v>
      </c>
      <c r="E24" s="56" t="s">
        <v>392</v>
      </c>
      <c r="F24" s="8" t="s">
        <v>387</v>
      </c>
      <c r="G24" s="55" t="s">
        <v>393</v>
      </c>
    </row>
    <row r="25" customFormat="false" ht="30" hidden="false" customHeight="true" outlineLevel="0" collapsed="false">
      <c r="B25" s="54" t="s">
        <v>394</v>
      </c>
      <c r="C25" s="27" t="s">
        <v>395</v>
      </c>
      <c r="D25" s="27" t="s">
        <v>391</v>
      </c>
      <c r="E25" s="27" t="s">
        <v>396</v>
      </c>
      <c r="F25" s="8" t="s">
        <v>387</v>
      </c>
      <c r="G25" s="54" t="s">
        <v>397</v>
      </c>
    </row>
    <row r="26" customFormat="false" ht="30" hidden="false" customHeight="true" outlineLevel="0" collapsed="false">
      <c r="B26" s="55" t="s">
        <v>398</v>
      </c>
      <c r="C26" s="56" t="s">
        <v>399</v>
      </c>
      <c r="D26" s="56" t="s">
        <v>385</v>
      </c>
      <c r="E26" s="56" t="s">
        <v>400</v>
      </c>
      <c r="F26" s="34" t="s">
        <v>401</v>
      </c>
      <c r="G26" s="55" t="s">
        <v>402</v>
      </c>
    </row>
    <row r="27" customFormat="false" ht="30" hidden="false" customHeight="true" outlineLevel="0" collapsed="false">
      <c r="B27" s="54" t="s">
        <v>403</v>
      </c>
      <c r="C27" s="27" t="s">
        <v>404</v>
      </c>
      <c r="D27" s="27" t="s">
        <v>385</v>
      </c>
      <c r="E27" s="27" t="s">
        <v>405</v>
      </c>
      <c r="F27" s="35" t="s">
        <v>406</v>
      </c>
      <c r="G27" s="54" t="s">
        <v>407</v>
      </c>
    </row>
    <row r="29" customFormat="false" ht="13.5" hidden="false" customHeight="true" outlineLevel="0" collapsed="false">
      <c r="B29" s="57" t="s">
        <v>408</v>
      </c>
      <c r="C29" s="57"/>
      <c r="D29" s="57"/>
      <c r="E29" s="57"/>
      <c r="F29" s="57"/>
      <c r="G29" s="57"/>
      <c r="H29" s="57"/>
    </row>
    <row r="30" customFormat="false" ht="15.75" hidden="false" customHeight="true" outlineLevel="0" collapsed="false">
      <c r="B30" s="58" t="s">
        <v>409</v>
      </c>
      <c r="C30" s="58"/>
      <c r="D30" s="58"/>
      <c r="E30" s="58"/>
      <c r="F30" s="58"/>
      <c r="G30" s="58"/>
      <c r="H30" s="58"/>
    </row>
    <row r="31" customFormat="false" ht="19.5" hidden="false" customHeight="true" outlineLevel="0" collapsed="false">
      <c r="B31" s="49" t="s">
        <v>410</v>
      </c>
      <c r="C31" s="49"/>
      <c r="D31" s="49"/>
      <c r="E31" s="49"/>
      <c r="F31" s="49"/>
      <c r="G31" s="49"/>
      <c r="H31" s="49"/>
    </row>
    <row r="32" customFormat="false" ht="19.5" hidden="false" customHeight="true" outlineLevel="0" collapsed="false">
      <c r="B32" s="49" t="s">
        <v>411</v>
      </c>
      <c r="C32" s="49"/>
      <c r="D32" s="49"/>
      <c r="E32" s="49"/>
      <c r="F32" s="49"/>
      <c r="G32" s="49"/>
      <c r="H32" s="49"/>
    </row>
    <row r="33" customFormat="false" ht="19.5" hidden="false" customHeight="true" outlineLevel="0" collapsed="false">
      <c r="B33" s="49" t="s">
        <v>412</v>
      </c>
      <c r="C33" s="49"/>
      <c r="D33" s="49"/>
      <c r="E33" s="49"/>
      <c r="F33" s="49"/>
      <c r="G33" s="49"/>
      <c r="H33" s="49"/>
    </row>
    <row r="34" customFormat="false" ht="19.5" hidden="false" customHeight="true" outlineLevel="0" collapsed="false">
      <c r="B34" s="49" t="s">
        <v>413</v>
      </c>
      <c r="C34" s="49"/>
      <c r="D34" s="49"/>
      <c r="E34" s="49"/>
      <c r="F34" s="49"/>
      <c r="G34" s="49"/>
      <c r="H34" s="49"/>
    </row>
    <row r="35" customFormat="false" ht="19.5" hidden="false" customHeight="true" outlineLevel="0" collapsed="false">
      <c r="B35" s="49" t="s">
        <v>414</v>
      </c>
      <c r="C35" s="49"/>
      <c r="D35" s="49"/>
      <c r="E35" s="49"/>
      <c r="F35" s="49"/>
      <c r="G35" s="49"/>
      <c r="H35" s="49"/>
    </row>
    <row r="37" customFormat="false" ht="15.75" hidden="false" customHeight="true" outlineLevel="0" collapsed="false">
      <c r="B37" s="59" t="s">
        <v>415</v>
      </c>
      <c r="C37" s="59"/>
      <c r="D37" s="59"/>
      <c r="E37" s="59"/>
      <c r="F37" s="59"/>
      <c r="G37" s="59"/>
      <c r="H37" s="59"/>
    </row>
    <row r="38" customFormat="false" ht="19.5" hidden="false" customHeight="true" outlineLevel="0" collapsed="false">
      <c r="B38" s="48" t="s">
        <v>416</v>
      </c>
      <c r="C38" s="48"/>
      <c r="D38" s="48"/>
      <c r="E38" s="48"/>
      <c r="F38" s="48"/>
      <c r="G38" s="48"/>
      <c r="H38" s="48"/>
    </row>
    <row r="39" customFormat="false" ht="19.5" hidden="false" customHeight="true" outlineLevel="0" collapsed="false">
      <c r="B39" s="48" t="s">
        <v>417</v>
      </c>
      <c r="C39" s="48"/>
      <c r="D39" s="48"/>
      <c r="E39" s="48"/>
      <c r="F39" s="48"/>
      <c r="G39" s="48"/>
      <c r="H39" s="48"/>
    </row>
    <row r="40" customFormat="false" ht="19.5" hidden="false" customHeight="true" outlineLevel="0" collapsed="false">
      <c r="B40" s="48" t="s">
        <v>418</v>
      </c>
      <c r="C40" s="48"/>
      <c r="D40" s="48"/>
      <c r="E40" s="48"/>
      <c r="F40" s="48"/>
      <c r="G40" s="48"/>
      <c r="H40" s="48"/>
    </row>
    <row r="41" customFormat="false" ht="19.5" hidden="false" customHeight="true" outlineLevel="0" collapsed="false">
      <c r="B41" s="48" t="s">
        <v>419</v>
      </c>
      <c r="C41" s="48"/>
      <c r="D41" s="48"/>
      <c r="E41" s="48"/>
      <c r="F41" s="48"/>
      <c r="G41" s="48"/>
      <c r="H41" s="48"/>
    </row>
    <row r="42" customFormat="false" ht="19.5" hidden="false" customHeight="true" outlineLevel="0" collapsed="false">
      <c r="B42" s="48" t="s">
        <v>420</v>
      </c>
      <c r="C42" s="48"/>
      <c r="D42" s="48"/>
      <c r="E42" s="48"/>
      <c r="F42" s="48"/>
      <c r="G42" s="48"/>
      <c r="H42" s="48"/>
    </row>
  </sheetData>
  <mergeCells count="18">
    <mergeCell ref="B1:H1"/>
    <mergeCell ref="B2:H2"/>
    <mergeCell ref="B4:I4"/>
    <mergeCell ref="B12:I12"/>
    <mergeCell ref="B21:I21"/>
    <mergeCell ref="B29:H29"/>
    <mergeCell ref="B30:H30"/>
    <mergeCell ref="B31:H31"/>
    <mergeCell ref="B32:H32"/>
    <mergeCell ref="B33:H33"/>
    <mergeCell ref="B34:H34"/>
    <mergeCell ref="B35:H35"/>
    <mergeCell ref="B37:H37"/>
    <mergeCell ref="B38:H38"/>
    <mergeCell ref="B39:H39"/>
    <mergeCell ref="B40:H40"/>
    <mergeCell ref="B41:H41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2026-06-17T08:04:04Z</dcterms:created>
  <dc:creator>openpyxl</dc:creator>
  <dc:description/>
  <dc:language>en-US</dc:language>
  <cp:lastModifiedBy/>
  <dcterms:modified xsi:type="dcterms:W3CDTF">2026-06-17T08:21:29Z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