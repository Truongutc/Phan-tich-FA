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70321AAF-16CA-4AD4-A13F-241C309A66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nh doanh" sheetId="1" r:id="rId1"/>
    <sheet name="Diễn biến" sheetId="2" r:id="rId2"/>
    <sheet name="Sheet3" sheetId="3" r:id="rId3"/>
  </sheets>
  <definedNames>
    <definedName name="_xlchart.v1.0" hidden="1">'Kinh doanh'!$B$21:$I$21</definedName>
    <definedName name="_xlchart.v1.1" hidden="1">'Kinh doanh'!$B$30:$I$30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C34" i="1"/>
  <c r="D34" i="1"/>
  <c r="E34" i="1"/>
  <c r="F34" i="1"/>
  <c r="G34" i="1"/>
  <c r="H34" i="1"/>
  <c r="B34" i="1"/>
  <c r="C33" i="1"/>
  <c r="D33" i="1"/>
  <c r="E33" i="1"/>
  <c r="F33" i="1"/>
  <c r="G33" i="1"/>
  <c r="H33" i="1"/>
  <c r="B33" i="1"/>
  <c r="C32" i="1"/>
  <c r="D32" i="1"/>
  <c r="E32" i="1"/>
  <c r="F32" i="1"/>
  <c r="G32" i="1"/>
  <c r="H32" i="1"/>
  <c r="B32" i="1"/>
  <c r="H14" i="1"/>
  <c r="G14" i="1"/>
  <c r="H13" i="1"/>
  <c r="H22" i="1"/>
  <c r="H23" i="1"/>
  <c r="H24" i="1"/>
  <c r="H25" i="1"/>
  <c r="H26" i="1"/>
  <c r="H27" i="1"/>
  <c r="H28" i="1"/>
  <c r="H29" i="1"/>
  <c r="H30" i="1"/>
  <c r="H21" i="1"/>
  <c r="AG5" i="2"/>
  <c r="AG6" i="2"/>
  <c r="AG8" i="2" s="1"/>
  <c r="AG7" i="2"/>
  <c r="AI47" i="1"/>
  <c r="AI46" i="1"/>
  <c r="AI45" i="1"/>
  <c r="AI44" i="1"/>
  <c r="AI42" i="1"/>
  <c r="AG32" i="2"/>
  <c r="AG31" i="2"/>
  <c r="AG30" i="2"/>
  <c r="AG18" i="2"/>
  <c r="AG17" i="2"/>
  <c r="AG16" i="2"/>
  <c r="AG15" i="2"/>
  <c r="I53" i="1"/>
  <c r="H53" i="1"/>
  <c r="H57" i="1" s="1"/>
  <c r="H58" i="1" s="1"/>
  <c r="C19" i="1"/>
  <c r="D19" i="1"/>
  <c r="E19" i="1"/>
  <c r="F19" i="1"/>
  <c r="B19" i="1"/>
  <c r="B16" i="1"/>
  <c r="B17" i="1" s="1"/>
  <c r="C16" i="1"/>
  <c r="C17" i="1" s="1"/>
  <c r="D16" i="1"/>
  <c r="D17" i="1" s="1"/>
  <c r="E16" i="1"/>
  <c r="E17" i="1" s="1"/>
  <c r="F16" i="1"/>
  <c r="G16" i="1"/>
  <c r="G17" i="1" s="1"/>
  <c r="AH15" i="1"/>
  <c r="AH16" i="1"/>
  <c r="AH42" i="1"/>
  <c r="AH44" i="1"/>
  <c r="AH45" i="1"/>
  <c r="AH46" i="1"/>
  <c r="AH47" i="1"/>
  <c r="AJ18" i="2"/>
  <c r="AF6" i="2"/>
  <c r="AF8" i="2" s="1"/>
  <c r="AF5" i="2"/>
  <c r="AF4" i="2"/>
  <c r="AG41" i="1"/>
  <c r="AF41" i="1"/>
  <c r="AF37" i="1"/>
  <c r="AG42" i="1" s="1"/>
  <c r="AE42" i="1"/>
  <c r="AE41" i="1"/>
  <c r="AD15" i="1"/>
  <c r="AE15" i="1"/>
  <c r="AF15" i="1"/>
  <c r="AG15" i="1"/>
  <c r="AD16" i="1"/>
  <c r="AE16" i="1"/>
  <c r="AF16" i="1"/>
  <c r="AG16" i="1"/>
  <c r="Q6" i="1"/>
  <c r="Q5" i="1"/>
  <c r="Q4" i="1"/>
  <c r="M7" i="1"/>
  <c r="N7" i="1"/>
  <c r="O7" i="1"/>
  <c r="P7" i="1"/>
  <c r="L7" i="1"/>
  <c r="M3" i="1"/>
  <c r="N3" i="1" s="1"/>
  <c r="O3" i="1" s="1"/>
  <c r="P3" i="1" s="1"/>
  <c r="H65" i="1"/>
  <c r="H98" i="1"/>
  <c r="I97" i="1"/>
  <c r="I60" i="1"/>
  <c r="H60" i="1"/>
  <c r="G13" i="1"/>
  <c r="AG43" i="1" l="1"/>
  <c r="AE43" i="1"/>
  <c r="Q7" i="1"/>
  <c r="AF43" i="1"/>
  <c r="AI16" i="2"/>
  <c r="G22" i="1"/>
  <c r="G23" i="1"/>
  <c r="G24" i="1"/>
  <c r="G25" i="1"/>
  <c r="G26" i="1"/>
  <c r="G27" i="1"/>
  <c r="G28" i="1"/>
  <c r="G29" i="1"/>
  <c r="G30" i="1"/>
  <c r="G41" i="1" s="1"/>
  <c r="G21" i="1"/>
  <c r="AF31" i="2"/>
  <c r="AF17" i="2"/>
  <c r="AF16" i="2"/>
  <c r="AF30" i="2" s="1"/>
  <c r="AF14" i="2"/>
  <c r="AF18" i="2" s="1"/>
  <c r="AF32" i="2" s="1"/>
  <c r="AE32" i="2"/>
  <c r="AE31" i="2"/>
  <c r="AE18" i="2"/>
  <c r="AE17" i="2"/>
  <c r="AE16" i="2"/>
  <c r="AE30" i="2" s="1"/>
  <c r="AE15" i="2"/>
  <c r="AF15" i="2" s="1"/>
  <c r="AD23" i="2"/>
  <c r="AD18" i="2"/>
  <c r="AD17" i="2"/>
  <c r="AM17" i="2" s="1"/>
  <c r="AD16" i="2"/>
  <c r="AM16" i="2" s="1"/>
  <c r="AC31" i="2"/>
  <c r="AC30" i="2"/>
  <c r="AC18" i="2"/>
  <c r="AC32" i="2" s="1"/>
  <c r="AC17" i="2"/>
  <c r="AC16" i="2"/>
  <c r="AC15" i="2"/>
  <c r="AB32" i="2"/>
  <c r="AB30" i="2"/>
  <c r="AB18" i="2"/>
  <c r="AB17" i="2"/>
  <c r="AB31" i="2" s="1"/>
  <c r="AB16" i="2"/>
  <c r="AB15" i="2"/>
  <c r="V7" i="2"/>
  <c r="W7" i="2"/>
  <c r="X7" i="2"/>
  <c r="Y7" i="2"/>
  <c r="Z7" i="2"/>
  <c r="AA7" i="2"/>
  <c r="AC7" i="2"/>
  <c r="AD7" i="2"/>
  <c r="AE7" i="2"/>
  <c r="V8" i="2"/>
  <c r="W8" i="2"/>
  <c r="X8" i="2"/>
  <c r="Y8" i="2"/>
  <c r="AD8" i="2"/>
  <c r="AE8" i="2"/>
  <c r="AD44" i="1"/>
  <c r="AE44" i="1"/>
  <c r="AF44" i="1"/>
  <c r="AG44" i="1"/>
  <c r="AD45" i="1"/>
  <c r="AE45" i="1"/>
  <c r="AF45" i="1"/>
  <c r="AG45" i="1"/>
  <c r="AD46" i="1"/>
  <c r="AE46" i="1"/>
  <c r="AF46" i="1"/>
  <c r="AG46" i="1"/>
  <c r="AD47" i="1"/>
  <c r="AE47" i="1"/>
  <c r="AF47" i="1"/>
  <c r="AG47" i="1"/>
  <c r="AD42" i="1"/>
  <c r="AD41" i="1"/>
  <c r="AD30" i="2" l="1"/>
  <c r="H51" i="1"/>
  <c r="AD31" i="2"/>
  <c r="AM18" i="2"/>
  <c r="H52" i="1" s="1"/>
  <c r="AD32" i="2"/>
  <c r="G19" i="1"/>
  <c r="F17" i="1"/>
  <c r="AD43" i="1"/>
  <c r="AB4" i="2"/>
  <c r="D41" i="1"/>
  <c r="E41" i="1"/>
  <c r="F41" i="1"/>
  <c r="C41" i="1"/>
  <c r="B41" i="1"/>
  <c r="AA32" i="2"/>
  <c r="AJ20" i="2"/>
  <c r="AJ19" i="2"/>
  <c r="AI20" i="2"/>
  <c r="AI19" i="2"/>
  <c r="AA13" i="2"/>
  <c r="AA12" i="2"/>
  <c r="AA11" i="2"/>
  <c r="Y13" i="2"/>
  <c r="Y12" i="2"/>
  <c r="Y11" i="2"/>
  <c r="X13" i="2"/>
  <c r="X12" i="2"/>
  <c r="X11" i="2"/>
  <c r="W13" i="2"/>
  <c r="W12" i="2"/>
  <c r="W11" i="2"/>
  <c r="U13" i="2"/>
  <c r="U12" i="2"/>
  <c r="U11" i="2"/>
  <c r="T13" i="2"/>
  <c r="T12" i="2"/>
  <c r="T11" i="2"/>
  <c r="S13" i="2"/>
  <c r="S12" i="2"/>
  <c r="S11" i="2"/>
  <c r="Q13" i="2"/>
  <c r="Q12" i="2"/>
  <c r="Q11" i="2"/>
  <c r="P13" i="2"/>
  <c r="P12" i="2"/>
  <c r="P11" i="2"/>
  <c r="O13" i="2"/>
  <c r="O12" i="2"/>
  <c r="O11" i="2"/>
  <c r="M13" i="2"/>
  <c r="M12" i="2"/>
  <c r="M11" i="2"/>
  <c r="L13" i="2"/>
  <c r="L12" i="2"/>
  <c r="L11" i="2"/>
  <c r="K13" i="2"/>
  <c r="K12" i="2"/>
  <c r="K11" i="2"/>
  <c r="I11" i="2"/>
  <c r="I12" i="2"/>
  <c r="I13" i="2"/>
  <c r="H13" i="2"/>
  <c r="H12" i="2"/>
  <c r="H11" i="2"/>
  <c r="AN18" i="2"/>
  <c r="I52" i="1" s="1"/>
  <c r="AJ16" i="2"/>
  <c r="AN16" i="2" s="1"/>
  <c r="AJ17" i="2"/>
  <c r="AN17" i="2" s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L47" i="1"/>
  <c r="L46" i="1"/>
  <c r="C46" i="1"/>
  <c r="D46" i="1"/>
  <c r="E46" i="1"/>
  <c r="F46" i="1"/>
  <c r="C47" i="1"/>
  <c r="D47" i="1"/>
  <c r="E47" i="1"/>
  <c r="F47" i="1"/>
  <c r="B47" i="1"/>
  <c r="B46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L45" i="1"/>
  <c r="L44" i="1"/>
  <c r="C44" i="1"/>
  <c r="D44" i="1"/>
  <c r="E44" i="1"/>
  <c r="F44" i="1"/>
  <c r="C45" i="1"/>
  <c r="D45" i="1"/>
  <c r="E45" i="1"/>
  <c r="F45" i="1"/>
  <c r="B45" i="1"/>
  <c r="B44" i="1"/>
  <c r="AI18" i="2"/>
  <c r="AI17" i="2"/>
  <c r="I51" i="1" l="1"/>
  <c r="AF7" i="2"/>
  <c r="AB7" i="2"/>
  <c r="H86" i="1"/>
  <c r="H61" i="1"/>
  <c r="H62" i="1" s="1"/>
  <c r="K62" i="1" s="1"/>
  <c r="I61" i="1"/>
  <c r="I62" i="1" s="1"/>
  <c r="I86" i="1"/>
  <c r="AJ14" i="2"/>
  <c r="I21" i="1" s="1"/>
  <c r="I27" i="1" s="1"/>
  <c r="AI14" i="2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L16" i="1"/>
  <c r="L15" i="1"/>
  <c r="I28" i="1" l="1"/>
  <c r="I23" i="1"/>
  <c r="AC42" i="1"/>
  <c r="AC41" i="1"/>
  <c r="AB42" i="1"/>
  <c r="AB41" i="1"/>
  <c r="Z41" i="1"/>
  <c r="AA41" i="1"/>
  <c r="Z42" i="1"/>
  <c r="AA42" i="1"/>
  <c r="Y42" i="1"/>
  <c r="Y41" i="1"/>
  <c r="X42" i="1"/>
  <c r="X41" i="1"/>
  <c r="W41" i="1"/>
  <c r="V41" i="1"/>
  <c r="T36" i="1"/>
  <c r="T41" i="1" s="1"/>
  <c r="T37" i="1"/>
  <c r="T42" i="1" s="1"/>
  <c r="U37" i="1"/>
  <c r="V37" i="1"/>
  <c r="W42" i="1" s="1"/>
  <c r="U42" i="1" l="1"/>
  <c r="Y43" i="1"/>
  <c r="Y50" i="1" s="1"/>
  <c r="X43" i="1"/>
  <c r="X50" i="1" s="1"/>
  <c r="I29" i="1"/>
  <c r="I30" i="1" s="1"/>
  <c r="I19" i="1" s="1"/>
  <c r="T43" i="1"/>
  <c r="T50" i="1" s="1"/>
  <c r="AC43" i="1"/>
  <c r="AC50" i="1" s="1"/>
  <c r="AB43" i="1"/>
  <c r="AB50" i="1" s="1"/>
  <c r="U41" i="1"/>
  <c r="U43" i="1" s="1"/>
  <c r="U50" i="1" s="1"/>
  <c r="V42" i="1"/>
  <c r="V43" i="1" s="1"/>
  <c r="V50" i="1" s="1"/>
  <c r="G44" i="1"/>
  <c r="W43" i="1"/>
  <c r="W50" i="1" s="1"/>
  <c r="AA43" i="1"/>
  <c r="AA50" i="1" s="1"/>
  <c r="G45" i="1"/>
  <c r="Z43" i="1"/>
  <c r="Z50" i="1" s="1"/>
  <c r="G47" i="1"/>
  <c r="G46" i="1"/>
  <c r="C38" i="1"/>
  <c r="C40" i="1" s="1"/>
  <c r="D38" i="1"/>
  <c r="D40" i="1" s="1"/>
  <c r="E38" i="1"/>
  <c r="E40" i="1" s="1"/>
  <c r="F38" i="1"/>
  <c r="F40" i="1" s="1"/>
  <c r="B38" i="1"/>
  <c r="B40" i="1" s="1"/>
  <c r="C14" i="1"/>
  <c r="D14" i="1"/>
  <c r="E14" i="1"/>
  <c r="F14" i="1"/>
  <c r="B14" i="1"/>
  <c r="C13" i="1"/>
  <c r="D13" i="1"/>
  <c r="E13" i="1"/>
  <c r="F13" i="1"/>
  <c r="B13" i="1"/>
  <c r="C20" i="1"/>
  <c r="D20" i="1" s="1"/>
  <c r="E20" i="1" s="1"/>
  <c r="F20" i="1" s="1"/>
  <c r="H41" i="1" l="1"/>
  <c r="H19" i="1"/>
  <c r="I83" i="1"/>
  <c r="I84" i="1" s="1"/>
  <c r="I41" i="1"/>
  <c r="I65" i="1"/>
  <c r="I50" i="1"/>
  <c r="I72" i="1"/>
  <c r="I75" i="1" s="1"/>
  <c r="J79" i="1" s="1"/>
  <c r="H83" i="1"/>
  <c r="H84" i="1" s="1"/>
  <c r="H72" i="1"/>
  <c r="H73" i="1" s="1"/>
  <c r="K58" i="1"/>
  <c r="C3" i="1"/>
  <c r="D3" i="1" s="1"/>
  <c r="E3" i="1" s="1"/>
  <c r="F3" i="1" s="1"/>
  <c r="I57" i="1" l="1"/>
  <c r="I58" i="1" s="1"/>
  <c r="I76" i="1"/>
  <c r="I73" i="1"/>
  <c r="I74" i="1"/>
  <c r="H76" i="1"/>
  <c r="H75" i="1"/>
  <c r="K75" i="1" s="1"/>
  <c r="H74" i="1"/>
  <c r="H66" i="1"/>
  <c r="H68" i="1"/>
  <c r="H69" i="1"/>
  <c r="H67" i="1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F7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F8" i="2"/>
  <c r="K68" i="1" l="1"/>
  <c r="H85" i="1"/>
  <c r="I69" i="1"/>
  <c r="I66" i="1"/>
  <c r="I67" i="1"/>
  <c r="I68" i="1"/>
  <c r="I85" i="1" s="1"/>
  <c r="C30" i="2"/>
  <c r="D30" i="2"/>
  <c r="I30" i="2"/>
  <c r="K30" i="2"/>
  <c r="L30" i="2"/>
  <c r="M30" i="2"/>
  <c r="O30" i="2"/>
  <c r="S30" i="2"/>
  <c r="T30" i="2"/>
  <c r="U30" i="2"/>
  <c r="W30" i="2"/>
  <c r="X30" i="2"/>
  <c r="Y30" i="2"/>
  <c r="AA30" i="2"/>
  <c r="C31" i="2"/>
  <c r="D31" i="2"/>
  <c r="G31" i="2"/>
  <c r="H31" i="2"/>
  <c r="I31" i="2"/>
  <c r="K31" i="2"/>
  <c r="L31" i="2"/>
  <c r="M31" i="2"/>
  <c r="O31" i="2"/>
  <c r="P31" i="2"/>
  <c r="Q31" i="2"/>
  <c r="S31" i="2"/>
  <c r="T31" i="2"/>
  <c r="U31" i="2"/>
  <c r="W31" i="2"/>
  <c r="X31" i="2"/>
  <c r="Y31" i="2"/>
  <c r="AA31" i="2"/>
  <c r="C32" i="2"/>
  <c r="D32" i="2"/>
  <c r="G32" i="2"/>
  <c r="H32" i="2"/>
  <c r="I32" i="2"/>
  <c r="K32" i="2"/>
  <c r="L32" i="2"/>
  <c r="M32" i="2"/>
  <c r="O32" i="2"/>
  <c r="P32" i="2"/>
  <c r="Q32" i="2"/>
  <c r="R32" i="2"/>
  <c r="S32" i="2"/>
  <c r="T32" i="2"/>
  <c r="U32" i="2"/>
  <c r="V32" i="2"/>
  <c r="W32" i="2"/>
  <c r="X32" i="2"/>
  <c r="Y32" i="2"/>
  <c r="B32" i="2"/>
  <c r="B30" i="2"/>
  <c r="Z18" i="2"/>
  <c r="Z17" i="2"/>
  <c r="AL17" i="2" s="1"/>
  <c r="Z16" i="2"/>
  <c r="AL16" i="2" s="1"/>
  <c r="Z32" i="2" l="1"/>
  <c r="AL18" i="2"/>
  <c r="AL30" i="2"/>
  <c r="AL31" i="2"/>
  <c r="Z30" i="2"/>
  <c r="Z31" i="2"/>
  <c r="S15" i="2"/>
  <c r="R24" i="2"/>
  <c r="R23" i="2"/>
  <c r="R17" i="2"/>
  <c r="R16" i="2"/>
  <c r="V17" i="2"/>
  <c r="V31" i="2" s="1"/>
  <c r="V16" i="2"/>
  <c r="V23" i="2"/>
  <c r="Q23" i="2"/>
  <c r="Q30" i="2" s="1"/>
  <c r="P23" i="2"/>
  <c r="P30" i="2" s="1"/>
  <c r="K15" i="2"/>
  <c r="L15" i="2" s="1"/>
  <c r="N18" i="2"/>
  <c r="N32" i="2" s="1"/>
  <c r="N17" i="2"/>
  <c r="N31" i="2" s="1"/>
  <c r="N16" i="2"/>
  <c r="N30" i="2" s="1"/>
  <c r="J18" i="2"/>
  <c r="J32" i="2" s="1"/>
  <c r="J17" i="2"/>
  <c r="J31" i="2" s="1"/>
  <c r="J16" i="2"/>
  <c r="J30" i="2" s="1"/>
  <c r="H23" i="2"/>
  <c r="H30" i="2" s="1"/>
  <c r="G13" i="2"/>
  <c r="G12" i="2"/>
  <c r="G11" i="2"/>
  <c r="G23" i="2"/>
  <c r="G30" i="2" s="1"/>
  <c r="F16" i="2"/>
  <c r="F30" i="2" s="1"/>
  <c r="F17" i="2"/>
  <c r="F31" i="2" s="1"/>
  <c r="F18" i="2"/>
  <c r="F32" i="2" s="1"/>
  <c r="E18" i="2"/>
  <c r="E32" i="2" s="1"/>
  <c r="E17" i="2"/>
  <c r="E31" i="2" s="1"/>
  <c r="E16" i="2"/>
  <c r="E30" i="2" s="1"/>
  <c r="C14" i="2"/>
  <c r="B17" i="2"/>
  <c r="B31" i="2" s="1"/>
  <c r="V30" i="2" l="1"/>
  <c r="R30" i="2"/>
  <c r="R31" i="2"/>
  <c r="AH43" i="1"/>
  <c r="AI43" i="1" l="1"/>
</calcChain>
</file>

<file path=xl/sharedStrings.xml><?xml version="1.0" encoding="utf-8"?>
<sst xmlns="http://schemas.openxmlformats.org/spreadsheetml/2006/main" count="184" uniqueCount="119">
  <si>
    <t>Doanh thu</t>
  </si>
  <si>
    <t>LNST</t>
  </si>
  <si>
    <t>Doanh thu online</t>
  </si>
  <si>
    <t>TGDD</t>
  </si>
  <si>
    <t>BHX</t>
  </si>
  <si>
    <t>DMX</t>
  </si>
  <si>
    <t>Số lượng cửa hàng</t>
  </si>
  <si>
    <t>Tỉ trọng doanh thu</t>
  </si>
  <si>
    <t>Q1-2018</t>
  </si>
  <si>
    <t>LNG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</si>
  <si>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</si>
  <si>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</si>
  <si>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</si>
  <si>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</si>
  <si>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</si>
  <si>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</si>
  <si>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</si>
  <si>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</si>
  <si>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</si>
  <si>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</si>
  <si>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</si>
  <si>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</si>
  <si>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</si>
  <si>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</si>
  <si>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</si>
  <si>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</si>
  <si>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</si>
  <si>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</si>
  <si>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</si>
  <si>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Q1-2023</t>
  </si>
  <si>
    <t>Q2-2023</t>
  </si>
  <si>
    <t>Q3-2023</t>
  </si>
  <si>
    <t>Q4-2023</t>
  </si>
  <si>
    <t>Q1-2024</t>
  </si>
  <si>
    <t>Q2-2024</t>
  </si>
  <si>
    <t>An khang</t>
  </si>
  <si>
    <t>AVA</t>
  </si>
  <si>
    <t>Trong đó Erablue</t>
  </si>
  <si>
    <t>DT/CH TGDD</t>
  </si>
  <si>
    <t>DT/CH DMX</t>
  </si>
  <si>
    <t>DT/CH BHX</t>
  </si>
  <si>
    <t>Tăng trưởng LNST</t>
  </si>
  <si>
    <t>Tăng trưởng doanh thu</t>
  </si>
  <si>
    <t>Tiền</t>
  </si>
  <si>
    <t>DTTC</t>
  </si>
  <si>
    <t>PTNH</t>
  </si>
  <si>
    <t>HTK</t>
  </si>
  <si>
    <t>Nợ vay NH</t>
  </si>
  <si>
    <t>Nợ vay DH</t>
  </si>
  <si>
    <t>VCSH</t>
  </si>
  <si>
    <t>Giá vốn</t>
  </si>
  <si>
    <t>CPTC</t>
  </si>
  <si>
    <t>CPLV</t>
  </si>
  <si>
    <t>CPBH</t>
  </si>
  <si>
    <t>QLDN</t>
  </si>
  <si>
    <t>LNTT</t>
  </si>
  <si>
    <t>Tỉ lệ nợ vay</t>
  </si>
  <si>
    <t>Tỉ lệ nợ vay ròng</t>
  </si>
  <si>
    <t>Lỗ BHX</t>
  </si>
  <si>
    <t>Lỗ An Khang</t>
  </si>
  <si>
    <t>TỔNG</t>
  </si>
  <si>
    <t>Q3-2024</t>
  </si>
  <si>
    <t>Q4-2024</t>
  </si>
  <si>
    <t>TỔNG số lũy kế</t>
  </si>
  <si>
    <t>Biên LNG</t>
  </si>
  <si>
    <t>Biên LNR</t>
  </si>
  <si>
    <t>Tỉ lệ CPBH</t>
  </si>
  <si>
    <t>Tỉ lệ QLDN</t>
  </si>
  <si>
    <t>LNST điện máy</t>
  </si>
  <si>
    <t>LNST BHX</t>
  </si>
  <si>
    <t>PE từng mảng</t>
  </si>
  <si>
    <t>Điện máy</t>
  </si>
  <si>
    <t>Vốn hóa</t>
  </si>
  <si>
    <t>rẻ</t>
  </si>
  <si>
    <t>trung vị</t>
  </si>
  <si>
    <t>đặt</t>
  </si>
  <si>
    <t>ok</t>
  </si>
  <si>
    <t>PB rẻ thối</t>
  </si>
  <si>
    <t>PB hợp lí mua</t>
  </si>
  <si>
    <t>PB nội tại</t>
  </si>
  <si>
    <t>PB đắt bán</t>
  </si>
  <si>
    <t>Thị giá target</t>
  </si>
  <si>
    <t>PE rẻ thối</t>
  </si>
  <si>
    <t>PE hợp lí mua</t>
  </si>
  <si>
    <t>PE nội tại</t>
  </si>
  <si>
    <t>PE đắt bán</t>
  </si>
  <si>
    <t>PE điện máy</t>
  </si>
  <si>
    <t>PS BHX</t>
  </si>
  <si>
    <t>mua</t>
  </si>
  <si>
    <t>trừ 15% theo tỉ lệ tăng VCSH so LNST</t>
  </si>
  <si>
    <t>LNSTfw</t>
  </si>
  <si>
    <t>PE định giá 25</t>
  </si>
  <si>
    <t>PB định giá 4</t>
  </si>
  <si>
    <t>ROE</t>
  </si>
  <si>
    <t>Giá mua theo PP tính toán</t>
  </si>
  <si>
    <t>Q1-2025</t>
  </si>
  <si>
    <t>Q2-2025</t>
  </si>
  <si>
    <t>Q3-2025</t>
  </si>
  <si>
    <t>định giá PE</t>
  </si>
  <si>
    <t>PB</t>
  </si>
  <si>
    <t>DT điện máy</t>
  </si>
  <si>
    <t>DT BHX</t>
  </si>
  <si>
    <t>P/S</t>
  </si>
  <si>
    <t>DM PE 15+ BHX PS 1.2</t>
  </si>
  <si>
    <t>PE PS</t>
  </si>
  <si>
    <t>PE</t>
  </si>
  <si>
    <t>Dòng tiền SXKD</t>
  </si>
  <si>
    <t>Dòng tiền DT</t>
  </si>
  <si>
    <t>Dòng tiền TC</t>
  </si>
  <si>
    <t>RÒng</t>
  </si>
  <si>
    <t>Q1</t>
  </si>
  <si>
    <t>Q2</t>
  </si>
  <si>
    <t>T11-2025</t>
  </si>
  <si>
    <t>Tài chính</t>
  </si>
  <si>
    <t>Q4-2025</t>
  </si>
  <si>
    <t>Lợi nhuận tài chính</t>
  </si>
  <si>
    <t>Hiệu suất LN</t>
  </si>
  <si>
    <t>Tỷ trọng trong LN tổng</t>
  </si>
  <si>
    <t>DTTC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</si>
</sst>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333333"/>
      <name val="Arial"/>
      <family val="2"/>
    </font>
    <font>
      <sz val="11"/>
      <color rgb="FF333333"/>
      <name val="Arial"/>
      <family val="2"/>
      <scheme val="minor"/>
    </font>
    <font>
      <b/>
      <sz val="11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EAD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DDDDDD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164" fontId="0" fillId="0" borderId="0" xfId="1" applyNumberFormat="1" applyFont="1"/>
    <xf numFmtId="0" fontId="2" fillId="0" borderId="0" xfId="0" applyFont="1"/>
    <xf numFmtId="165" fontId="0" fillId="0" borderId="0" xfId="2" applyNumberFormat="1" applyFont="1"/>
    <xf numFmtId="164" fontId="2" fillId="0" borderId="0" xfId="1" applyNumberFormat="1" applyFont="1"/>
    <xf numFmtId="164" fontId="0" fillId="0" borderId="0" xfId="0" applyNumberFormat="1"/>
    <xf numFmtId="164" fontId="2" fillId="0" borderId="0" xfId="0" applyNumberFormat="1" applyFont="1"/>
    <xf numFmtId="166" fontId="0" fillId="0" borderId="0" xfId="1" applyNumberFormat="1" applyFont="1"/>
    <xf numFmtId="9" fontId="0" fillId="0" borderId="0" xfId="2" applyFont="1"/>
    <xf numFmtId="0" fontId="0" fillId="0" borderId="1" xfId="0" applyBorder="1"/>
    <xf numFmtId="3" fontId="3" fillId="3" borderId="1" xfId="0" applyNumberFormat="1" applyFont="1" applyFill="1" applyBorder="1" applyAlignment="1">
      <alignment horizontal="right" vertical="top" wrapText="1"/>
    </xf>
    <xf numFmtId="9" fontId="0" fillId="0" borderId="1" xfId="2" applyFont="1" applyBorder="1"/>
    <xf numFmtId="0" fontId="2" fillId="0" borderId="1" xfId="0" applyFont="1" applyBorder="1" applyAlignment="1">
      <alignment horizontal="center"/>
    </xf>
    <xf numFmtId="164" fontId="0" fillId="0" borderId="1" xfId="1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0" fillId="0" borderId="2" xfId="0" applyBorder="1"/>
    <xf numFmtId="164" fontId="2" fillId="0" borderId="1" xfId="1" applyNumberFormat="1" applyFont="1" applyBorder="1"/>
    <xf numFmtId="43" fontId="0" fillId="0" borderId="0" xfId="0" applyNumberFormat="1"/>
    <xf numFmtId="43" fontId="0" fillId="0" borderId="0" xfId="1" applyFont="1"/>
    <xf numFmtId="165" fontId="3" fillId="3" borderId="3" xfId="2" applyNumberFormat="1" applyFont="1" applyFill="1" applyBorder="1" applyAlignment="1">
      <alignment horizontal="right" vertical="top" wrapText="1"/>
    </xf>
    <xf numFmtId="3" fontId="0" fillId="0" borderId="0" xfId="0" applyNumberFormat="1"/>
    <xf numFmtId="164" fontId="0" fillId="0" borderId="1" xfId="1" applyNumberFormat="1" applyFont="1" applyFill="1" applyBorder="1"/>
    <xf numFmtId="164" fontId="0" fillId="0" borderId="1" xfId="0" applyNumberFormat="1" applyBorder="1"/>
    <xf numFmtId="164" fontId="0" fillId="2" borderId="1" xfId="1" applyNumberFormat="1" applyFont="1" applyFill="1" applyBorder="1"/>
    <xf numFmtId="164" fontId="0" fillId="2" borderId="1" xfId="0" applyNumberFormat="1" applyFill="1" applyBorder="1"/>
    <xf numFmtId="0" fontId="0" fillId="0" borderId="0" xfId="0" applyAlignment="1">
      <alignment horizontal="center"/>
    </xf>
    <xf numFmtId="164" fontId="0" fillId="4" borderId="0" xfId="1" applyNumberFormat="1" applyFont="1" applyFill="1" applyAlignment="1">
      <alignment horizontal="center"/>
    </xf>
    <xf numFmtId="43" fontId="0" fillId="2" borderId="0" xfId="1" applyFont="1" applyFill="1"/>
    <xf numFmtId="43" fontId="0" fillId="2" borderId="0" xfId="0" applyNumberFormat="1" applyFill="1"/>
    <xf numFmtId="164" fontId="1" fillId="0" borderId="1" xfId="1" applyNumberFormat="1" applyFont="1" applyBorder="1"/>
    <xf numFmtId="164" fontId="2" fillId="2" borderId="0" xfId="1" applyNumberFormat="1" applyFont="1" applyFill="1"/>
    <xf numFmtId="0" fontId="2" fillId="0" borderId="0" xfId="0" applyFont="1" applyAlignment="1">
      <alignment horizontal="center"/>
    </xf>
    <xf numFmtId="3" fontId="4" fillId="5" borderId="4" xfId="0" applyNumberFormat="1" applyFont="1" applyFill="1" applyBorder="1" applyAlignment="1">
      <alignment horizontal="right" vertical="top" wrapText="1"/>
    </xf>
    <xf numFmtId="165" fontId="0" fillId="0" borderId="1" xfId="2" applyNumberFormat="1" applyFont="1" applyBorder="1"/>
    <xf numFmtId="165" fontId="0" fillId="0" borderId="1" xfId="0" applyNumberFormat="1" applyBorder="1"/>
    <xf numFmtId="10" fontId="0" fillId="0" borderId="1" xfId="0" applyNumberFormat="1" applyBorder="1"/>
    <xf numFmtId="0" fontId="0" fillId="6" borderId="1" xfId="0" applyFill="1" applyBorder="1"/>
    <xf numFmtId="165" fontId="0" fillId="6" borderId="1" xfId="2" applyNumberFormat="1" applyFont="1" applyFill="1" applyBorder="1"/>
    <xf numFmtId="9" fontId="0" fillId="0" borderId="0" xfId="0" applyNumberFormat="1"/>
    <xf numFmtId="3" fontId="3" fillId="3" borderId="5" xfId="0" applyNumberFormat="1" applyFont="1" applyFill="1" applyBorder="1" applyAlignment="1">
      <alignment horizontal="right" vertical="top" wrapText="1"/>
    </xf>
    <xf numFmtId="164" fontId="0" fillId="2" borderId="0" xfId="0" applyNumberFormat="1" applyFill="1"/>
    <xf numFmtId="3" fontId="5" fillId="2" borderId="1" xfId="0" applyNumberFormat="1" applyFont="1" applyFill="1" applyBorder="1" applyAlignment="1">
      <alignment horizontal="right" vertical="top" wrapText="1"/>
    </xf>
    <xf numFmtId="164" fontId="0" fillId="0" borderId="0" xfId="1" applyNumberFormat="1" applyFont="1" applyFill="1" applyBorder="1"/>
    <xf numFmtId="0" fontId="0" fillId="0" borderId="0" xfId="0" applyBorder="1"/>
    <xf numFmtId="3" fontId="3" fillId="3" borderId="0" xfId="0" applyNumberFormat="1" applyFont="1" applyFill="1" applyBorder="1" applyAlignment="1">
      <alignment horizontal="right" vertical="top" wrapText="1"/>
    </xf>
    <xf numFmtId="3" fontId="3" fillId="3" borderId="3" xfId="0" applyNumberFormat="1" applyFont="1" applyFill="1" applyBorder="1" applyAlignment="1">
      <alignment horizontal="right" vertical="top" wrapText="1"/>
    </xf>
    <xf numFmtId="0" fontId="0" fillId="0" borderId="0" xfId="0" applyFill="1" applyBorder="1"/>
    <xf numFmtId="9" fontId="3" fillId="3" borderId="0" xfId="2" applyFont="1" applyFill="1" applyBorder="1" applyAlignment="1">
      <alignment horizontal="right" vertical="top" wrapText="1"/>
    </xf>
    <xf numFmtId="165" fontId="3" fillId="3" borderId="0" xfId="2" applyNumberFormat="1" applyFont="1" applyFill="1" applyBorder="1" applyAlignment="1">
      <alignment horizontal="righ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Diễn</a:t>
            </a:r>
            <a:r>
              <a:rPr lang="en-US" b="1" baseline="0"/>
              <a:t> biến lỗ các chuỗi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'Kinh doanh'!$K$41</c:f>
              <c:strCache>
                <c:ptCount val="1"/>
                <c:pt idx="0">
                  <c:v>Lỗ BHX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'Kinh doanh'!$T$20:$AI$20</c:f>
              <c:strCache>
                <c:ptCount val="16"/>
                <c:pt idx="0">
                  <c:v> Q1-2022 </c:v>
                </c:pt>
                <c:pt idx="1">
                  <c:v> Q2-2022 </c:v>
                </c:pt>
                <c:pt idx="2">
                  <c:v> Q3-2022 </c:v>
                </c:pt>
                <c:pt idx="3">
                  <c:v> Q4-2022 </c:v>
                </c:pt>
                <c:pt idx="4">
                  <c:v> Q1-2023 </c:v>
                </c:pt>
                <c:pt idx="5">
                  <c:v> Q2-2023 </c:v>
                </c:pt>
                <c:pt idx="6">
                  <c:v> Q3-2023 </c:v>
                </c:pt>
                <c:pt idx="7">
                  <c:v> Q4-2023 </c:v>
                </c:pt>
                <c:pt idx="8">
                  <c:v> Q1-2024 </c:v>
                </c:pt>
                <c:pt idx="9">
                  <c:v> Q2-2024 </c:v>
                </c:pt>
                <c:pt idx="10">
                  <c:v> Q3-2024 </c:v>
                </c:pt>
                <c:pt idx="11">
                  <c:v> Q4-2024 </c:v>
                </c:pt>
                <c:pt idx="12">
                  <c:v> Q1-2025 </c:v>
                </c:pt>
                <c:pt idx="13">
                  <c:v> Q2-2025 </c:v>
                </c:pt>
                <c:pt idx="14">
                  <c:v> Q3-2025 </c:v>
                </c:pt>
                <c:pt idx="15">
                  <c:v>Q4-2025</c:v>
                </c:pt>
              </c:strCache>
            </c:strRef>
          </c:cat>
          <c:val>
            <c:numRef>
              <c:f>'Kinh doanh'!$T$41:$AI$41</c:f>
              <c:numCache>
                <c:formatCode>_(* #,##0_);_(* \(#,##0\);_(* "-"??_);_(@_)</c:formatCode>
                <c:ptCount val="16"/>
                <c:pt idx="0">
                  <c:v>716129.5</c:v>
                </c:pt>
                <c:pt idx="1">
                  <c:v>716129.5</c:v>
                </c:pt>
                <c:pt idx="2">
                  <c:v>814008</c:v>
                </c:pt>
                <c:pt idx="3">
                  <c:v>497791</c:v>
                </c:pt>
                <c:pt idx="4">
                  <c:v>353723</c:v>
                </c:pt>
                <c:pt idx="5">
                  <c:v>304936</c:v>
                </c:pt>
                <c:pt idx="6">
                  <c:v>246251</c:v>
                </c:pt>
                <c:pt idx="7">
                  <c:v>306089</c:v>
                </c:pt>
                <c:pt idx="8">
                  <c:v>105382</c:v>
                </c:pt>
                <c:pt idx="9">
                  <c:v>-6980</c:v>
                </c:pt>
                <c:pt idx="10">
                  <c:v>-89969</c:v>
                </c:pt>
                <c:pt idx="11">
                  <c:v>-111171</c:v>
                </c:pt>
                <c:pt idx="12">
                  <c:v>0</c:v>
                </c:pt>
                <c:pt idx="13">
                  <c:v>-198117</c:v>
                </c:pt>
                <c:pt idx="14">
                  <c:v>-306793.5</c:v>
                </c:pt>
                <c:pt idx="15">
                  <c:v>-207735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E-49AD-A93C-BE95420B8CEA}"/>
            </c:ext>
          </c:extLst>
        </c:ser>
        <c:ser>
          <c:idx val="2"/>
          <c:order val="1"/>
          <c:tx>
            <c:strRef>
              <c:f>'Kinh doanh'!$K$42</c:f>
              <c:strCache>
                <c:ptCount val="1"/>
                <c:pt idx="0">
                  <c:v>Lỗ An Khang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'Kinh doanh'!$T$20:$AI$20</c:f>
              <c:strCache>
                <c:ptCount val="16"/>
                <c:pt idx="0">
                  <c:v> Q1-2022 </c:v>
                </c:pt>
                <c:pt idx="1">
                  <c:v> Q2-2022 </c:v>
                </c:pt>
                <c:pt idx="2">
                  <c:v> Q3-2022 </c:v>
                </c:pt>
                <c:pt idx="3">
                  <c:v> Q4-2022 </c:v>
                </c:pt>
                <c:pt idx="4">
                  <c:v> Q1-2023 </c:v>
                </c:pt>
                <c:pt idx="5">
                  <c:v> Q2-2023 </c:v>
                </c:pt>
                <c:pt idx="6">
                  <c:v> Q3-2023 </c:v>
                </c:pt>
                <c:pt idx="7">
                  <c:v> Q4-2023 </c:v>
                </c:pt>
                <c:pt idx="8">
                  <c:v> Q1-2024 </c:v>
                </c:pt>
                <c:pt idx="9">
                  <c:v> Q2-2024 </c:v>
                </c:pt>
                <c:pt idx="10">
                  <c:v> Q3-2024 </c:v>
                </c:pt>
                <c:pt idx="11">
                  <c:v> Q4-2024 </c:v>
                </c:pt>
                <c:pt idx="12">
                  <c:v> Q1-2025 </c:v>
                </c:pt>
                <c:pt idx="13">
                  <c:v> Q2-2025 </c:v>
                </c:pt>
                <c:pt idx="14">
                  <c:v> Q3-2025 </c:v>
                </c:pt>
                <c:pt idx="15">
                  <c:v>Q4-2025</c:v>
                </c:pt>
              </c:strCache>
            </c:strRef>
          </c:cat>
          <c:val>
            <c:numRef>
              <c:f>'Kinh doanh'!$T$42:$AI$42</c:f>
              <c:numCache>
                <c:formatCode>_(* #,##0_);_(* \(#,##0\);_(* "-"??_);_(@_)</c:formatCode>
                <c:ptCount val="16"/>
                <c:pt idx="0">
                  <c:v>76553.5</c:v>
                </c:pt>
                <c:pt idx="1">
                  <c:v>76553.5</c:v>
                </c:pt>
                <c:pt idx="2">
                  <c:v>76553.5</c:v>
                </c:pt>
                <c:pt idx="3">
                  <c:v>76553.5</c:v>
                </c:pt>
                <c:pt idx="4">
                  <c:v>74283</c:v>
                </c:pt>
                <c:pt idx="5">
                  <c:v>76278</c:v>
                </c:pt>
                <c:pt idx="6">
                  <c:v>83856</c:v>
                </c:pt>
                <c:pt idx="7">
                  <c:v>108525</c:v>
                </c:pt>
                <c:pt idx="8">
                  <c:v>69758</c:v>
                </c:pt>
                <c:pt idx="9">
                  <c:v>102370</c:v>
                </c:pt>
                <c:pt idx="10">
                  <c:v>148484</c:v>
                </c:pt>
                <c:pt idx="11">
                  <c:v>26110</c:v>
                </c:pt>
                <c:pt idx="12">
                  <c:v>31214</c:v>
                </c:pt>
                <c:pt idx="13">
                  <c:v>26074</c:v>
                </c:pt>
                <c:pt idx="14">
                  <c:v>27869</c:v>
                </c:pt>
                <c:pt idx="15">
                  <c:v>27802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8E-49AD-A93C-BE95420B8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1618336"/>
        <c:axId val="1691609184"/>
      </c:barChart>
      <c:catAx>
        <c:axId val="169161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09184"/>
        <c:crosses val="autoZero"/>
        <c:auto val="1"/>
        <c:lblAlgn val="ctr"/>
        <c:lblOffset val="100"/>
        <c:noMultiLvlLbl val="0"/>
      </c:catAx>
      <c:valAx>
        <c:axId val="169160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1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Diễn</a:t>
            </a:r>
            <a:r>
              <a:rPr lang="en-US" b="1" baseline="0"/>
              <a:t> biến lỗ theo năm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'Kinh doanh'!$A$30</c:f>
              <c:strCache>
                <c:ptCount val="1"/>
                <c:pt idx="0">
                  <c:v>LNST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'Kinh doanh'!$B$20:$F$20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'Kinh doanh'!$B$30:$F$30</c:f>
              <c:numCache>
                <c:formatCode>#,##0</c:formatCode>
                <c:ptCount val="5"/>
                <c:pt idx="0">
                  <c:v>3834270</c:v>
                </c:pt>
                <c:pt idx="1">
                  <c:v>3917768</c:v>
                </c:pt>
                <c:pt idx="2">
                  <c:v>4898869</c:v>
                </c:pt>
                <c:pt idx="3">
                  <c:v>4099763</c:v>
                </c:pt>
                <c:pt idx="4">
                  <c:v>167669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1-48B9-BBE2-76D6B49C7945}"/>
            </c:ext>
          </c:extLst>
        </c:ser>
        <c:ser>
          <c:idx val="2"/>
          <c:order val="1"/>
          <c:tx>
            <c:strRef>
              <c:f>'Kinh doanh'!$A$36</c:f>
              <c:strCache>
                <c:ptCount val="1"/>
                <c:pt idx="0">
                  <c:v>Lỗ BHX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'Kinh doanh'!$B$20:$F$20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'Kinh doanh'!$B$36:$F$36</c:f>
              <c:numCache>
                <c:formatCode>_(* #,##0_);_(* \(#,##0\);_(* "-"??_);_(@_)</c:formatCode>
                <c:ptCount val="5"/>
                <c:pt idx="0">
                  <c:v>978365</c:v>
                </c:pt>
                <c:pt idx="1">
                  <c:v>1733535</c:v>
                </c:pt>
                <c:pt idx="2">
                  <c:v>966454</c:v>
                </c:pt>
                <c:pt idx="3">
                  <c:v>2961477</c:v>
                </c:pt>
                <c:pt idx="4">
                  <c:v>1256523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61-48B9-BBE2-76D6B49C7945}"/>
            </c:ext>
          </c:extLst>
        </c:ser>
        <c:ser>
          <c:idx val="3"/>
          <c:order val="2"/>
          <c:tx>
            <c:strRef>
              <c:f>'Kinh doanh'!#REF!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'Kinh doanh'!$B$20:$F$20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'Kinh doanh'!#REF!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E-4E2C-B375-B17B7B1F80F0}"/>
            </c:ext>
          </c:extLst>
        </c:ser>
        <c:ser>
          <c:idx val="4"/>
          <c:order val="3"/>
          <c:tx>
            <c:strRef>
              <c:f>'Kinh doanh'!$A$37</c:f>
              <c:strCache>
                <c:ptCount val="1"/>
                <c:pt idx="0">
                  <c:v>Lỗ An Khang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'Kinh doanh'!$B$20:$F$20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'Kinh doanh'!$B$37:$F$37</c:f>
              <c:numCache>
                <c:formatCode>_(* #,##0_);_(* \(#,##0\);_(* "-"??_);_(@_)</c:formatCode>
                <c:ptCount val="5"/>
                <c:pt idx="0">
                  <c:v>5947</c:v>
                </c:pt>
                <c:pt idx="1">
                  <c:v>6437</c:v>
                </c:pt>
                <c:pt idx="3">
                  <c:v>306214</c:v>
                </c:pt>
                <c:pt idx="4">
                  <c:v>342942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3E-4E2C-B375-B17B7B1F8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832352"/>
        <c:axId val="1528837760"/>
      </c:barChart>
      <c:catAx>
        <c:axId val="152883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37760"/>
        <c:crosses val="autoZero"/>
        <c:auto val="1"/>
        <c:lblAlgn val="ctr"/>
        <c:lblOffset val="100"/>
        <c:noMultiLvlLbl val="0"/>
      </c:catAx>
      <c:valAx>
        <c:axId val="152883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3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793924176317268"/>
          <c:y val="0.88619344223763075"/>
          <c:w val="0.59262098660531015"/>
          <c:h val="8.3955811493712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Diễn</a:t>
            </a:r>
            <a:r>
              <a:rPr lang="en-US" b="1" baseline="0"/>
              <a:t> biến biên LN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'Kinh doanh'!$K$44</c:f>
              <c:strCache>
                <c:ptCount val="1"/>
                <c:pt idx="0">
                  <c:v>Biên LNG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'Kinh doanh'!$L$20:$AI$20</c:f>
              <c:strCache>
                <c:ptCount val="24"/>
                <c:pt idx="0">
                  <c:v> Q1-2020 </c:v>
                </c:pt>
                <c:pt idx="1">
                  <c:v> Q2-2020 </c:v>
                </c:pt>
                <c:pt idx="2">
                  <c:v> Q3-2020 </c:v>
                </c:pt>
                <c:pt idx="3">
                  <c:v> Q4-2020 </c:v>
                </c:pt>
                <c:pt idx="4">
                  <c:v> Q1-2021 </c:v>
                </c:pt>
                <c:pt idx="5">
                  <c:v> Q2-2021 </c:v>
                </c:pt>
                <c:pt idx="6">
                  <c:v> Q3-2021 </c:v>
                </c:pt>
                <c:pt idx="7">
                  <c:v> Q4-2021 </c:v>
                </c:pt>
                <c:pt idx="8">
                  <c:v> Q1-2022 </c:v>
                </c:pt>
                <c:pt idx="9">
                  <c:v> Q2-2022 </c:v>
                </c:pt>
                <c:pt idx="10">
                  <c:v> Q3-2022 </c:v>
                </c:pt>
                <c:pt idx="11">
                  <c:v> Q4-2022 </c:v>
                </c:pt>
                <c:pt idx="12">
                  <c:v> Q1-2023 </c:v>
                </c:pt>
                <c:pt idx="13">
                  <c:v> Q2-2023 </c:v>
                </c:pt>
                <c:pt idx="14">
                  <c:v> Q3-2023 </c:v>
                </c:pt>
                <c:pt idx="15">
                  <c:v> Q4-2023 </c:v>
                </c:pt>
                <c:pt idx="16">
                  <c:v> Q1-2024 </c:v>
                </c:pt>
                <c:pt idx="17">
                  <c:v> Q2-2024 </c:v>
                </c:pt>
                <c:pt idx="18">
                  <c:v> Q3-2024 </c:v>
                </c:pt>
                <c:pt idx="19">
                  <c:v> Q4-2024 </c:v>
                </c:pt>
                <c:pt idx="20">
                  <c:v> Q1-2025 </c:v>
                </c:pt>
                <c:pt idx="21">
                  <c:v> Q2-2025 </c:v>
                </c:pt>
                <c:pt idx="22">
                  <c:v> Q3-2025 </c:v>
                </c:pt>
                <c:pt idx="23">
                  <c:v>Q4-2025</c:v>
                </c:pt>
              </c:strCache>
            </c:strRef>
          </c:cat>
          <c:val>
            <c:numRef>
              <c:f>'Kinh doanh'!$L$44:$AI$44</c:f>
              <c:numCache>
                <c:formatCode>0.0%</c:formatCode>
                <c:ptCount val="24"/>
                <c:pt idx="0">
                  <c:v>0.20985676519383856</c:v>
                </c:pt>
                <c:pt idx="1">
                  <c:v>0.21951756027270702</c:v>
                </c:pt>
                <c:pt idx="2">
                  <c:v>0.22360658644699241</c:v>
                </c:pt>
                <c:pt idx="3">
                  <c:v>0.23073971532087734</c:v>
                </c:pt>
                <c:pt idx="4">
                  <c:v>0.22787442519042692</c:v>
                </c:pt>
                <c:pt idx="5">
                  <c:v>0.22564561479893269</c:v>
                </c:pt>
                <c:pt idx="6">
                  <c:v>0.25022232757449148</c:v>
                </c:pt>
                <c:pt idx="7">
                  <c:v>0.20407389470025528</c:v>
                </c:pt>
                <c:pt idx="8">
                  <c:v>0.22278597461617991</c:v>
                </c:pt>
                <c:pt idx="9">
                  <c:v>0.21365466234210029</c:v>
                </c:pt>
                <c:pt idx="10">
                  <c:v>0.23091431441523164</c:v>
                </c:pt>
                <c:pt idx="11">
                  <c:v>0.25923270074302895</c:v>
                </c:pt>
                <c:pt idx="12">
                  <c:v>0.19237571069512166</c:v>
                </c:pt>
                <c:pt idx="13">
                  <c:v>0.18466653042550013</c:v>
                </c:pt>
                <c:pt idx="14">
                  <c:v>0.15329438015706259</c:v>
                </c:pt>
                <c:pt idx="15">
                  <c:v>0.19688629616453823</c:v>
                </c:pt>
                <c:pt idx="16">
                  <c:v>0.21319034660863026</c:v>
                </c:pt>
                <c:pt idx="17">
                  <c:v>0.21408855355656198</c:v>
                </c:pt>
                <c:pt idx="18">
                  <c:v>0.20183260042143497</c:v>
                </c:pt>
                <c:pt idx="19">
                  <c:v>0.19051842572324962</c:v>
                </c:pt>
                <c:pt idx="20">
                  <c:v>0.19926440761325917</c:v>
                </c:pt>
                <c:pt idx="21">
                  <c:v>0.2011883901339738</c:v>
                </c:pt>
                <c:pt idx="22">
                  <c:v>0.18764656386610759</c:v>
                </c:pt>
                <c:pt idx="23">
                  <c:v>0.18777527169413058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EF-4088-8F21-4E69EBACC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1918528"/>
        <c:axId val="481915200"/>
      </c:lineChart>
      <c:lineChart>
        <c:grouping val="standard"/>
        <c:varyColors val="0"/>
        <c:ser>
          <c:idx val="1"/>
          <c:order val="1"/>
          <c:tx>
            <c:strRef>
              <c:f>'Kinh doanh'!$K$45</c:f>
              <c:strCache>
                <c:ptCount val="1"/>
                <c:pt idx="0">
                  <c:v>Biên LNR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'Kinh doanh'!$L$20:$AI$20</c:f>
              <c:strCache>
                <c:ptCount val="24"/>
                <c:pt idx="0">
                  <c:v> Q1-2020 </c:v>
                </c:pt>
                <c:pt idx="1">
                  <c:v> Q2-2020 </c:v>
                </c:pt>
                <c:pt idx="2">
                  <c:v> Q3-2020 </c:v>
                </c:pt>
                <c:pt idx="3">
                  <c:v> Q4-2020 </c:v>
                </c:pt>
                <c:pt idx="4">
                  <c:v> Q1-2021 </c:v>
                </c:pt>
                <c:pt idx="5">
                  <c:v> Q2-2021 </c:v>
                </c:pt>
                <c:pt idx="6">
                  <c:v> Q3-2021 </c:v>
                </c:pt>
                <c:pt idx="7">
                  <c:v> Q4-2021 </c:v>
                </c:pt>
                <c:pt idx="8">
                  <c:v> Q1-2022 </c:v>
                </c:pt>
                <c:pt idx="9">
                  <c:v> Q2-2022 </c:v>
                </c:pt>
                <c:pt idx="10">
                  <c:v> Q3-2022 </c:v>
                </c:pt>
                <c:pt idx="11">
                  <c:v> Q4-2022 </c:v>
                </c:pt>
                <c:pt idx="12">
                  <c:v> Q1-2023 </c:v>
                </c:pt>
                <c:pt idx="13">
                  <c:v> Q2-2023 </c:v>
                </c:pt>
                <c:pt idx="14">
                  <c:v> Q3-2023 </c:v>
                </c:pt>
                <c:pt idx="15">
                  <c:v> Q4-2023 </c:v>
                </c:pt>
                <c:pt idx="16">
                  <c:v> Q1-2024 </c:v>
                </c:pt>
                <c:pt idx="17">
                  <c:v> Q2-2024 </c:v>
                </c:pt>
                <c:pt idx="18">
                  <c:v> Q3-2024 </c:v>
                </c:pt>
                <c:pt idx="19">
                  <c:v> Q4-2024 </c:v>
                </c:pt>
                <c:pt idx="20">
                  <c:v> Q1-2025 </c:v>
                </c:pt>
                <c:pt idx="21">
                  <c:v> Q2-2025 </c:v>
                </c:pt>
                <c:pt idx="22">
                  <c:v> Q3-2025 </c:v>
                </c:pt>
                <c:pt idx="23">
                  <c:v>Q4-2025</c:v>
                </c:pt>
              </c:strCache>
            </c:strRef>
          </c:cat>
          <c:val>
            <c:numRef>
              <c:f>'Kinh doanh'!$L$45:$AI$45</c:f>
              <c:numCache>
                <c:formatCode>0.0%</c:formatCode>
                <c:ptCount val="24"/>
                <c:pt idx="0">
                  <c:v>3.8548386463121947E-2</c:v>
                </c:pt>
                <c:pt idx="1">
                  <c:v>3.4007710664055481E-2</c:v>
                </c:pt>
                <c:pt idx="2">
                  <c:v>3.6966490965695667E-2</c:v>
                </c:pt>
                <c:pt idx="3">
                  <c:v>3.4632928059311917E-2</c:v>
                </c:pt>
                <c:pt idx="4">
                  <c:v>4.3400881216451921E-2</c:v>
                </c:pt>
                <c:pt idx="5">
                  <c:v>3.8316180315683332E-2</c:v>
                </c:pt>
                <c:pt idx="6">
                  <c:v>3.2276271297941216E-2</c:v>
                </c:pt>
                <c:pt idx="7">
                  <c:v>4.3236242175793693E-2</c:v>
                </c:pt>
                <c:pt idx="8">
                  <c:v>3.9610554548375358E-2</c:v>
                </c:pt>
                <c:pt idx="9">
                  <c:v>3.2908717803586215E-2</c:v>
                </c:pt>
                <c:pt idx="10">
                  <c:v>2.8309589097725824E-2</c:v>
                </c:pt>
                <c:pt idx="11">
                  <c:v>2.0237774283747335E-2</c:v>
                </c:pt>
                <c:pt idx="12">
                  <c:v>7.8511997443112349E-4</c:v>
                </c:pt>
                <c:pt idx="13">
                  <c:v>5.9100796171764384E-4</c:v>
                </c:pt>
                <c:pt idx="14">
                  <c:v>1.2790433257341327E-3</c:v>
                </c:pt>
                <c:pt idx="15">
                  <c:v>2.8724787181973032E-3</c:v>
                </c:pt>
                <c:pt idx="16">
                  <c:v>2.8661089710043716E-2</c:v>
                </c:pt>
                <c:pt idx="17">
                  <c:v>3.4343307428209263E-2</c:v>
                </c:pt>
                <c:pt idx="18">
                  <c:v>2.359782150346788E-2</c:v>
                </c:pt>
                <c:pt idx="19">
                  <c:v>2.4647016460759542E-2</c:v>
                </c:pt>
                <c:pt idx="20">
                  <c:v>4.2834808331588488E-2</c:v>
                </c:pt>
                <c:pt idx="21">
                  <c:v>4.4059818337436697E-2</c:v>
                </c:pt>
                <c:pt idx="22">
                  <c:v>4.4436301083894167E-2</c:v>
                </c:pt>
                <c:pt idx="23">
                  <c:v>4.8346022132072911E-2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EF-4088-8F21-4E69EBACC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954688"/>
        <c:axId val="494965920"/>
      </c:lineChart>
      <c:catAx>
        <c:axId val="48191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915200"/>
        <c:crosses val="autoZero"/>
        <c:auto val="1"/>
        <c:lblAlgn val="ctr"/>
        <c:lblOffset val="100"/>
        <c:noMultiLvlLbl val="0"/>
      </c:catAx>
      <c:valAx>
        <c:axId val="48191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918528"/>
        <c:crosses val="autoZero"/>
        <c:crossBetween val="between"/>
      </c:valAx>
      <c:valAx>
        <c:axId val="49496592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954688"/>
        <c:crosses val="max"/>
        <c:crossBetween val="between"/>
      </c:valAx>
      <c:catAx>
        <c:axId val="494954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4965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Tỉ</a:t>
            </a:r>
            <a:r>
              <a:rPr lang="en-US" baseline="0"/>
              <a:t> lệ chi phí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'Kinh doanh'!$K$47</c:f>
              <c:strCache>
                <c:ptCount val="1"/>
                <c:pt idx="0">
                  <c:v>Tỉ lệ QLDN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'Kinh doanh'!$L$20:$AI$20</c:f>
              <c:strCache>
                <c:ptCount val="24"/>
                <c:pt idx="0">
                  <c:v> Q1-2020 </c:v>
                </c:pt>
                <c:pt idx="1">
                  <c:v> Q2-2020 </c:v>
                </c:pt>
                <c:pt idx="2">
                  <c:v> Q3-2020 </c:v>
                </c:pt>
                <c:pt idx="3">
                  <c:v> Q4-2020 </c:v>
                </c:pt>
                <c:pt idx="4">
                  <c:v> Q1-2021 </c:v>
                </c:pt>
                <c:pt idx="5">
                  <c:v> Q2-2021 </c:v>
                </c:pt>
                <c:pt idx="6">
                  <c:v> Q3-2021 </c:v>
                </c:pt>
                <c:pt idx="7">
                  <c:v> Q4-2021 </c:v>
                </c:pt>
                <c:pt idx="8">
                  <c:v> Q1-2022 </c:v>
                </c:pt>
                <c:pt idx="9">
                  <c:v> Q2-2022 </c:v>
                </c:pt>
                <c:pt idx="10">
                  <c:v> Q3-2022 </c:v>
                </c:pt>
                <c:pt idx="11">
                  <c:v> Q4-2022 </c:v>
                </c:pt>
                <c:pt idx="12">
                  <c:v> Q1-2023 </c:v>
                </c:pt>
                <c:pt idx="13">
                  <c:v> Q2-2023 </c:v>
                </c:pt>
                <c:pt idx="14">
                  <c:v> Q3-2023 </c:v>
                </c:pt>
                <c:pt idx="15">
                  <c:v> Q4-2023 </c:v>
                </c:pt>
                <c:pt idx="16">
                  <c:v> Q1-2024 </c:v>
                </c:pt>
                <c:pt idx="17">
                  <c:v> Q2-2024 </c:v>
                </c:pt>
                <c:pt idx="18">
                  <c:v> Q3-2024 </c:v>
                </c:pt>
                <c:pt idx="19">
                  <c:v> Q4-2024 </c:v>
                </c:pt>
                <c:pt idx="20">
                  <c:v> Q1-2025 </c:v>
                </c:pt>
                <c:pt idx="21">
                  <c:v> Q2-2025 </c:v>
                </c:pt>
                <c:pt idx="22">
                  <c:v> Q3-2025 </c:v>
                </c:pt>
                <c:pt idx="23">
                  <c:v>Q4-2025</c:v>
                </c:pt>
              </c:strCache>
            </c:strRef>
          </c:cat>
          <c:val>
            <c:numRef>
              <c:f>'Kinh doanh'!$L$47:$AI$47</c:f>
              <c:numCache>
                <c:formatCode>0.0%</c:formatCode>
                <c:ptCount val="24"/>
                <c:pt idx="0">
                  <c:v>2.6564651586785528E-2</c:v>
                </c:pt>
                <c:pt idx="1">
                  <c:v>3.8068246223910814E-2</c:v>
                </c:pt>
                <c:pt idx="2">
                  <c:v>3.2680692311475919E-2</c:v>
                </c:pt>
                <c:pt idx="3">
                  <c:v>2.8818890663682022E-2</c:v>
                </c:pt>
                <c:pt idx="4">
                  <c:v>3.5304294603975453E-2</c:v>
                </c:pt>
                <c:pt idx="5">
                  <c:v>3.7949222897503215E-2</c:v>
                </c:pt>
                <c:pt idx="6">
                  <c:v>4.0076197883206932E-2</c:v>
                </c:pt>
                <c:pt idx="7">
                  <c:v>1.842807010436523E-2</c:v>
                </c:pt>
                <c:pt idx="8">
                  <c:v>3.3988355253632224E-2</c:v>
                </c:pt>
                <c:pt idx="9">
                  <c:v>1.4570886588700725E-2</c:v>
                </c:pt>
                <c:pt idx="10">
                  <c:v>9.8782023035179738E-3</c:v>
                </c:pt>
                <c:pt idx="11">
                  <c:v>9.5475812886351204E-3</c:v>
                </c:pt>
                <c:pt idx="12">
                  <c:v>1.1978696345606258E-2</c:v>
                </c:pt>
                <c:pt idx="13">
                  <c:v>7.777299297390375E-3</c:v>
                </c:pt>
                <c:pt idx="14">
                  <c:v>1.1276230839818735E-2</c:v>
                </c:pt>
                <c:pt idx="15">
                  <c:v>9.5786649520656058E-3</c:v>
                </c:pt>
                <c:pt idx="16">
                  <c:v>2.7581867241680116E-2</c:v>
                </c:pt>
                <c:pt idx="17">
                  <c:v>2.3827680953852889E-2</c:v>
                </c:pt>
                <c:pt idx="18">
                  <c:v>2.8337141757516671E-2</c:v>
                </c:pt>
                <c:pt idx="19">
                  <c:v>2.6504283387469994E-2</c:v>
                </c:pt>
                <c:pt idx="20">
                  <c:v>3.3612879804647895E-2</c:v>
                </c:pt>
                <c:pt idx="21">
                  <c:v>3.1942237910935013E-2</c:v>
                </c:pt>
                <c:pt idx="22">
                  <c:v>2.8088922987956566E-2</c:v>
                </c:pt>
                <c:pt idx="23">
                  <c:v>2.4746424723489112E-2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005-4D62-B23C-6388E1087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0491392"/>
        <c:axId val="670492352"/>
      </c:lineChart>
      <c:lineChart>
        <c:grouping val="standard"/>
        <c:varyColors val="0"/>
        <c:ser>
          <c:idx val="0"/>
          <c:order val="0"/>
          <c:tx>
            <c:strRef>
              <c:f>'Kinh doanh'!$K$46</c:f>
              <c:strCache>
                <c:ptCount val="1"/>
                <c:pt idx="0">
                  <c:v>Tỉ lệ CPBH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'Kinh doanh'!$L$20:$AI$20</c:f>
              <c:strCache>
                <c:ptCount val="24"/>
                <c:pt idx="0">
                  <c:v> Q1-2020 </c:v>
                </c:pt>
                <c:pt idx="1">
                  <c:v> Q2-2020 </c:v>
                </c:pt>
                <c:pt idx="2">
                  <c:v> Q3-2020 </c:v>
                </c:pt>
                <c:pt idx="3">
                  <c:v> Q4-2020 </c:v>
                </c:pt>
                <c:pt idx="4">
                  <c:v> Q1-2021 </c:v>
                </c:pt>
                <c:pt idx="5">
                  <c:v> Q2-2021 </c:v>
                </c:pt>
                <c:pt idx="6">
                  <c:v> Q3-2021 </c:v>
                </c:pt>
                <c:pt idx="7">
                  <c:v> Q4-2021 </c:v>
                </c:pt>
                <c:pt idx="8">
                  <c:v> Q1-2022 </c:v>
                </c:pt>
                <c:pt idx="9">
                  <c:v> Q2-2022 </c:v>
                </c:pt>
                <c:pt idx="10">
                  <c:v> Q3-2022 </c:v>
                </c:pt>
                <c:pt idx="11">
                  <c:v> Q4-2022 </c:v>
                </c:pt>
                <c:pt idx="12">
                  <c:v> Q1-2023 </c:v>
                </c:pt>
                <c:pt idx="13">
                  <c:v> Q2-2023 </c:v>
                </c:pt>
                <c:pt idx="14">
                  <c:v> Q3-2023 </c:v>
                </c:pt>
                <c:pt idx="15">
                  <c:v> Q4-2023 </c:v>
                </c:pt>
                <c:pt idx="16">
                  <c:v> Q1-2024 </c:v>
                </c:pt>
                <c:pt idx="17">
                  <c:v> Q2-2024 </c:v>
                </c:pt>
                <c:pt idx="18">
                  <c:v> Q3-2024 </c:v>
                </c:pt>
                <c:pt idx="19">
                  <c:v> Q4-2024 </c:v>
                </c:pt>
                <c:pt idx="20">
                  <c:v> Q1-2025 </c:v>
                </c:pt>
                <c:pt idx="21">
                  <c:v> Q2-2025 </c:v>
                </c:pt>
                <c:pt idx="22">
                  <c:v> Q3-2025 </c:v>
                </c:pt>
                <c:pt idx="23">
                  <c:v>Q4-2025</c:v>
                </c:pt>
              </c:strCache>
            </c:strRef>
          </c:cat>
          <c:val>
            <c:numRef>
              <c:f>'Kinh doanh'!$L$46:$AI$46</c:f>
              <c:numCache>
                <c:formatCode>0.0%</c:formatCode>
                <c:ptCount val="24"/>
                <c:pt idx="0">
                  <c:v>0.12887088542022987</c:v>
                </c:pt>
                <c:pt idx="1">
                  <c:v>0.13461263783577662</c:v>
                </c:pt>
                <c:pt idx="2">
                  <c:v>0.14597308296084296</c:v>
                </c:pt>
                <c:pt idx="3">
                  <c:v>0.15662341274486416</c:v>
                </c:pt>
                <c:pt idx="4">
                  <c:v>0.13770308919004531</c:v>
                </c:pt>
                <c:pt idx="5">
                  <c:v>0.14038734649564147</c:v>
                </c:pt>
                <c:pt idx="6">
                  <c:v>0.1754980698453136</c:v>
                </c:pt>
                <c:pt idx="7">
                  <c:v>0.13428977972326953</c:v>
                </c:pt>
                <c:pt idx="8">
                  <c:v>0.13809952148399079</c:v>
                </c:pt>
                <c:pt idx="9">
                  <c:v>0.14766525359132976</c:v>
                </c:pt>
                <c:pt idx="10">
                  <c:v>0.1668939652683506</c:v>
                </c:pt>
                <c:pt idx="11">
                  <c:v>0.21588218143335469</c:v>
                </c:pt>
                <c:pt idx="12">
                  <c:v>0.17651881844566505</c:v>
                </c:pt>
                <c:pt idx="13">
                  <c:v>0.17685944300464942</c:v>
                </c:pt>
                <c:pt idx="14">
                  <c:v>0.1412709840632396</c:v>
                </c:pt>
                <c:pt idx="15">
                  <c:v>0.17844729194458939</c:v>
                </c:pt>
                <c:pt idx="16">
                  <c:v>0.15312418031649666</c:v>
                </c:pt>
                <c:pt idx="17">
                  <c:v>0.14813457219079582</c:v>
                </c:pt>
                <c:pt idx="18">
                  <c:v>0.14200360216687608</c:v>
                </c:pt>
                <c:pt idx="19">
                  <c:v>0.14817839145291042</c:v>
                </c:pt>
                <c:pt idx="20">
                  <c:v>0.12184893088847647</c:v>
                </c:pt>
                <c:pt idx="21">
                  <c:v>0.12502091641808635</c:v>
                </c:pt>
                <c:pt idx="22">
                  <c:v>0.11469373808779458</c:v>
                </c:pt>
                <c:pt idx="23">
                  <c:v>0.11533409075930974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05-4D62-B23C-6388E1087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5544192"/>
        <c:axId val="157982208"/>
      </c:lineChart>
      <c:catAx>
        <c:axId val="67049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670492352"/>
        <c:crosses val="autoZero"/>
        <c:auto val="1"/>
        <c:lblAlgn val="ctr"/>
        <c:lblOffset val="100"/>
        <c:noMultiLvlLbl val="0"/>
      </c:catAx>
      <c:valAx>
        <c:axId val="67049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670491392"/>
        <c:crosses val="autoZero"/>
        <c:crossBetween val="between"/>
      </c:valAx>
      <c:valAx>
        <c:axId val="15798220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35544192"/>
        <c:crosses val="max"/>
        <c:crossBetween val="between"/>
      </c:valAx>
      <c:catAx>
        <c:axId val="535544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982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Dự</a:t>
            </a:r>
            <a:r>
              <a:rPr lang="en-US" baseline="0"/>
              <a:t> phóng KQKD MWG 2026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'Kinh doanh'!$A$30</c:f>
              <c:strCache>
                <c:ptCount val="1"/>
                <c:pt idx="0">
                  <c:v>LNST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'Kinh doanh'!$B$20:$I$20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'Kinh doanh'!$B$30:$I$30</c:f>
              <c:numCache>
                <c:formatCode>#,##0</c:formatCode>
                <c:ptCount val="8"/>
                <c:pt idx="0">
                  <c:v>3834270</c:v>
                </c:pt>
                <c:pt idx="1">
                  <c:v>3917768</c:v>
                </c:pt>
                <c:pt idx="2">
                  <c:v>4898869</c:v>
                </c:pt>
                <c:pt idx="3">
                  <c:v>4099763</c:v>
                </c:pt>
                <c:pt idx="4">
                  <c:v>167669</c:v>
                </c:pt>
                <c:pt idx="5">
                  <c:v>3732645.0800220002</c:v>
                </c:pt>
                <c:pt idx="6">
                  <c:v>7047907</c:v>
                </c:pt>
                <c:pt idx="7">
                  <c:v>9358279.4000000004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3D-4902-9459-109A8DE27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713599"/>
        <c:axId val="214707359"/>
      </c:barChart>
      <c:lineChart>
        <c:grouping val="standard"/>
        <c:varyColors val="0"/>
        <c:ser>
          <c:idx val="0"/>
          <c:order val="0"/>
          <c:tx>
            <c:strRef>
              <c:f>'Kinh doanh'!$A$21</c:f>
              <c:strCache>
                <c:ptCount val="1"/>
                <c:pt idx="0">
                  <c:v>Doanh thu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'Kinh doanh'!$B$20:$I$20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'Kinh doanh'!$B$21:$I$21</c:f>
              <c:numCache>
                <c:formatCode>#,##0</c:formatCode>
                <c:ptCount val="8"/>
                <c:pt idx="0">
                  <c:v>102174244</c:v>
                </c:pt>
                <c:pt idx="1">
                  <c:v>108546020</c:v>
                </c:pt>
                <c:pt idx="2">
                  <c:v>122958106</c:v>
                </c:pt>
                <c:pt idx="3">
                  <c:v>133404778</c:v>
                </c:pt>
                <c:pt idx="4">
                  <c:v>118279788</c:v>
                </c:pt>
                <c:pt idx="5">
                  <c:v>134341153.38351899</c:v>
                </c:pt>
                <c:pt idx="6">
                  <c:v>156457826</c:v>
                </c:pt>
                <c:pt idx="7">
                  <c:v>172760000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3D-4902-9459-109A8DE27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23199"/>
        <c:axId val="214722719"/>
      </c:lineChart>
      <c:catAx>
        <c:axId val="21471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14707359"/>
        <c:crosses val="autoZero"/>
        <c:auto val="1"/>
        <c:lblAlgn val="ctr"/>
        <c:lblOffset val="100"/>
        <c:noMultiLvlLbl val="0"/>
      </c:catAx>
      <c:valAx>
        <c:axId val="21470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14713599"/>
        <c:crosses val="autoZero"/>
        <c:crossBetween val="between"/>
      </c:valAx>
      <c:valAx>
        <c:axId val="21472271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14723199"/>
        <c:crosses val="max"/>
        <c:crossBetween val="between"/>
      </c:valAx>
      <c:catAx>
        <c:axId val="214723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47227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Diễn</a:t>
            </a:r>
            <a:r>
              <a:rPr lang="en-US" b="1" baseline="0"/>
              <a:t> biến doanh thu 1CH 1 tháng theo chuỗi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'Diễn biến'!$A$30</c:f>
              <c:strCache>
                <c:ptCount val="1"/>
                <c:pt idx="0">
                  <c:v>DT/CH TGDD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'Diễn biến'!$B$10:$AH$10</c15:sqref>
                  </c15:fullRef>
                </c:ext>
              </c:extLst>
              <c:f>'Diễn biến'!$C$10:$AH$10</c:f>
              <c:strCache>
                <c:ptCount val="31"/>
                <c:pt idx="0">
                  <c:v>Q2-2018</c:v>
                </c:pt>
                <c:pt idx="1">
                  <c:v>Q3-2018</c:v>
                </c:pt>
                <c:pt idx="2">
                  <c:v>Q4-2018</c:v>
                </c:pt>
                <c:pt idx="3">
                  <c:v>Q1-2019</c:v>
                </c:pt>
                <c:pt idx="4">
                  <c:v>Q2-2019</c:v>
                </c:pt>
                <c:pt idx="5">
                  <c:v>Q3-2019</c:v>
                </c:pt>
                <c:pt idx="6">
                  <c:v>Q4-2019</c:v>
                </c:pt>
                <c:pt idx="7">
                  <c:v>Q1-2020</c:v>
                </c:pt>
                <c:pt idx="8">
                  <c:v>Q2-2020</c:v>
                </c:pt>
                <c:pt idx="9">
                  <c:v>Q3-2020</c:v>
                </c:pt>
                <c:pt idx="10">
                  <c:v>Q4-2020</c:v>
                </c:pt>
                <c:pt idx="11">
                  <c:v>Q1-2021</c:v>
                </c:pt>
                <c:pt idx="12">
                  <c:v>Q2-2021</c:v>
                </c:pt>
                <c:pt idx="13">
                  <c:v>Q3-2021</c:v>
                </c:pt>
                <c:pt idx="14">
                  <c:v>Q4-2021</c:v>
                </c:pt>
                <c:pt idx="15">
                  <c:v>Q1-2022</c:v>
                </c:pt>
                <c:pt idx="16">
                  <c:v>Q2-2022</c:v>
                </c:pt>
                <c:pt idx="17">
                  <c:v>Q3-2022</c:v>
                </c:pt>
                <c:pt idx="18">
                  <c:v>Q4-2022</c:v>
                </c:pt>
                <c:pt idx="19">
                  <c:v>Q1-2023</c:v>
                </c:pt>
                <c:pt idx="20">
                  <c:v>Q2-2023</c:v>
                </c:pt>
                <c:pt idx="21">
                  <c:v>Q3-2023</c:v>
                </c:pt>
                <c:pt idx="22">
                  <c:v>Q4-2023</c:v>
                </c:pt>
                <c:pt idx="23">
                  <c:v>Q1-2024</c:v>
                </c:pt>
                <c:pt idx="24">
                  <c:v>Q2-2024</c:v>
                </c:pt>
                <c:pt idx="25">
                  <c:v>Q3-2024</c:v>
                </c:pt>
                <c:pt idx="26">
                  <c:v>Q4-2024</c:v>
                </c:pt>
                <c:pt idx="27">
                  <c:v>Q1-2025</c:v>
                </c:pt>
                <c:pt idx="28">
                  <c:v>Q2-2025</c:v>
                </c:pt>
                <c:pt idx="29">
                  <c:v>Q3-2025</c:v>
                </c:pt>
                <c:pt idx="30">
                  <c:v>Q4-2025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'Diễn biến'!$B$30:$AH$30</c15:sqref>
                  </c15:fullRef>
                </c:ext>
              </c:extLst>
              <c:f>'Diễn biến'!$C$30:$AH$30</c:f>
              <c:numCache>
                <c:formatCode>_(* #,##0.0_);_(* \(#,##0.0\);_(* "-"??_);_(@_)</c:formatCode>
                <c:ptCount val="32"/>
                <c:pt idx="0">
                  <c:v>2.6732829237555134</c:v>
                </c:pt>
                <c:pt idx="1">
                  <c:v>2.7520873474630698</c:v>
                </c:pt>
                <c:pt idx="2">
                  <c:v>2.7180878552971581</c:v>
                </c:pt>
                <c:pt idx="3">
                  <c:v>2.853030303030303</c:v>
                </c:pt>
                <c:pt idx="4">
                  <c:v>2.8093860863831193</c:v>
                </c:pt>
                <c:pt idx="5">
                  <c:v>2.7317049126277624</c:v>
                </c:pt>
                <c:pt idx="6">
                  <c:v>2.5583905622489951</c:v>
                </c:pt>
                <c:pt idx="7">
                  <c:v>2.7635678889990092</c:v>
                </c:pt>
                <c:pt idx="8">
                  <c:v>2.0943426021283904</c:v>
                </c:pt>
                <c:pt idx="9">
                  <c:v>2.5983714483714482</c:v>
                </c:pt>
                <c:pt idx="10">
                  <c:v>2.7510010952902531</c:v>
                </c:pt>
                <c:pt idx="11">
                  <c:v>3.0296677667766776</c:v>
                </c:pt>
                <c:pt idx="12">
                  <c:v>2.6432809829059827</c:v>
                </c:pt>
                <c:pt idx="13">
                  <c:v>1.6307010000000002</c:v>
                </c:pt>
                <c:pt idx="14">
                  <c:v>3.5675941747572826</c:v>
                </c:pt>
                <c:pt idx="15">
                  <c:v>3.2846673241288626</c:v>
                </c:pt>
                <c:pt idx="16">
                  <c:v>2.7843517650734149</c:v>
                </c:pt>
                <c:pt idx="17">
                  <c:v>2.4915089605734759</c:v>
                </c:pt>
                <c:pt idx="18">
                  <c:v>2.0837703081232504</c:v>
                </c:pt>
                <c:pt idx="19">
                  <c:v>1.8629461279461281</c:v>
                </c:pt>
                <c:pt idx="20" formatCode="_(* #,##0.00_);_(* \(#,##0.00\);_(* &quot;-&quot;??_);_(@_)">
                  <c:v>1.8957570621468924</c:v>
                </c:pt>
                <c:pt idx="21">
                  <c:v>2.0949024320457794</c:v>
                </c:pt>
                <c:pt idx="22">
                  <c:v>2.349015460729746</c:v>
                </c:pt>
                <c:pt idx="23">
                  <c:v>2.1136806722689077</c:v>
                </c:pt>
                <c:pt idx="24" formatCode="_(* #,##0.00_);_(* \(#,##0.00\);_(* &quot;-&quot;??_);_(@_)">
                  <c:v>2.1436169534735496</c:v>
                </c:pt>
                <c:pt idx="25" formatCode="_(* #,##0.00_);_(* \(#,##0.00\);_(* &quot;-&quot;??_);_(@_)">
                  <c:v>2.4143636363636363</c:v>
                </c:pt>
                <c:pt idx="26" formatCode="_(* #,##0.00_);_(* \(#,##0.00\);_(* &quot;-&quot;??_);_(@_)">
                  <c:v>2.5283552073130919</c:v>
                </c:pt>
                <c:pt idx="27" formatCode="_(* #,##0.00_);_(* \(#,##0.00\);_(* &quot;-&quot;??_);_(@_)">
                  <c:v>2.7239659128154705</c:v>
                </c:pt>
                <c:pt idx="28" formatCode="_(* #,##0.00_);_(* \(#,##0.00\);_(* &quot;-&quot;??_);_(@_)">
                  <c:v>2.7797290640394086</c:v>
                </c:pt>
                <c:pt idx="29" formatCode="_(* #,##0.00_);_(* \(#,##0.00\);_(* &quot;-&quot;??_);_(@_)">
                  <c:v>3.0033201711089177</c:v>
                </c:pt>
                <c:pt idx="30" formatCode="_(* #,##0.00_);_(* \(#,##0.00\);_(* &quot;-&quot;??_);_(@_)">
                  <c:v>3.3732378129117255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13-49A6-BD12-C6F136EF4F85}"/>
            </c:ext>
          </c:extLst>
        </c:ser>
        <c:ser>
          <c:idx val="1"/>
          <c:order val="1"/>
          <c:tx>
            <c:strRef>
              <c:f>'Diễn biến'!$A$31</c:f>
              <c:strCache>
                <c:ptCount val="1"/>
                <c:pt idx="0">
                  <c:v>DT/CH DMX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'Diễn biến'!$B$10:$AH$10</c15:sqref>
                  </c15:fullRef>
                </c:ext>
              </c:extLst>
              <c:f>'Diễn biến'!$C$10:$AH$10</c:f>
              <c:strCache>
                <c:ptCount val="31"/>
                <c:pt idx="0">
                  <c:v>Q2-2018</c:v>
                </c:pt>
                <c:pt idx="1">
                  <c:v>Q3-2018</c:v>
                </c:pt>
                <c:pt idx="2">
                  <c:v>Q4-2018</c:v>
                </c:pt>
                <c:pt idx="3">
                  <c:v>Q1-2019</c:v>
                </c:pt>
                <c:pt idx="4">
                  <c:v>Q2-2019</c:v>
                </c:pt>
                <c:pt idx="5">
                  <c:v>Q3-2019</c:v>
                </c:pt>
                <c:pt idx="6">
                  <c:v>Q4-2019</c:v>
                </c:pt>
                <c:pt idx="7">
                  <c:v>Q1-2020</c:v>
                </c:pt>
                <c:pt idx="8">
                  <c:v>Q2-2020</c:v>
                </c:pt>
                <c:pt idx="9">
                  <c:v>Q3-2020</c:v>
                </c:pt>
                <c:pt idx="10">
                  <c:v>Q4-2020</c:v>
                </c:pt>
                <c:pt idx="11">
                  <c:v>Q1-2021</c:v>
                </c:pt>
                <c:pt idx="12">
                  <c:v>Q2-2021</c:v>
                </c:pt>
                <c:pt idx="13">
                  <c:v>Q3-2021</c:v>
                </c:pt>
                <c:pt idx="14">
                  <c:v>Q4-2021</c:v>
                </c:pt>
                <c:pt idx="15">
                  <c:v>Q1-2022</c:v>
                </c:pt>
                <c:pt idx="16">
                  <c:v>Q2-2022</c:v>
                </c:pt>
                <c:pt idx="17">
                  <c:v>Q3-2022</c:v>
                </c:pt>
                <c:pt idx="18">
                  <c:v>Q4-2022</c:v>
                </c:pt>
                <c:pt idx="19">
                  <c:v>Q1-2023</c:v>
                </c:pt>
                <c:pt idx="20">
                  <c:v>Q2-2023</c:v>
                </c:pt>
                <c:pt idx="21">
                  <c:v>Q3-2023</c:v>
                </c:pt>
                <c:pt idx="22">
                  <c:v>Q4-2023</c:v>
                </c:pt>
                <c:pt idx="23">
                  <c:v>Q1-2024</c:v>
                </c:pt>
                <c:pt idx="24">
                  <c:v>Q2-2024</c:v>
                </c:pt>
                <c:pt idx="25">
                  <c:v>Q3-2024</c:v>
                </c:pt>
                <c:pt idx="26">
                  <c:v>Q4-2024</c:v>
                </c:pt>
                <c:pt idx="27">
                  <c:v>Q1-2025</c:v>
                </c:pt>
                <c:pt idx="28">
                  <c:v>Q2-2025</c:v>
                </c:pt>
                <c:pt idx="29">
                  <c:v>Q3-2025</c:v>
                </c:pt>
                <c:pt idx="30">
                  <c:v>Q4-2025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'Diễn biến'!$B$31:$AH$31</c15:sqref>
                  </c15:fullRef>
                </c:ext>
              </c:extLst>
              <c:f>'Diễn biến'!$C$31:$AH$31</c:f>
              <c:numCache>
                <c:formatCode>_(* #,##0.0_);_(* \(#,##0.0\);_(* "-"??_);_(@_)</c:formatCode>
                <c:ptCount val="32"/>
                <c:pt idx="0">
                  <c:v>5.6896869244935546</c:v>
                </c:pt>
                <c:pt idx="1">
                  <c:v>5.0058796924468565</c:v>
                </c:pt>
                <c:pt idx="2">
                  <c:v>5.1426222222222231</c:v>
                </c:pt>
                <c:pt idx="3">
                  <c:v>6.2488630490956067</c:v>
                </c:pt>
                <c:pt idx="4">
                  <c:v>6.3062406523468582</c:v>
                </c:pt>
                <c:pt idx="5">
                  <c:v>5.034256890848952</c:v>
                </c:pt>
                <c:pt idx="6">
                  <c:v>4.6421800916830369</c:v>
                </c:pt>
                <c:pt idx="7">
                  <c:v>5.3384543689320383</c:v>
                </c:pt>
                <c:pt idx="8">
                  <c:v>4.8590057471264352</c:v>
                </c:pt>
                <c:pt idx="9">
                  <c:v>3.7192342823250324</c:v>
                </c:pt>
                <c:pt idx="10">
                  <c:v>3.1401784629759404</c:v>
                </c:pt>
                <c:pt idx="11">
                  <c:v>3.5664932388924666</c:v>
                </c:pt>
                <c:pt idx="12">
                  <c:v>3.2378688619295217</c:v>
                </c:pt>
                <c:pt idx="13">
                  <c:v>1.9002610892756866</c:v>
                </c:pt>
                <c:pt idx="14">
                  <c:v>3.2002911646586352</c:v>
                </c:pt>
                <c:pt idx="15">
                  <c:v>3.1463748231966058</c:v>
                </c:pt>
                <c:pt idx="16">
                  <c:v>2.8268682934459566</c:v>
                </c:pt>
                <c:pt idx="17">
                  <c:v>2.3729094686850694</c:v>
                </c:pt>
                <c:pt idx="18">
                  <c:v>2.1729668709865724</c:v>
                </c:pt>
                <c:pt idx="19">
                  <c:v>1.9359915611814345</c:v>
                </c:pt>
                <c:pt idx="20" formatCode="_(* #,##0.00_);_(* \(#,##0.00\);_(* &quot;-&quot;??_);_(@_)">
                  <c:v>2.1730537352555701</c:v>
                </c:pt>
                <c:pt idx="21">
                  <c:v>1.9631685622630499</c:v>
                </c:pt>
                <c:pt idx="22">
                  <c:v>2.0616316590563173</c:v>
                </c:pt>
                <c:pt idx="23">
                  <c:v>2.21699358974359</c:v>
                </c:pt>
                <c:pt idx="24" formatCode="_(* #,##0.00_);_(* \(#,##0.00\);_(* &quot;-&quot;??_);_(@_)">
                  <c:v>2.5880724637681158</c:v>
                </c:pt>
                <c:pt idx="25" formatCode="_(* #,##0.00_);_(* \(#,##0.00\);_(* &quot;-&quot;??_);_(@_)">
                  <c:v>2.5343172413793105</c:v>
                </c:pt>
                <c:pt idx="26" formatCode="_(* #,##0.00_);_(* \(#,##0.00\);_(* &quot;-&quot;??_);_(@_)">
                  <c:v>2.5198813754524516</c:v>
                </c:pt>
                <c:pt idx="27" formatCode="_(* #,##0.00_);_(* \(#,##0.00\);_(* &quot;-&quot;??_);_(@_)">
                  <c:v>2.6264147344186815</c:v>
                </c:pt>
                <c:pt idx="28" formatCode="_(* #,##0.00_);_(* \(#,##0.00\);_(* &quot;-&quot;??_);_(@_)">
                  <c:v>2.7645533036744112</c:v>
                </c:pt>
                <c:pt idx="29" formatCode="_(* #,##0.00_);_(* \(#,##0.00\);_(* &quot;-&quot;??_);_(@_)">
                  <c:v>2.910348860257681</c:v>
                </c:pt>
                <c:pt idx="30" formatCode="_(* #,##0.00_);_(* \(#,##0.00\);_(* &quot;-&quot;??_);_(@_)">
                  <c:v>3.1155876494023906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13-49A6-BD12-C6F136EF4F85}"/>
            </c:ext>
          </c:extLst>
        </c:ser>
        <c:ser>
          <c:idx val="2"/>
          <c:order val="2"/>
          <c:tx>
            <c:strRef>
              <c:f>'Diễn biến'!$A$32</c:f>
              <c:strCache>
                <c:ptCount val="1"/>
                <c:pt idx="0">
                  <c:v>DT/CH BHX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'Diễn biến'!$B$10:$AH$10</c15:sqref>
                  </c15:fullRef>
                </c:ext>
              </c:extLst>
              <c:f>'Diễn biến'!$C$10:$AH$10</c:f>
              <c:strCache>
                <c:ptCount val="31"/>
                <c:pt idx="0">
                  <c:v>Q2-2018</c:v>
                </c:pt>
                <c:pt idx="1">
                  <c:v>Q3-2018</c:v>
                </c:pt>
                <c:pt idx="2">
                  <c:v>Q4-2018</c:v>
                </c:pt>
                <c:pt idx="3">
                  <c:v>Q1-2019</c:v>
                </c:pt>
                <c:pt idx="4">
                  <c:v>Q2-2019</c:v>
                </c:pt>
                <c:pt idx="5">
                  <c:v>Q3-2019</c:v>
                </c:pt>
                <c:pt idx="6">
                  <c:v>Q4-2019</c:v>
                </c:pt>
                <c:pt idx="7">
                  <c:v>Q1-2020</c:v>
                </c:pt>
                <c:pt idx="8">
                  <c:v>Q2-2020</c:v>
                </c:pt>
                <c:pt idx="9">
                  <c:v>Q3-2020</c:v>
                </c:pt>
                <c:pt idx="10">
                  <c:v>Q4-2020</c:v>
                </c:pt>
                <c:pt idx="11">
                  <c:v>Q1-2021</c:v>
                </c:pt>
                <c:pt idx="12">
                  <c:v>Q2-2021</c:v>
                </c:pt>
                <c:pt idx="13">
                  <c:v>Q3-2021</c:v>
                </c:pt>
                <c:pt idx="14">
                  <c:v>Q4-2021</c:v>
                </c:pt>
                <c:pt idx="15">
                  <c:v>Q1-2022</c:v>
                </c:pt>
                <c:pt idx="16">
                  <c:v>Q2-2022</c:v>
                </c:pt>
                <c:pt idx="17">
                  <c:v>Q3-2022</c:v>
                </c:pt>
                <c:pt idx="18">
                  <c:v>Q4-2022</c:v>
                </c:pt>
                <c:pt idx="19">
                  <c:v>Q1-2023</c:v>
                </c:pt>
                <c:pt idx="20">
                  <c:v>Q2-2023</c:v>
                </c:pt>
                <c:pt idx="21">
                  <c:v>Q3-2023</c:v>
                </c:pt>
                <c:pt idx="22">
                  <c:v>Q4-2023</c:v>
                </c:pt>
                <c:pt idx="23">
                  <c:v>Q1-2024</c:v>
                </c:pt>
                <c:pt idx="24">
                  <c:v>Q2-2024</c:v>
                </c:pt>
                <c:pt idx="25">
                  <c:v>Q3-2024</c:v>
                </c:pt>
                <c:pt idx="26">
                  <c:v>Q4-2024</c:v>
                </c:pt>
                <c:pt idx="27">
                  <c:v>Q1-2025</c:v>
                </c:pt>
                <c:pt idx="28">
                  <c:v>Q2-2025</c:v>
                </c:pt>
                <c:pt idx="29">
                  <c:v>Q3-2025</c:v>
                </c:pt>
                <c:pt idx="30">
                  <c:v>Q4-2025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'Diễn biến'!$B$32:$AH$32</c15:sqref>
                  </c15:fullRef>
                </c:ext>
              </c:extLst>
              <c:f>'Diễn biến'!$C$32:$AH$32</c:f>
              <c:numCache>
                <c:formatCode>_(* #,##0.0_);_(* \(#,##0.0\);_(* "-"??_);_(@_)</c:formatCode>
                <c:ptCount val="32"/>
                <c:pt idx="0">
                  <c:v>0.82118055555555547</c:v>
                </c:pt>
                <c:pt idx="1">
                  <c:v>1.0171149144254279</c:v>
                </c:pt>
                <c:pt idx="2">
                  <c:v>0.86576131687242797</c:v>
                </c:pt>
                <c:pt idx="3">
                  <c:v>1.2446268656716419</c:v>
                </c:pt>
                <c:pt idx="4">
                  <c:v>1.2973572222222221</c:v>
                </c:pt>
                <c:pt idx="5">
                  <c:v>1.2912546531302878</c:v>
                </c:pt>
                <c:pt idx="6">
                  <c:v>1.1869414682539683</c:v>
                </c:pt>
                <c:pt idx="7">
                  <c:v>1.292704663212435</c:v>
                </c:pt>
                <c:pt idx="8">
                  <c:v>1.1143503813369227</c:v>
                </c:pt>
                <c:pt idx="9">
                  <c:v>1.1650938591086464</c:v>
                </c:pt>
                <c:pt idx="10">
                  <c:v>1.1878813263525305</c:v>
                </c:pt>
                <c:pt idx="11">
                  <c:v>1.1223927560837577</c:v>
                </c:pt>
                <c:pt idx="12">
                  <c:v>1.3104544491525421</c:v>
                </c:pt>
                <c:pt idx="13">
                  <c:v>1.6007931747673219</c:v>
                </c:pt>
                <c:pt idx="14">
                  <c:v>0.91990662650602451</c:v>
                </c:pt>
                <c:pt idx="15">
                  <c:v>0.99827613226766954</c:v>
                </c:pt>
                <c:pt idx="16">
                  <c:v>1.1373785071466382</c:v>
                </c:pt>
                <c:pt idx="17">
                  <c:v>1.3763327542945378</c:v>
                </c:pt>
                <c:pt idx="18">
                  <c:v>1.3763331404320984</c:v>
                </c:pt>
                <c:pt idx="19">
                  <c:v>1.2417153996101364</c:v>
                </c:pt>
                <c:pt idx="20" formatCode="_(* #,##0.00_);_(* \(#,##0.00\);_(* &quot;-&quot;??_);_(@_)">
                  <c:v>1.4302344665885107</c:v>
                </c:pt>
                <c:pt idx="21">
                  <c:v>1.6867069167643616</c:v>
                </c:pt>
                <c:pt idx="22">
                  <c:v>1.8174821358460935</c:v>
                </c:pt>
                <c:pt idx="23">
                  <c:v>1.7982175707547172</c:v>
                </c:pt>
                <c:pt idx="24" formatCode="_(* #,##0.00_);_(* \(#,##0.00\);_(* &quot;-&quot;??_);_(@_)">
                  <c:v>2.0262798353909459</c:v>
                </c:pt>
                <c:pt idx="25" formatCode="_(* #,##0.00_);_(* \(#,##0.00\);_(* &quot;-&quot;??_);_(@_)">
                  <c:v>2.0047091541135571</c:v>
                </c:pt>
                <c:pt idx="26" formatCode="_(* #,##0.00_);_(* \(#,##0.00\);_(* &quot;-&quot;??_);_(@_)">
                  <c:v>1.9923423728813558</c:v>
                </c:pt>
                <c:pt idx="27" formatCode="_(* #,##0.00_);_(* \(#,##0.00\);_(* &quot;-&quot;??_);_(@_)">
                  <c:v>1.8349766899766899</c:v>
                </c:pt>
                <c:pt idx="28" formatCode="_(* #,##0.00_);_(* \(#,##0.00\);_(* &quot;-&quot;??_);_(@_)">
                  <c:v>1.762672924297924</c:v>
                </c:pt>
                <c:pt idx="29" formatCode="_(* #,##0.00_);_(* \(#,##0.00\);_(* &quot;-&quot;??_);_(@_)">
                  <c:v>1.7502109170305677</c:v>
                </c:pt>
                <c:pt idx="30" formatCode="_(* #,##0.00_);_(* \(#,##0.00\);_(* &quot;-&quot;??_);_(@_)">
                  <c:v>1.6744822196170379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A13-49A6-BD12-C6F136EF4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98320"/>
        <c:axId val="138148304"/>
      </c:lineChart>
      <c:catAx>
        <c:axId val="12939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8304"/>
        <c:crosses val="autoZero"/>
        <c:auto val="1"/>
        <c:lblAlgn val="ctr"/>
        <c:lblOffset val="100"/>
        <c:noMultiLvlLbl val="0"/>
      </c:catAx>
      <c:valAx>
        <c:axId val="13814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Biến</a:t>
            </a:r>
            <a:r>
              <a:rPr lang="en-US" b="1" baseline="0"/>
              <a:t> động doanh thu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'Diễn biến'!$A$4</c:f>
              <c:strCache>
                <c:ptCount val="1"/>
                <c:pt idx="0">
                  <c:v>Doanh thu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strRef>
              <c:f>'Diễn biến'!$F$10:$AG$10</c:f>
              <c:strCache>
                <c:ptCount val="28"/>
                <c:pt idx="0">
                  <c:v>Q1-2019</c:v>
                </c:pt>
                <c:pt idx="1">
                  <c:v>Q2-2019</c:v>
                </c:pt>
                <c:pt idx="2">
                  <c:v>Q3-2019</c:v>
                </c:pt>
                <c:pt idx="3">
                  <c:v>Q4-2019</c:v>
                </c:pt>
                <c:pt idx="4">
                  <c:v>Q1-2020</c:v>
                </c:pt>
                <c:pt idx="5">
                  <c:v>Q2-2020</c:v>
                </c:pt>
                <c:pt idx="6">
                  <c:v>Q3-2020</c:v>
                </c:pt>
                <c:pt idx="7">
                  <c:v>Q4-2020</c:v>
                </c:pt>
                <c:pt idx="8">
                  <c:v>Q1-2021</c:v>
                </c:pt>
                <c:pt idx="9">
                  <c:v>Q2-2021</c:v>
                </c:pt>
                <c:pt idx="10">
                  <c:v>Q3-2021</c:v>
                </c:pt>
                <c:pt idx="11">
                  <c:v>Q4-2021</c:v>
                </c:pt>
                <c:pt idx="12">
                  <c:v>Q1-2022</c:v>
                </c:pt>
                <c:pt idx="13">
                  <c:v>Q2-2022</c:v>
                </c:pt>
                <c:pt idx="14">
                  <c:v>Q3-2022</c:v>
                </c:pt>
                <c:pt idx="15">
                  <c:v>Q4-2022</c:v>
                </c:pt>
                <c:pt idx="16">
                  <c:v>Q1-2023</c:v>
                </c:pt>
                <c:pt idx="17">
                  <c:v>Q2-2023</c:v>
                </c:pt>
                <c:pt idx="18">
                  <c:v>Q3-2023</c:v>
                </c:pt>
                <c:pt idx="19">
                  <c:v>Q4-2023</c:v>
                </c:pt>
                <c:pt idx="20">
                  <c:v>Q1-2024</c:v>
                </c:pt>
                <c:pt idx="21">
                  <c:v>Q2-2024</c:v>
                </c:pt>
                <c:pt idx="22">
                  <c:v>Q3-2024</c:v>
                </c:pt>
                <c:pt idx="23">
                  <c:v>Q4-2024</c:v>
                </c:pt>
                <c:pt idx="24">
                  <c:v>Q1-2025</c:v>
                </c:pt>
                <c:pt idx="25">
                  <c:v>Q2-2025</c:v>
                </c:pt>
                <c:pt idx="26">
                  <c:v>Q3-2025</c:v>
                </c:pt>
                <c:pt idx="27">
                  <c:v>Q4-2025</c:v>
                </c:pt>
              </c:strCache>
            </c:strRef>
          </c:cat>
          <c:val>
            <c:numRef>
              <c:f>'Diễn biến'!$F$4:$AG$4</c:f>
              <c:numCache>
                <c:formatCode>_(* #,##0_);_(* \(#,##0\);_(* "-"??_);_(@_)</c:formatCode>
                <c:ptCount val="28"/>
                <c:pt idx="0">
                  <c:v>25017.409669965</c:v>
                </c:pt>
                <c:pt idx="1">
                  <c:v>26603.758974906999</c:v>
                </c:pt>
                <c:pt idx="2">
                  <c:v>25142.085940339999</c:v>
                </c:pt>
                <c:pt idx="3">
                  <c:v>25410.989391511001</c:v>
                </c:pt>
                <c:pt idx="4">
                  <c:v>29353.213419516</c:v>
                </c:pt>
                <c:pt idx="5">
                  <c:v>26285.559012762998</c:v>
                </c:pt>
                <c:pt idx="6">
                  <c:v>25713.553885574001</c:v>
                </c:pt>
                <c:pt idx="7">
                  <c:v>27193.693347559001</c:v>
                </c:pt>
                <c:pt idx="8">
                  <c:v>30828.143814873001</c:v>
                </c:pt>
                <c:pt idx="9">
                  <c:v>31658.418853104999</c:v>
                </c:pt>
                <c:pt idx="10">
                  <c:v>24333.213525693001</c:v>
                </c:pt>
                <c:pt idx="11">
                  <c:v>36138.329909503002</c:v>
                </c:pt>
                <c:pt idx="12">
                  <c:v>36466.676618650003</c:v>
                </c:pt>
                <c:pt idx="13">
                  <c:v>34337.739971773</c:v>
                </c:pt>
                <c:pt idx="14">
                  <c:v>32011.979847627001</c:v>
                </c:pt>
                <c:pt idx="15">
                  <c:v>30588.381152474001</c:v>
                </c:pt>
                <c:pt idx="16">
                  <c:v>27335.086613676001</c:v>
                </c:pt>
                <c:pt idx="17">
                  <c:v>29725.046708024001</c:v>
                </c:pt>
                <c:pt idx="18">
                  <c:v>30287.657286952999</c:v>
                </c:pt>
                <c:pt idx="19">
                  <c:v>31421.488702148999</c:v>
                </c:pt>
                <c:pt idx="20">
                  <c:v>31486.491849566999</c:v>
                </c:pt>
                <c:pt idx="21">
                  <c:v>34134.071533952003</c:v>
                </c:pt>
                <c:pt idx="22">
                  <c:v>34146.436616480998</c:v>
                </c:pt>
                <c:pt idx="23">
                  <c:v>34573</c:v>
                </c:pt>
                <c:pt idx="24">
                  <c:v>36134</c:v>
                </c:pt>
                <c:pt idx="25">
                  <c:v>37619</c:v>
                </c:pt>
                <c:pt idx="26">
                  <c:v>39852.506999999998</c:v>
                </c:pt>
                <c:pt idx="27">
                  <c:v>42850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9-4BFC-8023-524A969E507F}"/>
            </c:ext>
          </c:extLst>
        </c:ser>
        <c:ser>
          <c:idx val="1"/>
          <c:order val="1"/>
          <c:tx>
            <c:strRef>
              <c:f>'Diễn biến'!$A$5</c:f>
              <c:strCache>
                <c:ptCount val="1"/>
                <c:pt idx="0">
                  <c:v>LNG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'Diễn biến'!$F$10:$AG$10</c:f>
              <c:strCache>
                <c:ptCount val="28"/>
                <c:pt idx="0">
                  <c:v>Q1-2019</c:v>
                </c:pt>
                <c:pt idx="1">
                  <c:v>Q2-2019</c:v>
                </c:pt>
                <c:pt idx="2">
                  <c:v>Q3-2019</c:v>
                </c:pt>
                <c:pt idx="3">
                  <c:v>Q4-2019</c:v>
                </c:pt>
                <c:pt idx="4">
                  <c:v>Q1-2020</c:v>
                </c:pt>
                <c:pt idx="5">
                  <c:v>Q2-2020</c:v>
                </c:pt>
                <c:pt idx="6">
                  <c:v>Q3-2020</c:v>
                </c:pt>
                <c:pt idx="7">
                  <c:v>Q4-2020</c:v>
                </c:pt>
                <c:pt idx="8">
                  <c:v>Q1-2021</c:v>
                </c:pt>
                <c:pt idx="9">
                  <c:v>Q2-2021</c:v>
                </c:pt>
                <c:pt idx="10">
                  <c:v>Q3-2021</c:v>
                </c:pt>
                <c:pt idx="11">
                  <c:v>Q4-2021</c:v>
                </c:pt>
                <c:pt idx="12">
                  <c:v>Q1-2022</c:v>
                </c:pt>
                <c:pt idx="13">
                  <c:v>Q2-2022</c:v>
                </c:pt>
                <c:pt idx="14">
                  <c:v>Q3-2022</c:v>
                </c:pt>
                <c:pt idx="15">
                  <c:v>Q4-2022</c:v>
                </c:pt>
                <c:pt idx="16">
                  <c:v>Q1-2023</c:v>
                </c:pt>
                <c:pt idx="17">
                  <c:v>Q2-2023</c:v>
                </c:pt>
                <c:pt idx="18">
                  <c:v>Q3-2023</c:v>
                </c:pt>
                <c:pt idx="19">
                  <c:v>Q4-2023</c:v>
                </c:pt>
                <c:pt idx="20">
                  <c:v>Q1-2024</c:v>
                </c:pt>
                <c:pt idx="21">
                  <c:v>Q2-2024</c:v>
                </c:pt>
                <c:pt idx="22">
                  <c:v>Q3-2024</c:v>
                </c:pt>
                <c:pt idx="23">
                  <c:v>Q4-2024</c:v>
                </c:pt>
                <c:pt idx="24">
                  <c:v>Q1-2025</c:v>
                </c:pt>
                <c:pt idx="25">
                  <c:v>Q2-2025</c:v>
                </c:pt>
                <c:pt idx="26">
                  <c:v>Q3-2025</c:v>
                </c:pt>
                <c:pt idx="27">
                  <c:v>Q4-2025</c:v>
                </c:pt>
              </c:strCache>
            </c:strRef>
          </c:cat>
          <c:val>
            <c:numRef>
              <c:f>'Diễn biến'!$F$5:$AF$5</c:f>
              <c:numCache>
                <c:formatCode>_(* #,##0_);_(* \(#,##0\);_(* "-"??_);_(@_)</c:formatCode>
                <c:ptCount val="27"/>
                <c:pt idx="0">
                  <c:v>4433.7778973969998</c:v>
                </c:pt>
                <c:pt idx="1">
                  <c:v>4748.4172078069996</c:v>
                </c:pt>
                <c:pt idx="2">
                  <c:v>4940.556989101</c:v>
                </c:pt>
                <c:pt idx="3">
                  <c:v>5365.0472094059996</c:v>
                </c:pt>
                <c:pt idx="4">
                  <c:v>6159.9704162640001</c:v>
                </c:pt>
                <c:pt idx="5">
                  <c:v>5770.1417848860001</c:v>
                </c:pt>
                <c:pt idx="6">
                  <c:v>5749.7200097739997</c:v>
                </c:pt>
                <c:pt idx="7">
                  <c:v>6274.6650615389999</c:v>
                </c:pt>
                <c:pt idx="8">
                  <c:v>7024.9455515019999</c:v>
                </c:pt>
                <c:pt idx="9">
                  <c:v>7143.5833856709996</c:v>
                </c:pt>
                <c:pt idx="10">
                  <c:v>6088.7133257659998</c:v>
                </c:pt>
                <c:pt idx="11">
                  <c:v>7374.8897325950002</c:v>
                </c:pt>
                <c:pt idx="12">
                  <c:v>8124.2640914989997</c:v>
                </c:pt>
                <c:pt idx="13">
                  <c:v>7336.4182392599996</c:v>
                </c:pt>
                <c:pt idx="14">
                  <c:v>7392.0243795890001</c:v>
                </c:pt>
                <c:pt idx="15">
                  <c:v>7929.5086575129999</c:v>
                </c:pt>
                <c:pt idx="16">
                  <c:v>5214.4998517869999</c:v>
                </c:pt>
                <c:pt idx="17">
                  <c:v>5441.1680076490002</c:v>
                </c:pt>
                <c:pt idx="18">
                  <c:v>4642.9276502129997</c:v>
                </c:pt>
                <c:pt idx="19">
                  <c:v>6186.460530542</c:v>
                </c:pt>
                <c:pt idx="20">
                  <c:v>6712.616110899</c:v>
                </c:pt>
                <c:pt idx="21">
                  <c:v>7307.7140017000002</c:v>
                </c:pt>
                <c:pt idx="22">
                  <c:v>6891</c:v>
                </c:pt>
                <c:pt idx="23">
                  <c:v>6586</c:v>
                </c:pt>
                <c:pt idx="24">
                  <c:v>7200</c:v>
                </c:pt>
                <c:pt idx="25">
                  <c:v>7568</c:v>
                </c:pt>
                <c:pt idx="26">
                  <c:v>7478.1859999999997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9-4BFC-8023-524A969E5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720672"/>
        <c:axId val="1463722752"/>
      </c:barChart>
      <c:lineChart>
        <c:grouping val="standard"/>
        <c:varyColors val="0"/>
        <c:ser>
          <c:idx val="2"/>
          <c:order val="2"/>
          <c:tx>
            <c:strRef>
              <c:f>'Diễn biến'!$A$7</c:f>
              <c:strCache>
                <c:ptCount val="1"/>
                <c:pt idx="0">
                  <c:v>Tăng trưởng doanh thu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'Diễn biến'!$F$10:$AG$10</c:f>
              <c:strCache>
                <c:ptCount val="28"/>
                <c:pt idx="0">
                  <c:v>Q1-2019</c:v>
                </c:pt>
                <c:pt idx="1">
                  <c:v>Q2-2019</c:v>
                </c:pt>
                <c:pt idx="2">
                  <c:v>Q3-2019</c:v>
                </c:pt>
                <c:pt idx="3">
                  <c:v>Q4-2019</c:v>
                </c:pt>
                <c:pt idx="4">
                  <c:v>Q1-2020</c:v>
                </c:pt>
                <c:pt idx="5">
                  <c:v>Q2-2020</c:v>
                </c:pt>
                <c:pt idx="6">
                  <c:v>Q3-2020</c:v>
                </c:pt>
                <c:pt idx="7">
                  <c:v>Q4-2020</c:v>
                </c:pt>
                <c:pt idx="8">
                  <c:v>Q1-2021</c:v>
                </c:pt>
                <c:pt idx="9">
                  <c:v>Q2-2021</c:v>
                </c:pt>
                <c:pt idx="10">
                  <c:v>Q3-2021</c:v>
                </c:pt>
                <c:pt idx="11">
                  <c:v>Q4-2021</c:v>
                </c:pt>
                <c:pt idx="12">
                  <c:v>Q1-2022</c:v>
                </c:pt>
                <c:pt idx="13">
                  <c:v>Q2-2022</c:v>
                </c:pt>
                <c:pt idx="14">
                  <c:v>Q3-2022</c:v>
                </c:pt>
                <c:pt idx="15">
                  <c:v>Q4-2022</c:v>
                </c:pt>
                <c:pt idx="16">
                  <c:v>Q1-2023</c:v>
                </c:pt>
                <c:pt idx="17">
                  <c:v>Q2-2023</c:v>
                </c:pt>
                <c:pt idx="18">
                  <c:v>Q3-2023</c:v>
                </c:pt>
                <c:pt idx="19">
                  <c:v>Q4-2023</c:v>
                </c:pt>
                <c:pt idx="20">
                  <c:v>Q1-2024</c:v>
                </c:pt>
                <c:pt idx="21">
                  <c:v>Q2-2024</c:v>
                </c:pt>
                <c:pt idx="22">
                  <c:v>Q3-2024</c:v>
                </c:pt>
                <c:pt idx="23">
                  <c:v>Q4-2024</c:v>
                </c:pt>
                <c:pt idx="24">
                  <c:v>Q1-2025</c:v>
                </c:pt>
                <c:pt idx="25">
                  <c:v>Q2-2025</c:v>
                </c:pt>
                <c:pt idx="26">
                  <c:v>Q3-2025</c:v>
                </c:pt>
                <c:pt idx="27">
                  <c:v>Q4-2025</c:v>
                </c:pt>
              </c:strCache>
            </c:strRef>
          </c:cat>
          <c:val>
            <c:numRef>
              <c:f>'Diễn biến'!$F$7:$AG$7</c:f>
              <c:numCache>
                <c:formatCode>0%</c:formatCode>
                <c:ptCount val="28"/>
                <c:pt idx="0">
                  <c:v>9.9013243298570419E-2</c:v>
                </c:pt>
                <c:pt idx="1">
                  <c:v>0.21996788692909042</c:v>
                </c:pt>
                <c:pt idx="2">
                  <c:v>0.20253432957123385</c:v>
                </c:pt>
                <c:pt idx="3">
                  <c:v>0.207847064502517</c:v>
                </c:pt>
                <c:pt idx="4">
                  <c:v>0.17331145817052396</c:v>
                </c:pt>
                <c:pt idx="5">
                  <c:v>-1.1960714365369607E-2</c:v>
                </c:pt>
                <c:pt idx="6">
                  <c:v>2.2729535910029464E-2</c:v>
                </c:pt>
                <c:pt idx="7">
                  <c:v>7.0154842402301076E-2</c:v>
                </c:pt>
                <c:pt idx="8">
                  <c:v>5.0247663663848474E-2</c:v>
                </c:pt>
                <c:pt idx="9">
                  <c:v>0.20440348397130137</c:v>
                </c:pt>
                <c:pt idx="10">
                  <c:v>-5.3681430658070517E-2</c:v>
                </c:pt>
                <c:pt idx="11">
                  <c:v>0.3289231972878337</c:v>
                </c:pt>
                <c:pt idx="12">
                  <c:v>0.18290211819553992</c:v>
                </c:pt>
                <c:pt idx="13">
                  <c:v>8.4632183657056492E-2</c:v>
                </c:pt>
                <c:pt idx="14">
                  <c:v>0.31556729298520847</c:v>
                </c:pt>
                <c:pt idx="15">
                  <c:v>-0.1535751311952458</c:v>
                </c:pt>
                <c:pt idx="16">
                  <c:v>-0.25040916397366109</c:v>
                </c:pt>
                <c:pt idx="17">
                  <c:v>-0.13433304776437871</c:v>
                </c:pt>
                <c:pt idx="18">
                  <c:v>-5.3864914600145308E-2</c:v>
                </c:pt>
                <c:pt idx="19">
                  <c:v>2.7236078480982862E-2</c:v>
                </c:pt>
                <c:pt idx="20">
                  <c:v>0.15187093769126792</c:v>
                </c:pt>
                <c:pt idx="21">
                  <c:v>0.14832692675762305</c:v>
                </c:pt>
                <c:pt idx="22">
                  <c:v>0.1274043513160803</c:v>
                </c:pt>
                <c:pt idx="23">
                  <c:v>0.10029796257347479</c:v>
                </c:pt>
                <c:pt idx="24">
                  <c:v>0.14760323800559938</c:v>
                </c:pt>
                <c:pt idx="25">
                  <c:v>0.10209530564150993</c:v>
                </c:pt>
                <c:pt idx="26">
                  <c:v>0.16710588128440107</c:v>
                </c:pt>
                <c:pt idx="27">
                  <c:v>0.23940647325947984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0E9-4BFC-8023-524A969E5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719840"/>
        <c:axId val="1463732736"/>
      </c:lineChart>
      <c:catAx>
        <c:axId val="146372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722752"/>
        <c:crosses val="autoZero"/>
        <c:auto val="1"/>
        <c:lblAlgn val="ctr"/>
        <c:lblOffset val="100"/>
        <c:noMultiLvlLbl val="0"/>
      </c:catAx>
      <c:valAx>
        <c:axId val="146372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720672"/>
        <c:crosses val="autoZero"/>
        <c:crossBetween val="between"/>
      </c:valAx>
      <c:valAx>
        <c:axId val="146373273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719840"/>
        <c:crosses val="max"/>
        <c:crossBetween val="between"/>
      </c:valAx>
      <c:catAx>
        <c:axId val="1463719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3732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Diễn</a:t>
            </a:r>
            <a:r>
              <a:rPr lang="en-US" b="1" baseline="0"/>
              <a:t> biến LNST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'Diễn biến'!$F$10:$AG$10</c:f>
              <c:strCache>
                <c:ptCount val="28"/>
                <c:pt idx="0">
                  <c:v>Q1-2019</c:v>
                </c:pt>
                <c:pt idx="1">
                  <c:v>Q2-2019</c:v>
                </c:pt>
                <c:pt idx="2">
                  <c:v>Q3-2019</c:v>
                </c:pt>
                <c:pt idx="3">
                  <c:v>Q4-2019</c:v>
                </c:pt>
                <c:pt idx="4">
                  <c:v>Q1-2020</c:v>
                </c:pt>
                <c:pt idx="5">
                  <c:v>Q2-2020</c:v>
                </c:pt>
                <c:pt idx="6">
                  <c:v>Q3-2020</c:v>
                </c:pt>
                <c:pt idx="7">
                  <c:v>Q4-2020</c:v>
                </c:pt>
                <c:pt idx="8">
                  <c:v>Q1-2021</c:v>
                </c:pt>
                <c:pt idx="9">
                  <c:v>Q2-2021</c:v>
                </c:pt>
                <c:pt idx="10">
                  <c:v>Q3-2021</c:v>
                </c:pt>
                <c:pt idx="11">
                  <c:v>Q4-2021</c:v>
                </c:pt>
                <c:pt idx="12">
                  <c:v>Q1-2022</c:v>
                </c:pt>
                <c:pt idx="13">
                  <c:v>Q2-2022</c:v>
                </c:pt>
                <c:pt idx="14">
                  <c:v>Q3-2022</c:v>
                </c:pt>
                <c:pt idx="15">
                  <c:v>Q4-2022</c:v>
                </c:pt>
                <c:pt idx="16">
                  <c:v>Q1-2023</c:v>
                </c:pt>
                <c:pt idx="17">
                  <c:v>Q2-2023</c:v>
                </c:pt>
                <c:pt idx="18">
                  <c:v>Q3-2023</c:v>
                </c:pt>
                <c:pt idx="19">
                  <c:v>Q4-2023</c:v>
                </c:pt>
                <c:pt idx="20">
                  <c:v>Q1-2024</c:v>
                </c:pt>
                <c:pt idx="21">
                  <c:v>Q2-2024</c:v>
                </c:pt>
                <c:pt idx="22">
                  <c:v>Q3-2024</c:v>
                </c:pt>
                <c:pt idx="23">
                  <c:v>Q4-2024</c:v>
                </c:pt>
                <c:pt idx="24">
                  <c:v>Q1-2025</c:v>
                </c:pt>
                <c:pt idx="25">
                  <c:v>Q2-2025</c:v>
                </c:pt>
                <c:pt idx="26">
                  <c:v>Q3-2025</c:v>
                </c:pt>
                <c:pt idx="27">
                  <c:v>Q4-2025</c:v>
                </c:pt>
              </c:strCache>
            </c:strRef>
          </c:cat>
          <c:val>
            <c:numRef>
              <c:f>'Diễn biến'!$F$6:$AG$6</c:f>
              <c:numCache>
                <c:formatCode>_(* #,##0_);_(* \(#,##0\);_(* "-"??_);_(@_)</c:formatCode>
                <c:ptCount val="28"/>
                <c:pt idx="0">
                  <c:v>1040.440771716</c:v>
                </c:pt>
                <c:pt idx="1">
                  <c:v>1079.178522876</c:v>
                </c:pt>
                <c:pt idx="2">
                  <c:v>855.080927073</c:v>
                </c:pt>
                <c:pt idx="3">
                  <c:v>859.56932538199999</c:v>
                </c:pt>
                <c:pt idx="4">
                  <c:v>1131.5190148300001</c:v>
                </c:pt>
                <c:pt idx="5">
                  <c:v>893.91168554900003</c:v>
                </c:pt>
                <c:pt idx="6">
                  <c:v>950.539857407</c:v>
                </c:pt>
                <c:pt idx="7">
                  <c:v>941.79722537299995</c:v>
                </c:pt>
                <c:pt idx="8">
                  <c:v>1337.9686078330001</c:v>
                </c:pt>
                <c:pt idx="9">
                  <c:v>1213.0296852849999</c:v>
                </c:pt>
                <c:pt idx="10">
                  <c:v>785.38540130599995</c:v>
                </c:pt>
                <c:pt idx="11">
                  <c:v>1562.4855837959999</c:v>
                </c:pt>
                <c:pt idx="12">
                  <c:v>1444.4652834010001</c:v>
                </c:pt>
                <c:pt idx="13">
                  <c:v>1130.0109947440001</c:v>
                </c:pt>
                <c:pt idx="14">
                  <c:v>906.24599569099996</c:v>
                </c:pt>
                <c:pt idx="15">
                  <c:v>619.04075346900004</c:v>
                </c:pt>
                <c:pt idx="16">
                  <c:v>21.266943546</c:v>
                </c:pt>
                <c:pt idx="17">
                  <c:v>17.405665662000001</c:v>
                </c:pt>
                <c:pt idx="18">
                  <c:v>38.739225904999998</c:v>
                </c:pt>
                <c:pt idx="19">
                  <c:v>90.257557590999994</c:v>
                </c:pt>
                <c:pt idx="20">
                  <c:v>902.43716755499997</c:v>
                </c:pt>
                <c:pt idx="21">
                  <c:v>1172.2769124670001</c:v>
                </c:pt>
                <c:pt idx="22">
                  <c:v>805</c:v>
                </c:pt>
                <c:pt idx="23">
                  <c:v>852</c:v>
                </c:pt>
                <c:pt idx="24">
                  <c:v>1547</c:v>
                </c:pt>
                <c:pt idx="25">
                  <c:v>1657</c:v>
                </c:pt>
                <c:pt idx="26">
                  <c:v>1770.8979999999999</c:v>
                </c:pt>
                <c:pt idx="27">
                  <c:v>2071.6460000000002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E-4FF8-85E1-622B43DC9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996384"/>
        <c:axId val="1189994720"/>
      </c:barChart>
      <c:lineChart>
        <c:grouping val="standard"/>
        <c:varyColors val="0"/>
        <c:ser>
          <c:idx val="1"/>
          <c:order val="1"/>
          <c:tx>
            <c:v>Tăng trưởng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'Diễn biến'!$F$10:$AF$10</c:f>
              <c:strCache>
                <c:ptCount val="27"/>
                <c:pt idx="0">
                  <c:v>Q1-2019</c:v>
                </c:pt>
                <c:pt idx="1">
                  <c:v>Q2-2019</c:v>
                </c:pt>
                <c:pt idx="2">
                  <c:v>Q3-2019</c:v>
                </c:pt>
                <c:pt idx="3">
                  <c:v>Q4-2019</c:v>
                </c:pt>
                <c:pt idx="4">
                  <c:v>Q1-2020</c:v>
                </c:pt>
                <c:pt idx="5">
                  <c:v>Q2-2020</c:v>
                </c:pt>
                <c:pt idx="6">
                  <c:v>Q3-2020</c:v>
                </c:pt>
                <c:pt idx="7">
                  <c:v>Q4-2020</c:v>
                </c:pt>
                <c:pt idx="8">
                  <c:v>Q1-2021</c:v>
                </c:pt>
                <c:pt idx="9">
                  <c:v>Q2-2021</c:v>
                </c:pt>
                <c:pt idx="10">
                  <c:v>Q3-2021</c:v>
                </c:pt>
                <c:pt idx="11">
                  <c:v>Q4-2021</c:v>
                </c:pt>
                <c:pt idx="12">
                  <c:v>Q1-2022</c:v>
                </c:pt>
                <c:pt idx="13">
                  <c:v>Q2-2022</c:v>
                </c:pt>
                <c:pt idx="14">
                  <c:v>Q3-2022</c:v>
                </c:pt>
                <c:pt idx="15">
                  <c:v>Q4-2022</c:v>
                </c:pt>
                <c:pt idx="16">
                  <c:v>Q1-2023</c:v>
                </c:pt>
                <c:pt idx="17">
                  <c:v>Q2-2023</c:v>
                </c:pt>
                <c:pt idx="18">
                  <c:v>Q3-2023</c:v>
                </c:pt>
                <c:pt idx="19">
                  <c:v>Q4-2023</c:v>
                </c:pt>
                <c:pt idx="20">
                  <c:v>Q1-2024</c:v>
                </c:pt>
                <c:pt idx="21">
                  <c:v>Q2-2024</c:v>
                </c:pt>
                <c:pt idx="22">
                  <c:v>Q3-2024</c:v>
                </c:pt>
                <c:pt idx="23">
                  <c:v>Q4-2024</c:v>
                </c:pt>
                <c:pt idx="24">
                  <c:v>Q1-2025</c:v>
                </c:pt>
                <c:pt idx="25">
                  <c:v>Q2-2025</c:v>
                </c:pt>
                <c:pt idx="26">
                  <c:v>Q3-2025</c:v>
                </c:pt>
              </c:strCache>
            </c:strRef>
          </c:cat>
          <c:val>
            <c:numRef>
              <c:f>'Diễn biến'!$F$8:$AF$8</c:f>
              <c:numCache>
                <c:formatCode>0%</c:formatCode>
                <c:ptCount val="27"/>
                <c:pt idx="0">
                  <c:v>0.28868815259888048</c:v>
                </c:pt>
                <c:pt idx="1">
                  <c:v>0.47435127709719849</c:v>
                </c:pt>
                <c:pt idx="2">
                  <c:v>0.32086299146205799</c:v>
                </c:pt>
                <c:pt idx="3">
                  <c:v>0.24210530442868206</c:v>
                </c:pt>
                <c:pt idx="4">
                  <c:v>8.7538133442987442E-2</c:v>
                </c:pt>
                <c:pt idx="5">
                  <c:v>-0.17167394772948752</c:v>
                </c:pt>
                <c:pt idx="6">
                  <c:v>0.11163730509200143</c:v>
                </c:pt>
                <c:pt idx="7">
                  <c:v>9.5661743111246089E-2</c:v>
                </c:pt>
                <c:pt idx="8">
                  <c:v>0.18245348977543885</c:v>
                </c:pt>
                <c:pt idx="9">
                  <c:v>0.3569905225481107</c:v>
                </c:pt>
                <c:pt idx="10">
                  <c:v>-0.17374805991989517</c:v>
                </c:pt>
                <c:pt idx="11">
                  <c:v>0.65904670527902187</c:v>
                </c:pt>
                <c:pt idx="12">
                  <c:v>7.9595795405457359E-2</c:v>
                </c:pt>
                <c:pt idx="13">
                  <c:v>-6.8439125231708364E-2</c:v>
                </c:pt>
                <c:pt idx="14">
                  <c:v>0.15388698871155948</c:v>
                </c:pt>
                <c:pt idx="15">
                  <c:v>-0.6038102623865087</c:v>
                </c:pt>
                <c:pt idx="16">
                  <c:v>-0.98527694380031972</c:v>
                </c:pt>
                <c:pt idx="17">
                  <c:v>-0.98459690592130633</c:v>
                </c:pt>
                <c:pt idx="18">
                  <c:v>-0.95725307908758051</c:v>
                </c:pt>
                <c:pt idx="19">
                  <c:v>-0.85419771301774261</c:v>
                </c:pt>
                <c:pt idx="24">
                  <c:v>0.7142467704331521</c:v>
                </c:pt>
                <c:pt idx="25">
                  <c:v>0.41348855579943455</c:v>
                </c:pt>
                <c:pt idx="26">
                  <c:v>1.1998732919254658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6E-4FF8-85E1-622B43DC9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010896"/>
        <c:axId val="1284060432"/>
      </c:lineChart>
      <c:catAx>
        <c:axId val="118999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994720"/>
        <c:crosses val="autoZero"/>
        <c:auto val="1"/>
        <c:lblAlgn val="ctr"/>
        <c:lblOffset val="100"/>
        <c:noMultiLvlLbl val="0"/>
      </c:catAx>
      <c:valAx>
        <c:axId val="11899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996384"/>
        <c:crosses val="autoZero"/>
        <c:crossBetween val="between"/>
      </c:valAx>
      <c:valAx>
        <c:axId val="128406043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10896"/>
        <c:crosses val="max"/>
        <c:crossBetween val="between"/>
      </c:valAx>
      <c:catAx>
        <c:axId val="1418010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4060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Số</a:t>
            </a:r>
            <a:r>
              <a:rPr lang="en-US" b="1" baseline="0"/>
              <a:t> lượng cửa hàng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'Diễn biến'!$A$23</c:f>
              <c:strCache>
                <c:ptCount val="1"/>
                <c:pt idx="0">
                  <c:v>TGDD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'Diễn biến'!$B$10:$AG$10</c:f>
              <c:strCache>
                <c:ptCount val="32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  <c:pt idx="15">
                  <c:v>Q4-2021</c:v>
                </c:pt>
                <c:pt idx="16">
                  <c:v>Q1-2022</c:v>
                </c:pt>
                <c:pt idx="17">
                  <c:v>Q2-2022</c:v>
                </c:pt>
                <c:pt idx="18">
                  <c:v>Q3-2022</c:v>
                </c:pt>
                <c:pt idx="19">
                  <c:v>Q4-2022</c:v>
                </c:pt>
                <c:pt idx="20">
                  <c:v>Q1-2023</c:v>
                </c:pt>
                <c:pt idx="21">
                  <c:v>Q2-2023</c:v>
                </c:pt>
                <c:pt idx="22">
                  <c:v>Q3-2023</c:v>
                </c:pt>
                <c:pt idx="23">
                  <c:v>Q4-2023</c:v>
                </c:pt>
                <c:pt idx="24">
                  <c:v>Q1-2024</c:v>
                </c:pt>
                <c:pt idx="25">
                  <c:v>Q2-2024</c:v>
                </c:pt>
                <c:pt idx="26">
                  <c:v>Q3-2024</c:v>
                </c:pt>
                <c:pt idx="27">
                  <c:v>Q4-2024</c:v>
                </c:pt>
                <c:pt idx="28">
                  <c:v>Q1-2025</c:v>
                </c:pt>
                <c:pt idx="29">
                  <c:v>Q2-2025</c:v>
                </c:pt>
                <c:pt idx="30">
                  <c:v>Q3-2025</c:v>
                </c:pt>
                <c:pt idx="31">
                  <c:v>Q4-2025</c:v>
                </c:pt>
              </c:strCache>
            </c:strRef>
          </c:cat>
          <c:val>
            <c:numRef>
              <c:f>'Diễn biến'!$B$23:$AG$23</c:f>
              <c:numCache>
                <c:formatCode>_(* #,##0_);_(* \(#,##0\);_(* "-"??_);_(@_)</c:formatCode>
                <c:ptCount val="32"/>
                <c:pt idx="0">
                  <c:v>1071</c:v>
                </c:pt>
                <c:pt idx="1">
                  <c:v>1058</c:v>
                </c:pt>
                <c:pt idx="2" formatCode="General">
                  <c:v>1038</c:v>
                </c:pt>
                <c:pt idx="3" formatCode="General">
                  <c:v>1032</c:v>
                </c:pt>
                <c:pt idx="4" formatCode="General">
                  <c:v>1023</c:v>
                </c:pt>
                <c:pt idx="5" formatCode="General">
                  <c:v>1011</c:v>
                </c:pt>
                <c:pt idx="6" formatCode="General">
                  <c:v>1011</c:v>
                </c:pt>
                <c:pt idx="7" formatCode="General">
                  <c:v>996</c:v>
                </c:pt>
                <c:pt idx="8" formatCode="General">
                  <c:v>1009</c:v>
                </c:pt>
                <c:pt idx="9" formatCode="General">
                  <c:v>971</c:v>
                </c:pt>
                <c:pt idx="10" formatCode="General">
                  <c:v>962</c:v>
                </c:pt>
                <c:pt idx="11" formatCode="General">
                  <c:v>913</c:v>
                </c:pt>
                <c:pt idx="12" formatCode="General">
                  <c:v>909</c:v>
                </c:pt>
                <c:pt idx="13" formatCode="General">
                  <c:v>936</c:v>
                </c:pt>
                <c:pt idx="14" formatCode="General">
                  <c:v>1000</c:v>
                </c:pt>
                <c:pt idx="15" formatCode="General">
                  <c:v>1030</c:v>
                </c:pt>
                <c:pt idx="16" formatCode="General">
                  <c:v>1014</c:v>
                </c:pt>
                <c:pt idx="17" formatCode="General">
                  <c:v>1067</c:v>
                </c:pt>
                <c:pt idx="18" formatCode="General">
                  <c:v>1116</c:v>
                </c:pt>
                <c:pt idx="19" formatCode="General">
                  <c:v>1190</c:v>
                </c:pt>
                <c:pt idx="20" formatCode="General">
                  <c:v>1188</c:v>
                </c:pt>
                <c:pt idx="21" formatCode="General">
                  <c:v>1180</c:v>
                </c:pt>
                <c:pt idx="22" formatCode="General">
                  <c:v>1165</c:v>
                </c:pt>
                <c:pt idx="23" formatCode="General">
                  <c:v>1078</c:v>
                </c:pt>
                <c:pt idx="24" formatCode="General">
                  <c:v>1071</c:v>
                </c:pt>
                <c:pt idx="25" formatCode="General">
                  <c:v>1046</c:v>
                </c:pt>
                <c:pt idx="26" formatCode="General">
                  <c:v>1023</c:v>
                </c:pt>
                <c:pt idx="27" formatCode="General">
                  <c:v>1021</c:v>
                </c:pt>
                <c:pt idx="28" formatCode="General">
                  <c:v>1017</c:v>
                </c:pt>
                <c:pt idx="29" formatCode="General">
                  <c:v>1015</c:v>
                </c:pt>
                <c:pt idx="30" formatCode="General">
                  <c:v>1013</c:v>
                </c:pt>
                <c:pt idx="31" formatCode="General">
                  <c:v>1012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17-4E55-8D8F-3D9C70B671B8}"/>
            </c:ext>
          </c:extLst>
        </c:ser>
        <c:ser>
          <c:idx val="1"/>
          <c:order val="1"/>
          <c:tx>
            <c:strRef>
              <c:f>'Diễn biến'!$A$24</c:f>
              <c:strCache>
                <c:ptCount val="1"/>
                <c:pt idx="0">
                  <c:v>DMX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'Diễn biến'!$B$10:$AG$10</c:f>
              <c:strCache>
                <c:ptCount val="32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  <c:pt idx="15">
                  <c:v>Q4-2021</c:v>
                </c:pt>
                <c:pt idx="16">
                  <c:v>Q1-2022</c:v>
                </c:pt>
                <c:pt idx="17">
                  <c:v>Q2-2022</c:v>
                </c:pt>
                <c:pt idx="18">
                  <c:v>Q3-2022</c:v>
                </c:pt>
                <c:pt idx="19">
                  <c:v>Q4-2022</c:v>
                </c:pt>
                <c:pt idx="20">
                  <c:v>Q1-2023</c:v>
                </c:pt>
                <c:pt idx="21">
                  <c:v>Q2-2023</c:v>
                </c:pt>
                <c:pt idx="22">
                  <c:v>Q3-2023</c:v>
                </c:pt>
                <c:pt idx="23">
                  <c:v>Q4-2023</c:v>
                </c:pt>
                <c:pt idx="24">
                  <c:v>Q1-2024</c:v>
                </c:pt>
                <c:pt idx="25">
                  <c:v>Q2-2024</c:v>
                </c:pt>
                <c:pt idx="26">
                  <c:v>Q3-2024</c:v>
                </c:pt>
                <c:pt idx="27">
                  <c:v>Q4-2024</c:v>
                </c:pt>
                <c:pt idx="28">
                  <c:v>Q1-2025</c:v>
                </c:pt>
                <c:pt idx="29">
                  <c:v>Q2-2025</c:v>
                </c:pt>
                <c:pt idx="30">
                  <c:v>Q3-2025</c:v>
                </c:pt>
                <c:pt idx="31">
                  <c:v>Q4-2025</c:v>
                </c:pt>
              </c:strCache>
            </c:strRef>
          </c:cat>
          <c:val>
            <c:numRef>
              <c:f>'Diễn biến'!$B$24:$AG$24</c:f>
              <c:numCache>
                <c:formatCode>_(* #,##0_);_(* \(#,##0\);_(* "-"??_);_(@_)</c:formatCode>
                <c:ptCount val="32"/>
                <c:pt idx="0">
                  <c:v>711</c:v>
                </c:pt>
                <c:pt idx="1">
                  <c:v>724</c:v>
                </c:pt>
                <c:pt idx="2" formatCode="General">
                  <c:v>737</c:v>
                </c:pt>
                <c:pt idx="3" formatCode="General">
                  <c:v>750</c:v>
                </c:pt>
                <c:pt idx="4" formatCode="General">
                  <c:v>774</c:v>
                </c:pt>
                <c:pt idx="5" formatCode="General">
                  <c:v>838</c:v>
                </c:pt>
                <c:pt idx="6" formatCode="General">
                  <c:v>907</c:v>
                </c:pt>
                <c:pt idx="7" formatCode="General">
                  <c:v>1018</c:v>
                </c:pt>
                <c:pt idx="8" formatCode="General">
                  <c:v>1030</c:v>
                </c:pt>
                <c:pt idx="9" formatCode="General">
                  <c:v>1044</c:v>
                </c:pt>
                <c:pt idx="10" formatCode="General">
                  <c:v>1124</c:v>
                </c:pt>
                <c:pt idx="11" formatCode="General">
                  <c:v>1427</c:v>
                </c:pt>
                <c:pt idx="12" formatCode="General">
                  <c:v>1553</c:v>
                </c:pt>
                <c:pt idx="13" formatCode="General">
                  <c:v>1731</c:v>
                </c:pt>
                <c:pt idx="14" formatCode="General">
                  <c:v>1781</c:v>
                </c:pt>
                <c:pt idx="15" formatCode="General">
                  <c:v>1992</c:v>
                </c:pt>
                <c:pt idx="16" formatCode="General">
                  <c:v>2121</c:v>
                </c:pt>
                <c:pt idx="17" formatCode="General">
                  <c:v>2131</c:v>
                </c:pt>
                <c:pt idx="18" formatCode="General">
                  <c:v>2246</c:v>
                </c:pt>
                <c:pt idx="19" formatCode="General">
                  <c:v>2284</c:v>
                </c:pt>
                <c:pt idx="20" formatCode="General">
                  <c:v>2291</c:v>
                </c:pt>
                <c:pt idx="21" formatCode="General">
                  <c:v>2289</c:v>
                </c:pt>
                <c:pt idx="22" formatCode="General">
                  <c:v>2286</c:v>
                </c:pt>
                <c:pt idx="23" formatCode="General">
                  <c:v>2190</c:v>
                </c:pt>
                <c:pt idx="24" formatCode="General">
                  <c:v>2184</c:v>
                </c:pt>
                <c:pt idx="25" formatCode="General">
                  <c:v>2093</c:v>
                </c:pt>
                <c:pt idx="26" formatCode="General">
                  <c:v>2030</c:v>
                </c:pt>
                <c:pt idx="27" formatCode="General">
                  <c:v>2026</c:v>
                </c:pt>
                <c:pt idx="28" formatCode="General">
                  <c:v>2027</c:v>
                </c:pt>
                <c:pt idx="29" formatCode="General">
                  <c:v>2023</c:v>
                </c:pt>
                <c:pt idx="30" formatCode="General">
                  <c:v>2018</c:v>
                </c:pt>
                <c:pt idx="31" formatCode="General">
                  <c:v>2008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417-4E55-8D8F-3D9C70B671B8}"/>
            </c:ext>
          </c:extLst>
        </c:ser>
        <c:ser>
          <c:idx val="2"/>
          <c:order val="2"/>
          <c:tx>
            <c:strRef>
              <c:f>'Diễn biến'!$A$18</c:f>
              <c:strCache>
                <c:ptCount val="1"/>
                <c:pt idx="0">
                  <c:v>BHX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'Diễn biến'!$B$10:$AG$10</c:f>
              <c:strCache>
                <c:ptCount val="32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  <c:pt idx="15">
                  <c:v>Q4-2021</c:v>
                </c:pt>
                <c:pt idx="16">
                  <c:v>Q1-2022</c:v>
                </c:pt>
                <c:pt idx="17">
                  <c:v>Q2-2022</c:v>
                </c:pt>
                <c:pt idx="18">
                  <c:v>Q3-2022</c:v>
                </c:pt>
                <c:pt idx="19">
                  <c:v>Q4-2022</c:v>
                </c:pt>
                <c:pt idx="20">
                  <c:v>Q1-2023</c:v>
                </c:pt>
                <c:pt idx="21">
                  <c:v>Q2-2023</c:v>
                </c:pt>
                <c:pt idx="22">
                  <c:v>Q3-2023</c:v>
                </c:pt>
                <c:pt idx="23">
                  <c:v>Q4-2023</c:v>
                </c:pt>
                <c:pt idx="24">
                  <c:v>Q1-2024</c:v>
                </c:pt>
                <c:pt idx="25">
                  <c:v>Q2-2024</c:v>
                </c:pt>
                <c:pt idx="26">
                  <c:v>Q3-2024</c:v>
                </c:pt>
                <c:pt idx="27">
                  <c:v>Q4-2024</c:v>
                </c:pt>
                <c:pt idx="28">
                  <c:v>Q1-2025</c:v>
                </c:pt>
                <c:pt idx="29">
                  <c:v>Q2-2025</c:v>
                </c:pt>
                <c:pt idx="30">
                  <c:v>Q3-2025</c:v>
                </c:pt>
                <c:pt idx="31">
                  <c:v>Q4-2025</c:v>
                </c:pt>
              </c:strCache>
            </c:strRef>
          </c:cat>
          <c:val>
            <c:numRef>
              <c:f>'Diễn biến'!$B$25:$AG$25</c:f>
              <c:numCache>
                <c:formatCode>_(* #,##0_);_(* \(#,##0\);_(* "-"??_);_(@_)</c:formatCode>
                <c:ptCount val="32"/>
                <c:pt idx="0">
                  <c:v>355</c:v>
                </c:pt>
                <c:pt idx="1">
                  <c:v>384</c:v>
                </c:pt>
                <c:pt idx="2" formatCode="General">
                  <c:v>409</c:v>
                </c:pt>
                <c:pt idx="3" formatCode="General">
                  <c:v>405</c:v>
                </c:pt>
                <c:pt idx="4" formatCode="General">
                  <c:v>469</c:v>
                </c:pt>
                <c:pt idx="5" formatCode="General">
                  <c:v>600</c:v>
                </c:pt>
                <c:pt idx="6" formatCode="General">
                  <c:v>788</c:v>
                </c:pt>
                <c:pt idx="7" formatCode="General">
                  <c:v>1008</c:v>
                </c:pt>
                <c:pt idx="8" formatCode="General">
                  <c:v>1158</c:v>
                </c:pt>
                <c:pt idx="9" formatCode="General">
                  <c:v>1486</c:v>
                </c:pt>
                <c:pt idx="10" formatCode="General">
                  <c:v>1623</c:v>
                </c:pt>
                <c:pt idx="11" formatCode="General">
                  <c:v>1719</c:v>
                </c:pt>
                <c:pt idx="12" formatCode="General">
                  <c:v>1767</c:v>
                </c:pt>
                <c:pt idx="13" formatCode="General">
                  <c:v>1888</c:v>
                </c:pt>
                <c:pt idx="14" formatCode="General">
                  <c:v>1934</c:v>
                </c:pt>
                <c:pt idx="15" formatCode="General">
                  <c:v>1992</c:v>
                </c:pt>
                <c:pt idx="16" formatCode="General">
                  <c:v>2127</c:v>
                </c:pt>
                <c:pt idx="17" formatCode="General">
                  <c:v>1889</c:v>
                </c:pt>
                <c:pt idx="18" formatCode="General">
                  <c:v>1727</c:v>
                </c:pt>
                <c:pt idx="19" formatCode="General">
                  <c:v>1728</c:v>
                </c:pt>
                <c:pt idx="20" formatCode="General">
                  <c:v>1710</c:v>
                </c:pt>
                <c:pt idx="21" formatCode="General">
                  <c:v>1706</c:v>
                </c:pt>
                <c:pt idx="22" formatCode="General">
                  <c:v>1706</c:v>
                </c:pt>
                <c:pt idx="23" formatCode="General">
                  <c:v>1698</c:v>
                </c:pt>
                <c:pt idx="24" formatCode="General">
                  <c:v>1696</c:v>
                </c:pt>
                <c:pt idx="25" formatCode="General">
                  <c:v>1701</c:v>
                </c:pt>
                <c:pt idx="26" formatCode="General">
                  <c:v>1726</c:v>
                </c:pt>
                <c:pt idx="27" formatCode="General">
                  <c:v>1770</c:v>
                </c:pt>
                <c:pt idx="28" formatCode="General">
                  <c:v>2002</c:v>
                </c:pt>
                <c:pt idx="29" formatCode="General">
                  <c:v>2184</c:v>
                </c:pt>
                <c:pt idx="30" formatCode="General">
                  <c:v>2290</c:v>
                </c:pt>
                <c:pt idx="31" formatCode="General">
                  <c:v>2559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417-4E55-8D8F-3D9C70B67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859568"/>
        <c:axId val="1759854992"/>
      </c:lineChart>
      <c:catAx>
        <c:axId val="175985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4992"/>
        <c:crosses val="autoZero"/>
        <c:auto val="1"/>
        <c:lblAlgn val="ctr"/>
        <c:lblOffset val="100"/>
        <c:noMultiLvlLbl val="0"/>
      </c:catAx>
      <c:valAx>
        <c:axId val="175985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Cơ</a:t>
            </a:r>
            <a:r>
              <a:rPr lang="en-US" b="1" baseline="0"/>
              <a:t> cấu doanh thu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'Diễn biến'!$A$11</c:f>
              <c:strCache>
                <c:ptCount val="1"/>
                <c:pt idx="0">
                  <c:v>TGDD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'Diễn biến'!$B$10:$AG$10</c:f>
              <c:strCache>
                <c:ptCount val="32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  <c:pt idx="15">
                  <c:v>Q4-2021</c:v>
                </c:pt>
                <c:pt idx="16">
                  <c:v>Q1-2022</c:v>
                </c:pt>
                <c:pt idx="17">
                  <c:v>Q2-2022</c:v>
                </c:pt>
                <c:pt idx="18">
                  <c:v>Q3-2022</c:v>
                </c:pt>
                <c:pt idx="19">
                  <c:v>Q4-2022</c:v>
                </c:pt>
                <c:pt idx="20">
                  <c:v>Q1-2023</c:v>
                </c:pt>
                <c:pt idx="21">
                  <c:v>Q2-2023</c:v>
                </c:pt>
                <c:pt idx="22">
                  <c:v>Q3-2023</c:v>
                </c:pt>
                <c:pt idx="23">
                  <c:v>Q4-2023</c:v>
                </c:pt>
                <c:pt idx="24">
                  <c:v>Q1-2024</c:v>
                </c:pt>
                <c:pt idx="25">
                  <c:v>Q2-2024</c:v>
                </c:pt>
                <c:pt idx="26">
                  <c:v>Q3-2024</c:v>
                </c:pt>
                <c:pt idx="27">
                  <c:v>Q4-2024</c:v>
                </c:pt>
                <c:pt idx="28">
                  <c:v>Q1-2025</c:v>
                </c:pt>
                <c:pt idx="29">
                  <c:v>Q2-2025</c:v>
                </c:pt>
                <c:pt idx="30">
                  <c:v>Q3-2025</c:v>
                </c:pt>
                <c:pt idx="31">
                  <c:v>Q4-2025</c:v>
                </c:pt>
              </c:strCache>
            </c:strRef>
          </c:cat>
          <c:val>
            <c:numRef>
              <c:f>'Diễn biến'!$B$11:$AG$11</c:f>
              <c:numCache>
                <c:formatCode>0.0%</c:formatCode>
                <c:ptCount val="32"/>
                <c:pt idx="0">
                  <c:v>0.42</c:v>
                </c:pt>
                <c:pt idx="1">
                  <c:v>0.41</c:v>
                </c:pt>
                <c:pt idx="2">
                  <c:v>0.4</c:v>
                </c:pt>
                <c:pt idx="3">
                  <c:v>0.4</c:v>
                </c:pt>
                <c:pt idx="4">
                  <c:v>0.35</c:v>
                </c:pt>
                <c:pt idx="5">
                  <c:v>0.31901415200299515</c:v>
                </c:pt>
                <c:pt idx="6">
                  <c:v>0.33093389519092525</c:v>
                </c:pt>
                <c:pt idx="7">
                  <c:v>0.30083314312699216</c:v>
                </c:pt>
                <c:pt idx="8">
                  <c:v>0.28499999999999998</c:v>
                </c:pt>
                <c:pt idx="9">
                  <c:v>0.23208506105679619</c:v>
                </c:pt>
                <c:pt idx="10">
                  <c:v>0.2916384708124295</c:v>
                </c:pt>
                <c:pt idx="11">
                  <c:v>0.27800295159386085</c:v>
                </c:pt>
                <c:pt idx="12">
                  <c:v>0.26800000000000002</c:v>
                </c:pt>
                <c:pt idx="13">
                  <c:v>0.23444622382260966</c:v>
                </c:pt>
                <c:pt idx="14">
                  <c:v>0.20104808285045003</c:v>
                </c:pt>
                <c:pt idx="15">
                  <c:v>0.30504914494437996</c:v>
                </c:pt>
                <c:pt idx="16">
                  <c:v>0.27400000000000002</c:v>
                </c:pt>
                <c:pt idx="17">
                  <c:v>0.25956577452893381</c:v>
                </c:pt>
                <c:pt idx="18">
                  <c:v>0.26057640884668243</c:v>
                </c:pt>
                <c:pt idx="19">
                  <c:v>0.24319395861257326</c:v>
                </c:pt>
                <c:pt idx="20">
                  <c:v>0.246</c:v>
                </c:pt>
                <c:pt idx="21">
                  <c:v>0.22687559161595669</c:v>
                </c:pt>
                <c:pt idx="22">
                  <c:v>0.24173547279450602</c:v>
                </c:pt>
                <c:pt idx="23">
                  <c:v>0.24176424161415566</c:v>
                </c:pt>
                <c:pt idx="24">
                  <c:v>0.216</c:v>
                </c:pt>
                <c:pt idx="25">
                  <c:v>0.19680134581626679</c:v>
                </c:pt>
                <c:pt idx="26">
                  <c:v>0.217</c:v>
                </c:pt>
                <c:pt idx="27">
                  <c:v>0.224</c:v>
                </c:pt>
                <c:pt idx="28">
                  <c:v>0.23</c:v>
                </c:pt>
                <c:pt idx="29">
                  <c:v>0.22500000000000001</c:v>
                </c:pt>
                <c:pt idx="30">
                  <c:v>0.23</c:v>
                </c:pt>
                <c:pt idx="31">
                  <c:v>0.23899999999999999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0-4AD8-BB69-CE29225FCDA1}"/>
            </c:ext>
          </c:extLst>
        </c:ser>
        <c:ser>
          <c:idx val="1"/>
          <c:order val="1"/>
          <c:tx>
            <c:strRef>
              <c:f>'Diễn biến'!$A$12</c:f>
              <c:strCache>
                <c:ptCount val="1"/>
                <c:pt idx="0">
                  <c:v>DMX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rgbClr val="002060"/>
              </a:solidFill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'Diễn biến'!$B$10:$AG$10</c:f>
              <c:strCache>
                <c:ptCount val="32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  <c:pt idx="15">
                  <c:v>Q4-2021</c:v>
                </c:pt>
                <c:pt idx="16">
                  <c:v>Q1-2022</c:v>
                </c:pt>
                <c:pt idx="17">
                  <c:v>Q2-2022</c:v>
                </c:pt>
                <c:pt idx="18">
                  <c:v>Q3-2022</c:v>
                </c:pt>
                <c:pt idx="19">
                  <c:v>Q4-2022</c:v>
                </c:pt>
                <c:pt idx="20">
                  <c:v>Q1-2023</c:v>
                </c:pt>
                <c:pt idx="21">
                  <c:v>Q2-2023</c:v>
                </c:pt>
                <c:pt idx="22">
                  <c:v>Q3-2023</c:v>
                </c:pt>
                <c:pt idx="23">
                  <c:v>Q4-2023</c:v>
                </c:pt>
                <c:pt idx="24">
                  <c:v>Q1-2024</c:v>
                </c:pt>
                <c:pt idx="25">
                  <c:v>Q2-2024</c:v>
                </c:pt>
                <c:pt idx="26">
                  <c:v>Q3-2024</c:v>
                </c:pt>
                <c:pt idx="27">
                  <c:v>Q4-2024</c:v>
                </c:pt>
                <c:pt idx="28">
                  <c:v>Q1-2025</c:v>
                </c:pt>
                <c:pt idx="29">
                  <c:v>Q2-2025</c:v>
                </c:pt>
                <c:pt idx="30">
                  <c:v>Q3-2025</c:v>
                </c:pt>
                <c:pt idx="31">
                  <c:v>Q4-2025</c:v>
                </c:pt>
              </c:strCache>
            </c:strRef>
          </c:cat>
          <c:val>
            <c:numRef>
              <c:f>'Diễn biến'!$B$12:$AG$12</c:f>
              <c:numCache>
                <c:formatCode>0.0%</c:formatCode>
                <c:ptCount val="32"/>
                <c:pt idx="0">
                  <c:v>0.55000000000000004</c:v>
                </c:pt>
                <c:pt idx="1">
                  <c:v>0.56000000000000005</c:v>
                </c:pt>
                <c:pt idx="2">
                  <c:v>0.54</c:v>
                </c:pt>
                <c:pt idx="3">
                  <c:v>0.55000000000000004</c:v>
                </c:pt>
                <c:pt idx="4">
                  <c:v>0.57999999999999996</c:v>
                </c:pt>
                <c:pt idx="5">
                  <c:v>0.59355630849868968</c:v>
                </c:pt>
                <c:pt idx="6">
                  <c:v>0.54714063748202579</c:v>
                </c:pt>
                <c:pt idx="7">
                  <c:v>0.55791657156349583</c:v>
                </c:pt>
                <c:pt idx="8">
                  <c:v>0.56200000000000006</c:v>
                </c:pt>
                <c:pt idx="9">
                  <c:v>0.57893278046182506</c:v>
                </c:pt>
                <c:pt idx="10">
                  <c:v>0.48773997588768364</c:v>
                </c:pt>
                <c:pt idx="11">
                  <c:v>0.49598229043683589</c:v>
                </c:pt>
                <c:pt idx="12">
                  <c:v>0.53900000000000003</c:v>
                </c:pt>
                <c:pt idx="13">
                  <c:v>0.53110499384061416</c:v>
                </c:pt>
                <c:pt idx="14">
                  <c:v>0.41725619529034619</c:v>
                </c:pt>
                <c:pt idx="15">
                  <c:v>0.52921965797775206</c:v>
                </c:pt>
                <c:pt idx="16">
                  <c:v>0.54900000000000004</c:v>
                </c:pt>
                <c:pt idx="17">
                  <c:v>0.52631764568832462</c:v>
                </c:pt>
                <c:pt idx="18">
                  <c:v>0.49945845308009484</c:v>
                </c:pt>
                <c:pt idx="19">
                  <c:v>0.4867491255026315</c:v>
                </c:pt>
                <c:pt idx="20">
                  <c:v>0.49299999999999999</c:v>
                </c:pt>
                <c:pt idx="21">
                  <c:v>0.50447464503042594</c:v>
                </c:pt>
                <c:pt idx="22">
                  <c:v>0.44451300845219216</c:v>
                </c:pt>
                <c:pt idx="23">
                  <c:v>0.43106485901597624</c:v>
                </c:pt>
                <c:pt idx="24">
                  <c:v>0.46200000000000002</c:v>
                </c:pt>
                <c:pt idx="25">
                  <c:v>0.47543905792861324</c:v>
                </c:pt>
                <c:pt idx="26">
                  <c:v>0.45200000000000001</c:v>
                </c:pt>
                <c:pt idx="27">
                  <c:v>0.443</c:v>
                </c:pt>
                <c:pt idx="28">
                  <c:v>0.442</c:v>
                </c:pt>
                <c:pt idx="29">
                  <c:v>0.44600000000000001</c:v>
                </c:pt>
                <c:pt idx="30">
                  <c:v>0.44400000000000001</c:v>
                </c:pt>
                <c:pt idx="31">
                  <c:v>0.438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0-4AD8-BB69-CE29225FCDA1}"/>
            </c:ext>
          </c:extLst>
        </c:ser>
        <c:ser>
          <c:idx val="2"/>
          <c:order val="2"/>
          <c:tx>
            <c:strRef>
              <c:f>'Diễn biến'!$A$13</c:f>
              <c:strCache>
                <c:ptCount val="1"/>
                <c:pt idx="0">
                  <c:v>BHX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'Diễn biến'!$B$10:$AG$10</c:f>
              <c:strCache>
                <c:ptCount val="32"/>
                <c:pt idx="0">
                  <c:v>Q1-2018</c:v>
                </c:pt>
                <c:pt idx="1">
                  <c:v>Q2-2018</c:v>
                </c:pt>
                <c:pt idx="2">
                  <c:v>Q3-2018</c:v>
                </c:pt>
                <c:pt idx="3">
                  <c:v>Q4-2018</c:v>
                </c:pt>
                <c:pt idx="4">
                  <c:v>Q1-2019</c:v>
                </c:pt>
                <c:pt idx="5">
                  <c:v>Q2-2019</c:v>
                </c:pt>
                <c:pt idx="6">
                  <c:v>Q3-2019</c:v>
                </c:pt>
                <c:pt idx="7">
                  <c:v>Q4-2019</c:v>
                </c:pt>
                <c:pt idx="8">
                  <c:v>Q1-2020</c:v>
                </c:pt>
                <c:pt idx="9">
                  <c:v>Q2-2020</c:v>
                </c:pt>
                <c:pt idx="10">
                  <c:v>Q3-2020</c:v>
                </c:pt>
                <c:pt idx="11">
                  <c:v>Q4-2020</c:v>
                </c:pt>
                <c:pt idx="12">
                  <c:v>Q1-2021</c:v>
                </c:pt>
                <c:pt idx="13">
                  <c:v>Q2-2021</c:v>
                </c:pt>
                <c:pt idx="14">
                  <c:v>Q3-2021</c:v>
                </c:pt>
                <c:pt idx="15">
                  <c:v>Q4-2021</c:v>
                </c:pt>
                <c:pt idx="16">
                  <c:v>Q1-2022</c:v>
                </c:pt>
                <c:pt idx="17">
                  <c:v>Q2-2022</c:v>
                </c:pt>
                <c:pt idx="18">
                  <c:v>Q3-2022</c:v>
                </c:pt>
                <c:pt idx="19">
                  <c:v>Q4-2022</c:v>
                </c:pt>
                <c:pt idx="20">
                  <c:v>Q1-2023</c:v>
                </c:pt>
                <c:pt idx="21">
                  <c:v>Q2-2023</c:v>
                </c:pt>
                <c:pt idx="22">
                  <c:v>Q3-2023</c:v>
                </c:pt>
                <c:pt idx="23">
                  <c:v>Q4-2023</c:v>
                </c:pt>
                <c:pt idx="24">
                  <c:v>Q1-2024</c:v>
                </c:pt>
                <c:pt idx="25">
                  <c:v>Q2-2024</c:v>
                </c:pt>
                <c:pt idx="26">
                  <c:v>Q3-2024</c:v>
                </c:pt>
                <c:pt idx="27">
                  <c:v>Q4-2024</c:v>
                </c:pt>
                <c:pt idx="28">
                  <c:v>Q1-2025</c:v>
                </c:pt>
                <c:pt idx="29">
                  <c:v>Q2-2025</c:v>
                </c:pt>
                <c:pt idx="30">
                  <c:v>Q3-2025</c:v>
                </c:pt>
                <c:pt idx="31">
                  <c:v>Q4-2025</c:v>
                </c:pt>
              </c:strCache>
            </c:strRef>
          </c:cat>
          <c:val>
            <c:numRef>
              <c:f>'Diễn biến'!$B$13:$AG$13</c:f>
              <c:numCache>
                <c:formatCode>0.0%</c:formatCode>
                <c:ptCount val="32"/>
                <c:pt idx="0">
                  <c:v>0.03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8.7429539498315237E-2</c:v>
                </c:pt>
                <c:pt idx="6">
                  <c:v>0.12192546732704906</c:v>
                </c:pt>
                <c:pt idx="7">
                  <c:v>0.14125028530951161</c:v>
                </c:pt>
                <c:pt idx="8">
                  <c:v>0.153</c:v>
                </c:pt>
                <c:pt idx="9">
                  <c:v>0.18898215848137867</c:v>
                </c:pt>
                <c:pt idx="10">
                  <c:v>0.22062155329988717</c:v>
                </c:pt>
                <c:pt idx="11">
                  <c:v>0.22601475796930345</c:v>
                </c:pt>
                <c:pt idx="12">
                  <c:v>0.193</c:v>
                </c:pt>
                <c:pt idx="13">
                  <c:v>0.23444878233677624</c:v>
                </c:pt>
                <c:pt idx="14">
                  <c:v>0.38169572185920358</c:v>
                </c:pt>
                <c:pt idx="15">
                  <c:v>0.15212136808899226</c:v>
                </c:pt>
                <c:pt idx="16">
                  <c:v>0.16600000000000001</c:v>
                </c:pt>
                <c:pt idx="17">
                  <c:v>0.18771366164778516</c:v>
                </c:pt>
                <c:pt idx="18">
                  <c:v>0.22275334249656381</c:v>
                </c:pt>
                <c:pt idx="19">
                  <c:v>0.23325087449736828</c:v>
                </c:pt>
                <c:pt idx="20">
                  <c:v>0.23599999999999999</c:v>
                </c:pt>
                <c:pt idx="21">
                  <c:v>0.24746247464503038</c:v>
                </c:pt>
                <c:pt idx="22">
                  <c:v>0.28501604595879565</c:v>
                </c:pt>
                <c:pt idx="23">
                  <c:v>0.2946424161415569</c:v>
                </c:pt>
                <c:pt idx="24">
                  <c:v>0.29099999999999998</c:v>
                </c:pt>
                <c:pt idx="25">
                  <c:v>0.30251919251023984</c:v>
                </c:pt>
                <c:pt idx="26">
                  <c:v>0.30399999999999999</c:v>
                </c:pt>
                <c:pt idx="27">
                  <c:v>0.30599999999999999</c:v>
                </c:pt>
                <c:pt idx="28">
                  <c:v>0.30499999999999999</c:v>
                </c:pt>
                <c:pt idx="29">
                  <c:v>0.307</c:v>
                </c:pt>
                <c:pt idx="30">
                  <c:v>0.30299999999999999</c:v>
                </c:pt>
                <c:pt idx="3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10-4AD8-BB69-CE29225FC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4928576"/>
        <c:axId val="474927328"/>
      </c:barChart>
      <c:catAx>
        <c:axId val="47492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27328"/>
        <c:crosses val="autoZero"/>
        <c:auto val="1"/>
        <c:lblAlgn val="ctr"/>
        <c:lblOffset val="100"/>
        <c:noMultiLvlLbl val="0"/>
      </c:catAx>
      <c:valAx>
        <c:axId val="47492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2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8.xml"/><Relationship Id="rId7" Type="http://schemas.openxmlformats.org/officeDocument/2006/relationships/chart" Target="../charts/chart10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9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450477</xdr:colOff>
      <xdr:row>57</xdr:row>
      <xdr:rowOff>24653</xdr:rowOff>
    </xdr:from>
    <xdr:to>
      <xdr:col>24</xdr:col>
      <xdr:colOff>90208</xdr:colOff>
      <xdr:row>71</xdr:row>
      <xdr:rowOff>89647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704289</xdr:colOff>
      <xdr:row>58</xdr:row>
      <xdr:rowOff>168249</xdr:rowOff>
    </xdr:from>
    <xdr:to>
      <xdr:col>4</xdr:col>
      <xdr:colOff>648260</xdr:colOff>
      <xdr:row>73</xdr:row>
      <xdr:rowOff>67556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324970</xdr:colOff>
      <xdr:row>73</xdr:row>
      <xdr:rowOff>129987</xdr:rowOff>
    </xdr:from>
    <xdr:to>
      <xdr:col>23</xdr:col>
      <xdr:colOff>616324</xdr:colOff>
      <xdr:row>89</xdr:row>
      <xdr:rowOff>168088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333373</xdr:colOff>
      <xdr:row>92</xdr:row>
      <xdr:rowOff>172808</xdr:rowOff>
    </xdr:from>
    <xdr:to>
      <xdr:col>24</xdr:col>
      <xdr:colOff>56029</xdr:colOff>
      <xdr:row>113</xdr:row>
      <xdr:rowOff>112059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380B71-0080-B1F4-8973-40DAC2C8B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1054553</xdr:colOff>
      <xdr:row>20</xdr:row>
      <xdr:rowOff>91167</xdr:rowOff>
    </xdr:from>
    <xdr:to>
      <xdr:col>12</xdr:col>
      <xdr:colOff>401410</xdr:colOff>
      <xdr:row>35</xdr:row>
      <xdr:rowOff>167367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236041-92C9-54A7-F0D4-10AF1908B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640773</xdr:colOff>
      <xdr:row>34</xdr:row>
      <xdr:rowOff>115166</xdr:rowOff>
    </xdr:from>
    <xdr:to>
      <xdr:col>13</xdr:col>
      <xdr:colOff>675409</xdr:colOff>
      <xdr:row>56</xdr:row>
      <xdr:rowOff>162790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511751</xdr:colOff>
      <xdr:row>58</xdr:row>
      <xdr:rowOff>87458</xdr:rowOff>
    </xdr:from>
    <xdr:to>
      <xdr:col>14</xdr:col>
      <xdr:colOff>0</xdr:colOff>
      <xdr:row>72</xdr:row>
      <xdr:rowOff>163657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448974</xdr:colOff>
      <xdr:row>77</xdr:row>
      <xdr:rowOff>52821</xdr:rowOff>
    </xdr:from>
    <xdr:to>
      <xdr:col>13</xdr:col>
      <xdr:colOff>623454</xdr:colOff>
      <xdr:row>92</xdr:row>
      <xdr:rowOff>14721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303439</xdr:colOff>
      <xdr:row>96</xdr:row>
      <xdr:rowOff>69272</xdr:rowOff>
    </xdr:from>
    <xdr:to>
      <xdr:col>14</xdr:col>
      <xdr:colOff>76200</xdr:colOff>
      <xdr:row>111</xdr:row>
      <xdr:rowOff>70509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3439" y="16867908"/>
          <a:ext cx="10891034" cy="2598965"/>
        </a:xfrm>
        <a:prstGeom prst="rect">
          <a:avLst/>
        </a:prstGeom>
      </xdr:spPr>
    </xdr:pic>
    <xdr:clientData/>
  </xdr:twoCellAnchor>
  <xdr:twoCellAnchor editAs="oneCell">
    <xdr:from>
      <xdr:col>0</xdr:col>
      <xdr:colOff>252723</xdr:colOff>
      <xdr:row>113</xdr:row>
      <xdr:rowOff>103909</xdr:rowOff>
    </xdr:from>
    <xdr:to>
      <xdr:col>15</xdr:col>
      <xdr:colOff>83560</xdr:colOff>
      <xdr:row>133</xdr:row>
      <xdr:rowOff>34636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2723" y="19846636"/>
          <a:ext cx="11693792" cy="3394364"/>
        </a:xfrm>
        <a:prstGeom prst="rect">
          <a:avLst/>
        </a:prstGeom>
      </xdr:spPr>
    </xdr:pic>
    <xdr:clientData/>
  </xdr:twoCellAnchor>
  <xdr:twoCellAnchor>
    <xdr:from>
      <xdr:col>14</xdr:col>
      <xdr:colOff>433821</xdr:colOff>
      <xdr:row>35</xdr:row>
      <xdr:rowOff>86591</xdr:rowOff>
    </xdr:from>
    <xdr:to>
      <xdr:col>26</xdr:col>
      <xdr:colOff>190500</xdr:colOff>
      <xdr:row>56</xdr:row>
      <xdr:rowOff>117762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432954</xdr:colOff>
      <xdr:row>60</xdr:row>
      <xdr:rowOff>17317</xdr:rowOff>
    </xdr:from>
    <xdr:to>
      <xdr:col>26</xdr:col>
      <xdr:colOff>462643</xdr:colOff>
      <xdr:row>78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121227</xdr:colOff>
      <xdr:row>19</xdr:row>
      <xdr:rowOff>173182</xdr:rowOff>
    </xdr:from>
    <xdr:to>
      <xdr:col>59</xdr:col>
      <xdr:colOff>23045</xdr:colOff>
      <xdr:row>48</xdr:row>
      <xdr:rowOff>153444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DAC73BFA-4800-39DC-8B2B-E6E940AF9221}"/>
            </a:ext>
          </a:extLst>
        </xdr:cNvPr>
        <xdr:cNvGrpSpPr/>
      </xdr:nvGrpSpPr>
      <xdr:grpSpPr>
        <a:xfrm>
          <a:off x="34445863" y="3584864"/>
          <a:ext cx="10985455" cy="5054489"/>
          <a:chOff x="26392909" y="3792682"/>
          <a:chExt cx="9600000" cy="5504762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786D40EF-F084-7091-6A86-D2E827BB1C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6392909" y="3792682"/>
            <a:ext cx="9600000" cy="5504762"/>
          </a:xfrm>
          <a:prstGeom prst="rect">
            <a:avLst/>
          </a:prstGeom>
        </xdr:spPr>
      </xdr:pic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9B61057A-5C34-B199-8064-9F8BAA5CA40D}"/>
              </a:ext>
            </a:extLst>
          </xdr:cNvPr>
          <xdr:cNvSpPr txBox="1"/>
        </xdr:nvSpPr>
        <xdr:spPr>
          <a:xfrm>
            <a:off x="27864955" y="4849091"/>
            <a:ext cx="1229590" cy="50222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BHX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J98"/>
  <sheetViews>
    <sheetView tabSelected="1" zoomScale="70" zoomScaleNormal="70" workbookViewId="0">
      <selection activeCell="K42" sqref="K42"/>
    </sheetView>
  </sheetViews>
  <sheetFormatPr defaultRowHeight="14.25" x14ac:dyDescent="0.2"/>
  <cols>
    <col min="1" max="1" width="22.375" customWidth="1"/>
    <col min="2" max="6" width="15.75" customWidth="1"/>
    <col min="7" max="7" width="22.75" customWidth="1"/>
    <col min="8" max="9" width="14.75" customWidth="1"/>
    <col min="10" max="10" width="13.375" customWidth="1"/>
    <col min="11" max="11" width="14.25" customWidth="1"/>
    <col min="12" max="25" width="11.25" customWidth="1"/>
    <col min="26" max="26" width="11.625" customWidth="1"/>
    <col min="27" max="27" width="13.25" customWidth="1"/>
    <col min="28" max="28" width="14.25" bestFit="1" customWidth="1"/>
    <col min="29" max="29" width="11.625" bestFit="1" customWidth="1"/>
    <col min="30" max="34" width="12.125" customWidth="1"/>
    <col min="35" max="35" width="14.125" customWidth="1"/>
    <col min="36" max="36" width="9.75" bestFit="1" customWidth="1"/>
    <col min="37" max="37" width="12.5" bestFit="1" customWidth="1"/>
  </cols>
  <sheetData>
    <row r="3" spans="1:34" ht="15.75" thickBot="1" x14ac:dyDescent="0.3">
      <c r="A3" s="9"/>
      <c r="B3" s="12">
        <v>2019</v>
      </c>
      <c r="C3" s="12">
        <f>B3+1</f>
        <v>2020</v>
      </c>
      <c r="D3" s="12">
        <f t="shared" ref="D3:F3" si="0">C3+1</f>
        <v>2021</v>
      </c>
      <c r="E3" s="12">
        <f t="shared" si="0"/>
        <v>2022</v>
      </c>
      <c r="F3" s="12">
        <f t="shared" si="0"/>
        <v>2023</v>
      </c>
      <c r="G3" s="12">
        <v>2024</v>
      </c>
      <c r="H3" s="2">
        <v>2025</v>
      </c>
      <c r="L3" s="2">
        <v>2020</v>
      </c>
      <c r="M3" s="2">
        <f>L3+1</f>
        <v>2021</v>
      </c>
      <c r="N3" s="2">
        <f t="shared" ref="N3:P3" si="1">M3+1</f>
        <v>2022</v>
      </c>
      <c r="O3" s="2">
        <f t="shared" si="1"/>
        <v>2023</v>
      </c>
      <c r="P3" s="2">
        <f t="shared" si="1"/>
        <v>2024</v>
      </c>
      <c r="Q3" s="2">
        <v>2025</v>
      </c>
      <c r="S3" t="s">
        <v>110</v>
      </c>
      <c r="T3" t="s">
        <v>111</v>
      </c>
    </row>
    <row r="4" spans="1:34" ht="15" thickBot="1" x14ac:dyDescent="0.25">
      <c r="A4" s="9" t="s">
        <v>43</v>
      </c>
      <c r="B4" s="10">
        <v>3115237</v>
      </c>
      <c r="C4" s="10">
        <v>7347857</v>
      </c>
      <c r="D4" s="10">
        <v>4142016</v>
      </c>
      <c r="E4" s="10">
        <v>5061021</v>
      </c>
      <c r="F4" s="10">
        <v>5365705</v>
      </c>
      <c r="G4" s="10">
        <v>4897332</v>
      </c>
      <c r="H4" s="46">
        <v>4999925</v>
      </c>
      <c r="K4" t="s">
        <v>106</v>
      </c>
      <c r="L4" s="1">
        <v>10792</v>
      </c>
      <c r="M4" s="1">
        <v>171</v>
      </c>
      <c r="N4" s="1">
        <v>7976</v>
      </c>
      <c r="O4" s="1">
        <v>3436</v>
      </c>
      <c r="P4" s="1">
        <v>8517</v>
      </c>
      <c r="Q4" s="1">
        <f>SUM(S4:T4)*2</f>
        <v>7866</v>
      </c>
      <c r="S4" s="33">
        <v>2490</v>
      </c>
      <c r="T4" s="33">
        <v>1443</v>
      </c>
    </row>
    <row r="5" spans="1:34" ht="15" thickBot="1" x14ac:dyDescent="0.25">
      <c r="A5" s="9" t="s">
        <v>44</v>
      </c>
      <c r="B5" s="10">
        <v>3137000</v>
      </c>
      <c r="C5" s="10">
        <v>8057319</v>
      </c>
      <c r="D5" s="10">
        <v>14236626</v>
      </c>
      <c r="E5" s="10">
        <v>10069250</v>
      </c>
      <c r="F5" s="10">
        <v>18937008</v>
      </c>
      <c r="G5" s="10">
        <v>29324442</v>
      </c>
      <c r="H5" s="46">
        <v>33874270</v>
      </c>
      <c r="K5" t="s">
        <v>107</v>
      </c>
      <c r="L5" s="1">
        <v>-8574</v>
      </c>
      <c r="M5" s="1">
        <v>-11255</v>
      </c>
      <c r="N5" s="1">
        <v>1549</v>
      </c>
      <c r="O5" s="1">
        <v>-10831</v>
      </c>
      <c r="P5" s="1">
        <v>-11743</v>
      </c>
      <c r="Q5" s="1">
        <f>SUM(S5:T5)*2</f>
        <v>-14512</v>
      </c>
      <c r="S5" s="33">
        <v>-3698</v>
      </c>
      <c r="T5" s="33">
        <v>-3558</v>
      </c>
    </row>
    <row r="6" spans="1:34" x14ac:dyDescent="0.2">
      <c r="A6" s="9" t="s">
        <v>45</v>
      </c>
      <c r="B6" s="10">
        <v>1815086</v>
      </c>
      <c r="C6" s="10">
        <v>1595251</v>
      </c>
      <c r="D6" s="10">
        <v>3162122</v>
      </c>
      <c r="E6" s="10">
        <v>3000817</v>
      </c>
      <c r="F6" s="10">
        <v>5158853</v>
      </c>
      <c r="G6" s="10">
        <v>8825896</v>
      </c>
      <c r="H6" s="46">
        <v>10153065</v>
      </c>
      <c r="K6" t="s">
        <v>108</v>
      </c>
      <c r="L6" s="1">
        <v>2014</v>
      </c>
      <c r="M6" s="1">
        <v>7877</v>
      </c>
      <c r="N6" s="1">
        <v>-8606</v>
      </c>
      <c r="O6" s="1">
        <v>7700</v>
      </c>
      <c r="P6" s="1">
        <v>2757</v>
      </c>
      <c r="Q6" s="1">
        <f>SUM(S6:T6)*2</f>
        <v>8912</v>
      </c>
      <c r="S6" s="33">
        <v>-1031</v>
      </c>
      <c r="T6" s="33">
        <v>5487</v>
      </c>
    </row>
    <row r="7" spans="1:34" x14ac:dyDescent="0.2">
      <c r="A7" s="9" t="s">
        <v>46</v>
      </c>
      <c r="B7" s="10">
        <v>25745428</v>
      </c>
      <c r="C7" s="10">
        <v>19422177</v>
      </c>
      <c r="D7" s="10">
        <v>29167232</v>
      </c>
      <c r="E7" s="10">
        <v>25696078</v>
      </c>
      <c r="F7" s="10">
        <v>21824236</v>
      </c>
      <c r="G7" s="10">
        <v>22244676</v>
      </c>
      <c r="H7" s="45">
        <v>27266851</v>
      </c>
      <c r="K7" t="s">
        <v>109</v>
      </c>
      <c r="L7" s="1">
        <f>SUM(L4:L6)</f>
        <v>4232</v>
      </c>
      <c r="M7" s="1">
        <f t="shared" ref="M7:Q7" si="2">SUM(M4:M6)</f>
        <v>-3207</v>
      </c>
      <c r="N7" s="1">
        <f t="shared" si="2"/>
        <v>919</v>
      </c>
      <c r="O7" s="1">
        <f t="shared" si="2"/>
        <v>305</v>
      </c>
      <c r="P7" s="1">
        <f t="shared" si="2"/>
        <v>-469</v>
      </c>
      <c r="Q7" s="1">
        <f t="shared" si="2"/>
        <v>2266</v>
      </c>
    </row>
    <row r="8" spans="1:34" x14ac:dyDescent="0.2">
      <c r="A8" s="9" t="s">
        <v>118</v>
      </c>
      <c r="B8" s="10"/>
      <c r="C8" s="10"/>
      <c r="D8" s="10"/>
      <c r="E8" s="10"/>
      <c r="F8" s="10"/>
      <c r="G8" s="10"/>
      <c r="H8" s="45">
        <v>3136315</v>
      </c>
    </row>
    <row r="9" spans="1:34" x14ac:dyDescent="0.2">
      <c r="A9" s="9" t="s">
        <v>47</v>
      </c>
      <c r="B9" s="10">
        <v>13031016</v>
      </c>
      <c r="C9" s="10">
        <v>15625180</v>
      </c>
      <c r="D9" s="10">
        <v>24647474</v>
      </c>
      <c r="E9" s="10">
        <v>10688139</v>
      </c>
      <c r="F9" s="10">
        <v>19128542</v>
      </c>
      <c r="G9" s="10">
        <v>27300247</v>
      </c>
      <c r="H9" s="45">
        <v>29930942</v>
      </c>
      <c r="AB9" s="8"/>
      <c r="AC9" s="8"/>
      <c r="AD9" s="8"/>
      <c r="AE9" s="8"/>
      <c r="AF9" s="8"/>
      <c r="AG9" s="8"/>
      <c r="AH9" s="8"/>
    </row>
    <row r="10" spans="1:34" x14ac:dyDescent="0.2">
      <c r="A10" s="9" t="s">
        <v>48</v>
      </c>
      <c r="B10" s="10">
        <v>1122137</v>
      </c>
      <c r="C10" s="10">
        <v>1126677</v>
      </c>
      <c r="D10" s="10"/>
      <c r="E10" s="10">
        <v>5901250</v>
      </c>
      <c r="F10" s="10">
        <v>5985250</v>
      </c>
      <c r="G10" s="10"/>
    </row>
    <row r="11" spans="1:34" x14ac:dyDescent="0.2">
      <c r="A11" s="9" t="s">
        <v>49</v>
      </c>
      <c r="B11" s="10">
        <v>12143592</v>
      </c>
      <c r="C11" s="10">
        <v>15481690</v>
      </c>
      <c r="D11" s="10">
        <v>20378246</v>
      </c>
      <c r="E11" s="10">
        <v>23932582</v>
      </c>
      <c r="F11" s="10">
        <v>23359558</v>
      </c>
      <c r="G11" s="10">
        <v>28121576</v>
      </c>
      <c r="H11" s="45">
        <v>33179015</v>
      </c>
    </row>
    <row r="13" spans="1:34" x14ac:dyDescent="0.2">
      <c r="A13" s="9" t="s">
        <v>56</v>
      </c>
      <c r="B13" s="11">
        <f>(B10+B9)/B11</f>
        <v>1.1654832441669647</v>
      </c>
      <c r="C13" s="11">
        <f t="shared" ref="C13:F13" si="3">(C10+C9)/C11</f>
        <v>1.0820431748730275</v>
      </c>
      <c r="D13" s="11">
        <f t="shared" si="3"/>
        <v>1.2094992866412546</v>
      </c>
      <c r="E13" s="11">
        <f t="shared" si="3"/>
        <v>0.69317171878905504</v>
      </c>
      <c r="F13" s="11">
        <f t="shared" si="3"/>
        <v>1.0750970544905003</v>
      </c>
      <c r="G13" s="11">
        <f t="shared" ref="G13:H13" si="4">(G10+G9)/G11</f>
        <v>0.97079363546338937</v>
      </c>
      <c r="H13" s="11">
        <f t="shared" si="4"/>
        <v>0.90210459834326007</v>
      </c>
    </row>
    <row r="14" spans="1:34" x14ac:dyDescent="0.2">
      <c r="A14" s="9" t="s">
        <v>57</v>
      </c>
      <c r="B14" s="11">
        <f>(B10+B9-B4-B5)/B11</f>
        <v>0.65062429633670171</v>
      </c>
      <c r="C14" s="11">
        <f t="shared" ref="C14:F14" si="5">(C10+C9-C4-C5)/C11</f>
        <v>8.6985400172720162E-2</v>
      </c>
      <c r="D14" s="11">
        <f t="shared" si="5"/>
        <v>0.30762372777323427</v>
      </c>
      <c r="E14" s="11">
        <f t="shared" si="5"/>
        <v>6.0967847096481273E-2</v>
      </c>
      <c r="F14" s="11">
        <f t="shared" si="5"/>
        <v>3.4721504576413646E-2</v>
      </c>
      <c r="G14" s="11">
        <f>(G10+G9-G4-G5-G8)/G11</f>
        <v>-0.24612870203291592</v>
      </c>
      <c r="H14" s="11">
        <f>(H10+H9-H4-H5-H8)/H11</f>
        <v>-0.36407253199047651</v>
      </c>
    </row>
    <row r="15" spans="1:34" x14ac:dyDescent="0.2">
      <c r="L15" s="8">
        <f>L27/L21</f>
        <v>0.12887088542022987</v>
      </c>
      <c r="M15" s="8">
        <f t="shared" ref="M15:AC15" si="6">M27/M21</f>
        <v>0.13461263783577662</v>
      </c>
      <c r="N15" s="8">
        <f t="shared" si="6"/>
        <v>0.14597308296084296</v>
      </c>
      <c r="O15" s="8">
        <f t="shared" si="6"/>
        <v>0.15662341274486416</v>
      </c>
      <c r="P15" s="8">
        <f t="shared" si="6"/>
        <v>0.13770308919004531</v>
      </c>
      <c r="Q15" s="8">
        <f t="shared" si="6"/>
        <v>0.14038734649564147</v>
      </c>
      <c r="R15" s="8">
        <f t="shared" si="6"/>
        <v>0.1754980698453136</v>
      </c>
      <c r="S15" s="8">
        <f t="shared" si="6"/>
        <v>0.13428977972326953</v>
      </c>
      <c r="T15" s="8">
        <f t="shared" si="6"/>
        <v>0.13809952148399079</v>
      </c>
      <c r="U15" s="8">
        <f t="shared" si="6"/>
        <v>0.14766525359132976</v>
      </c>
      <c r="V15" s="8">
        <f t="shared" si="6"/>
        <v>0.1668939652683506</v>
      </c>
      <c r="W15" s="8">
        <f t="shared" si="6"/>
        <v>0.21588218143335469</v>
      </c>
      <c r="X15" s="8">
        <f t="shared" si="6"/>
        <v>0.17651881844566505</v>
      </c>
      <c r="Y15" s="8">
        <f t="shared" si="6"/>
        <v>0.17685944300464942</v>
      </c>
      <c r="Z15" s="8">
        <f t="shared" si="6"/>
        <v>0.1412709840632396</v>
      </c>
      <c r="AA15" s="8">
        <f t="shared" si="6"/>
        <v>0.17844729194458939</v>
      </c>
      <c r="AB15" s="8">
        <f t="shared" si="6"/>
        <v>0.15312418031649666</v>
      </c>
      <c r="AC15" s="8">
        <f t="shared" si="6"/>
        <v>0.14813457219079582</v>
      </c>
      <c r="AD15" s="8">
        <f t="shared" ref="AD15:AG15" si="7">AD27/AD21</f>
        <v>0.14200360216687608</v>
      </c>
      <c r="AE15" s="8">
        <f t="shared" si="7"/>
        <v>0.14817839145291042</v>
      </c>
      <c r="AF15" s="8">
        <f t="shared" si="7"/>
        <v>0.12184893088847647</v>
      </c>
      <c r="AG15" s="8">
        <f t="shared" si="7"/>
        <v>0.12502091641808635</v>
      </c>
      <c r="AH15" s="8">
        <f t="shared" ref="AH15" si="8">AH27/AH21</f>
        <v>0.11469373808779458</v>
      </c>
    </row>
    <row r="16" spans="1:34" x14ac:dyDescent="0.2">
      <c r="B16">
        <f>(B5+B6+C5+C6)/2</f>
        <v>7302328</v>
      </c>
      <c r="C16">
        <f>(C5+C6+D5+D6)/2</f>
        <v>13525659</v>
      </c>
      <c r="D16">
        <f>(D5+D6+E5+E6)/2</f>
        <v>15234407.5</v>
      </c>
      <c r="E16">
        <f>(E5+E6+F5+F6)/2</f>
        <v>18582964</v>
      </c>
      <c r="F16">
        <f>(F5+F6+G5+G6)/2</f>
        <v>31123099.5</v>
      </c>
      <c r="G16" s="1">
        <f>(G6+G5+I5+I6)/2</f>
        <v>19075169</v>
      </c>
      <c r="L16" s="8">
        <f>L28/L21</f>
        <v>2.6564651586785528E-2</v>
      </c>
      <c r="M16" s="8">
        <f t="shared" ref="M16:AC16" si="9">M28/M21</f>
        <v>3.8068246223910814E-2</v>
      </c>
      <c r="N16" s="8">
        <f t="shared" si="9"/>
        <v>3.2680692311475919E-2</v>
      </c>
      <c r="O16" s="8">
        <f t="shared" si="9"/>
        <v>2.8818890663682022E-2</v>
      </c>
      <c r="P16" s="8">
        <f t="shared" si="9"/>
        <v>3.5304294603975453E-2</v>
      </c>
      <c r="Q16" s="8">
        <f t="shared" si="9"/>
        <v>3.7949222897503215E-2</v>
      </c>
      <c r="R16" s="8">
        <f t="shared" si="9"/>
        <v>4.0076197883206932E-2</v>
      </c>
      <c r="S16" s="8">
        <f t="shared" si="9"/>
        <v>1.842807010436523E-2</v>
      </c>
      <c r="T16" s="8">
        <f t="shared" si="9"/>
        <v>3.3988355253632224E-2</v>
      </c>
      <c r="U16" s="8">
        <f t="shared" si="9"/>
        <v>1.4570886588700725E-2</v>
      </c>
      <c r="V16" s="8">
        <f t="shared" si="9"/>
        <v>9.8782023035179738E-3</v>
      </c>
      <c r="W16" s="8">
        <f t="shared" si="9"/>
        <v>9.5475812886351204E-3</v>
      </c>
      <c r="X16" s="8">
        <f t="shared" si="9"/>
        <v>1.1978696345606258E-2</v>
      </c>
      <c r="Y16" s="8">
        <f t="shared" si="9"/>
        <v>7.777299297390375E-3</v>
      </c>
      <c r="Z16" s="8">
        <f t="shared" si="9"/>
        <v>1.1276230839818735E-2</v>
      </c>
      <c r="AA16" s="8">
        <f t="shared" si="9"/>
        <v>9.5786649520656058E-3</v>
      </c>
      <c r="AB16" s="8">
        <f t="shared" si="9"/>
        <v>2.7581867241680116E-2</v>
      </c>
      <c r="AC16" s="8">
        <f t="shared" si="9"/>
        <v>2.3827680953852889E-2</v>
      </c>
      <c r="AD16" s="8">
        <f t="shared" ref="AD16:AG16" si="10">AD28/AD21</f>
        <v>2.8337141757516671E-2</v>
      </c>
      <c r="AE16" s="8">
        <f t="shared" si="10"/>
        <v>2.6504283387469994E-2</v>
      </c>
      <c r="AF16" s="8">
        <f t="shared" si="10"/>
        <v>3.3612879804647895E-2</v>
      </c>
      <c r="AG16" s="8">
        <f t="shared" si="10"/>
        <v>3.1942237910935013E-2</v>
      </c>
      <c r="AH16" s="8">
        <f t="shared" ref="AH16" si="11">AH28/AH21</f>
        <v>2.8088922987956566E-2</v>
      </c>
    </row>
    <row r="17" spans="1:36" x14ac:dyDescent="0.2">
      <c r="B17" s="3">
        <f t="shared" ref="B17:G17" si="12">C24/B16</f>
        <v>0.10874915506397412</v>
      </c>
      <c r="C17" s="3">
        <f t="shared" si="12"/>
        <v>9.5223160660785552E-2</v>
      </c>
      <c r="D17" s="3">
        <f t="shared" si="12"/>
        <v>8.6195475603498203E-2</v>
      </c>
      <c r="E17" s="3">
        <f t="shared" si="12"/>
        <v>0.11661024581439215</v>
      </c>
      <c r="F17" s="3">
        <f t="shared" si="12"/>
        <v>7.6358180017610397E-2</v>
      </c>
      <c r="G17" s="3">
        <f t="shared" si="12"/>
        <v>0.16290487387031799</v>
      </c>
    </row>
    <row r="18" spans="1:36" x14ac:dyDescent="0.2">
      <c r="C18" s="21"/>
      <c r="D18" s="21"/>
      <c r="E18" s="21"/>
      <c r="F18" s="21"/>
    </row>
    <row r="19" spans="1:36" x14ac:dyDescent="0.2">
      <c r="B19" s="3">
        <f>(B24-B25)/B30*0.8</f>
        <v>1.2815581583978176E-2</v>
      </c>
      <c r="C19" s="3">
        <f t="shared" ref="C19:I19" si="13">(C24-C25)/C30*0.8</f>
        <v>4.0833454150424428E-2</v>
      </c>
      <c r="D19" s="3">
        <f t="shared" si="13"/>
        <v>9.3613280943009511E-2</v>
      </c>
      <c r="E19" s="3">
        <f t="shared" si="13"/>
        <v>-1.3558442280687933E-2</v>
      </c>
      <c r="F19" s="3">
        <f t="shared" si="13"/>
        <v>2.9143992031920032</v>
      </c>
      <c r="G19" s="3">
        <f t="shared" si="13"/>
        <v>0.25462634432674169</v>
      </c>
      <c r="H19" s="3">
        <f t="shared" si="13"/>
        <v>0.17763242335632409</v>
      </c>
      <c r="I19" s="3">
        <f t="shared" si="13"/>
        <v>0.15819397313570271</v>
      </c>
    </row>
    <row r="20" spans="1:36" ht="15" x14ac:dyDescent="0.25">
      <c r="A20" s="9"/>
      <c r="B20" s="12">
        <v>2019</v>
      </c>
      <c r="C20" s="12">
        <f>B20+1</f>
        <v>2020</v>
      </c>
      <c r="D20" s="12">
        <f t="shared" ref="D20:F20" si="14">C20+1</f>
        <v>2021</v>
      </c>
      <c r="E20" s="12">
        <f t="shared" si="14"/>
        <v>2022</v>
      </c>
      <c r="F20" s="12">
        <f t="shared" si="14"/>
        <v>2023</v>
      </c>
      <c r="G20" s="12">
        <v>2024</v>
      </c>
      <c r="H20" s="12">
        <v>2025</v>
      </c>
      <c r="I20" s="12">
        <v>2026</v>
      </c>
      <c r="L20" s="17" t="s">
        <v>17</v>
      </c>
      <c r="M20" s="17" t="s">
        <v>18</v>
      </c>
      <c r="N20" s="17" t="s">
        <v>19</v>
      </c>
      <c r="O20" s="17" t="s">
        <v>20</v>
      </c>
      <c r="P20" s="17" t="s">
        <v>21</v>
      </c>
      <c r="Q20" s="17" t="s">
        <v>22</v>
      </c>
      <c r="R20" s="17" t="s">
        <v>23</v>
      </c>
      <c r="S20" s="17" t="s">
        <v>24</v>
      </c>
      <c r="T20" s="17" t="s">
        <v>25</v>
      </c>
      <c r="U20" s="17" t="s">
        <v>26</v>
      </c>
      <c r="V20" s="17" t="s">
        <v>27</v>
      </c>
      <c r="W20" s="17" t="s">
        <v>28</v>
      </c>
      <c r="X20" s="17" t="s">
        <v>29</v>
      </c>
      <c r="Y20" s="17" t="s">
        <v>30</v>
      </c>
      <c r="Z20" s="17" t="s">
        <v>31</v>
      </c>
      <c r="AA20" s="17" t="s">
        <v>32</v>
      </c>
      <c r="AB20" s="17" t="s">
        <v>33</v>
      </c>
      <c r="AC20" s="17" t="s">
        <v>34</v>
      </c>
      <c r="AD20" s="17" t="s">
        <v>61</v>
      </c>
      <c r="AE20" s="17" t="s">
        <v>62</v>
      </c>
      <c r="AF20" s="17" t="s">
        <v>95</v>
      </c>
      <c r="AG20" s="17" t="s">
        <v>96</v>
      </c>
      <c r="AH20" s="17" t="s">
        <v>97</v>
      </c>
      <c r="AI20" s="2" t="s">
        <v>114</v>
      </c>
    </row>
    <row r="21" spans="1:36" x14ac:dyDescent="0.2">
      <c r="A21" s="9" t="s">
        <v>0</v>
      </c>
      <c r="B21" s="10">
        <v>102174244</v>
      </c>
      <c r="C21" s="10">
        <v>108546020</v>
      </c>
      <c r="D21" s="10">
        <v>122958106</v>
      </c>
      <c r="E21" s="10">
        <v>133404778</v>
      </c>
      <c r="F21" s="10">
        <v>118279788</v>
      </c>
      <c r="G21" s="10">
        <f>SUM(AB21:AE21)</f>
        <v>134341153.38351899</v>
      </c>
      <c r="H21" s="10">
        <f>SUM(AF21:AI21)</f>
        <v>156457826</v>
      </c>
      <c r="I21" s="10">
        <f>'Diễn biến'!AJ14*1000</f>
        <v>172760000</v>
      </c>
      <c r="J21" s="21"/>
      <c r="K21" s="16" t="s">
        <v>0</v>
      </c>
      <c r="L21" s="10">
        <v>29353213.419516001</v>
      </c>
      <c r="M21" s="10">
        <v>26285559.012763001</v>
      </c>
      <c r="N21" s="10">
        <v>25713553.885574002</v>
      </c>
      <c r="O21" s="10">
        <v>27193693.347559001</v>
      </c>
      <c r="P21" s="10">
        <v>30828143.814872999</v>
      </c>
      <c r="Q21" s="10">
        <v>31658418.853105001</v>
      </c>
      <c r="R21" s="10">
        <v>24333213.525692999</v>
      </c>
      <c r="S21" s="10">
        <v>36138329.909502998</v>
      </c>
      <c r="T21" s="10">
        <v>36466676.618649997</v>
      </c>
      <c r="U21" s="10">
        <v>34337739.971772999</v>
      </c>
      <c r="V21" s="10">
        <v>32011979.847626999</v>
      </c>
      <c r="W21" s="10">
        <v>30588381.152474001</v>
      </c>
      <c r="X21" s="10">
        <v>27105812.022449002</v>
      </c>
      <c r="Y21" s="10">
        <v>29464830.443891</v>
      </c>
      <c r="Z21" s="10">
        <v>30287657.286952998</v>
      </c>
      <c r="AA21" s="10">
        <v>31421488.702149</v>
      </c>
      <c r="AB21" s="10">
        <v>31486491.849567</v>
      </c>
      <c r="AC21" s="10">
        <v>34134071.533951998</v>
      </c>
      <c r="AD21" s="10">
        <v>34146669</v>
      </c>
      <c r="AE21" s="10">
        <v>34573921</v>
      </c>
      <c r="AF21" s="10">
        <v>36134958</v>
      </c>
      <c r="AG21" s="10">
        <v>37619969</v>
      </c>
      <c r="AH21" s="10">
        <v>39852507</v>
      </c>
      <c r="AI21" s="1">
        <v>42850392</v>
      </c>
      <c r="AJ21" s="40"/>
    </row>
    <row r="22" spans="1:36" x14ac:dyDescent="0.2">
      <c r="A22" s="9" t="s">
        <v>50</v>
      </c>
      <c r="B22" s="10">
        <v>82686445</v>
      </c>
      <c r="C22" s="10">
        <v>84591522</v>
      </c>
      <c r="D22" s="10">
        <v>95325974</v>
      </c>
      <c r="E22" s="10">
        <v>102542735</v>
      </c>
      <c r="F22" s="10">
        <v>95759175</v>
      </c>
      <c r="G22" s="10">
        <f t="shared" ref="G22:G30" si="15">SUM(AB22:AE22)</f>
        <v>106841943.27091999</v>
      </c>
      <c r="H22" s="10">
        <f t="shared" ref="H22:H30" si="16">SUM(AF22:AI22)</f>
        <v>126164283</v>
      </c>
      <c r="I22" s="10"/>
      <c r="K22" s="16" t="s">
        <v>50</v>
      </c>
      <c r="L22" s="10">
        <v>23193243.003252</v>
      </c>
      <c r="M22" s="10">
        <v>20515417.227876998</v>
      </c>
      <c r="N22" s="10">
        <v>19963833.875799999</v>
      </c>
      <c r="O22" s="10">
        <v>20919028.28602</v>
      </c>
      <c r="P22" s="10">
        <v>23803198.263370998</v>
      </c>
      <c r="Q22" s="10">
        <v>24514835.467434</v>
      </c>
      <c r="R22" s="10">
        <v>18244500.199926998</v>
      </c>
      <c r="S22" s="10">
        <v>28763440.176908001</v>
      </c>
      <c r="T22" s="10">
        <v>28342412.527151</v>
      </c>
      <c r="U22" s="10">
        <v>27001321.732512999</v>
      </c>
      <c r="V22" s="10">
        <v>24619955.468038</v>
      </c>
      <c r="W22" s="10">
        <v>22658872.494961001</v>
      </c>
      <c r="X22" s="10">
        <v>21891312.170662001</v>
      </c>
      <c r="Y22" s="10">
        <v>24023662.436241999</v>
      </c>
      <c r="Z22" s="10">
        <v>25644729.636739999</v>
      </c>
      <c r="AA22" s="10">
        <v>25235028.171606999</v>
      </c>
      <c r="AB22" s="10">
        <v>24773875.738667998</v>
      </c>
      <c r="AC22" s="10">
        <v>26826357.532251999</v>
      </c>
      <c r="AD22" s="10">
        <v>27254758</v>
      </c>
      <c r="AE22" s="10">
        <v>27986952</v>
      </c>
      <c r="AF22" s="10">
        <v>28934548</v>
      </c>
      <c r="AG22" s="10">
        <v>30051268</v>
      </c>
      <c r="AH22" s="10">
        <v>32374320</v>
      </c>
      <c r="AI22" s="1">
        <v>34804147</v>
      </c>
    </row>
    <row r="23" spans="1:36" x14ac:dyDescent="0.2">
      <c r="A23" s="9" t="s">
        <v>9</v>
      </c>
      <c r="B23" s="10">
        <v>19487799</v>
      </c>
      <c r="C23" s="10">
        <v>23954497</v>
      </c>
      <c r="D23" s="10">
        <v>27632132</v>
      </c>
      <c r="E23" s="10">
        <v>30862042</v>
      </c>
      <c r="F23" s="10">
        <v>22520613</v>
      </c>
      <c r="G23" s="10">
        <f t="shared" si="15"/>
        <v>27499210.112599</v>
      </c>
      <c r="H23" s="10">
        <f t="shared" si="16"/>
        <v>30293542</v>
      </c>
      <c r="I23" s="10">
        <f>I21*I44</f>
        <v>35415800</v>
      </c>
      <c r="K23" s="16" t="s">
        <v>9</v>
      </c>
      <c r="L23" s="10">
        <v>6159970.4162640003</v>
      </c>
      <c r="M23" s="10">
        <v>5770141.7848859997</v>
      </c>
      <c r="N23" s="10">
        <v>5749720.0097740004</v>
      </c>
      <c r="O23" s="10">
        <v>6274665.0615389999</v>
      </c>
      <c r="P23" s="10">
        <v>7024945.5515019996</v>
      </c>
      <c r="Q23" s="10">
        <v>7143583.385671</v>
      </c>
      <c r="R23" s="10">
        <v>6088713.325766</v>
      </c>
      <c r="S23" s="10">
        <v>7374889.7325950004</v>
      </c>
      <c r="T23" s="10">
        <v>8124264.0914989999</v>
      </c>
      <c r="U23" s="10">
        <v>7336418.2392600002</v>
      </c>
      <c r="V23" s="10">
        <v>7392024.3795889998</v>
      </c>
      <c r="W23" s="10">
        <v>7929508.6575130001</v>
      </c>
      <c r="X23" s="10">
        <v>5214499.851787</v>
      </c>
      <c r="Y23" s="10">
        <v>5441168.0076489998</v>
      </c>
      <c r="Z23" s="10">
        <v>4642927.6502130004</v>
      </c>
      <c r="AA23" s="10">
        <v>6186460.5305420002</v>
      </c>
      <c r="AB23" s="10">
        <v>6712616.1108990004</v>
      </c>
      <c r="AC23" s="10">
        <v>7307714.0016999999</v>
      </c>
      <c r="AD23" s="10">
        <v>6891911</v>
      </c>
      <c r="AE23" s="10">
        <v>6586969</v>
      </c>
      <c r="AF23" s="10">
        <v>7200411</v>
      </c>
      <c r="AG23" s="10">
        <v>7568701</v>
      </c>
      <c r="AH23" s="10">
        <v>7478186</v>
      </c>
      <c r="AI23" s="1">
        <v>8046244</v>
      </c>
    </row>
    <row r="24" spans="1:36" ht="15" x14ac:dyDescent="0.2">
      <c r="A24" s="9" t="s">
        <v>44</v>
      </c>
      <c r="B24" s="10">
        <v>631178</v>
      </c>
      <c r="C24" s="10">
        <v>794122</v>
      </c>
      <c r="D24" s="10">
        <v>1287956</v>
      </c>
      <c r="E24" s="10">
        <v>1313137</v>
      </c>
      <c r="F24" s="10">
        <v>2166964</v>
      </c>
      <c r="G24" s="10">
        <f t="shared" si="15"/>
        <v>2376503.2343270001</v>
      </c>
      <c r="H24" s="10">
        <f t="shared" si="16"/>
        <v>3107438</v>
      </c>
      <c r="I24" s="42">
        <f>(H5+H8)*5%</f>
        <v>1850529.25</v>
      </c>
      <c r="K24" s="16" t="s">
        <v>44</v>
      </c>
      <c r="L24" s="10">
        <v>124886.150525</v>
      </c>
      <c r="M24" s="10">
        <v>169372.87777399999</v>
      </c>
      <c r="N24" s="10">
        <v>256718.662733</v>
      </c>
      <c r="O24" s="10">
        <v>243144.09163499999</v>
      </c>
      <c r="P24" s="10">
        <v>288290.50567699998</v>
      </c>
      <c r="Q24" s="10">
        <v>304726.39665100002</v>
      </c>
      <c r="R24" s="10">
        <v>288605.71992900001</v>
      </c>
      <c r="S24" s="10">
        <v>384466.254503</v>
      </c>
      <c r="T24" s="10">
        <v>354859.20562999998</v>
      </c>
      <c r="U24" s="10">
        <v>297757.55306599999</v>
      </c>
      <c r="V24" s="10">
        <v>348740.404454</v>
      </c>
      <c r="W24" s="10">
        <v>311780.14117299998</v>
      </c>
      <c r="X24" s="10">
        <v>359084.89394899999</v>
      </c>
      <c r="Y24" s="10">
        <v>585368.71865399997</v>
      </c>
      <c r="Z24" s="10">
        <v>619115.61073499999</v>
      </c>
      <c r="AA24" s="10">
        <v>603394.49175299995</v>
      </c>
      <c r="AB24" s="10">
        <v>585309.44937599998</v>
      </c>
      <c r="AC24" s="10">
        <v>580108.78495100001</v>
      </c>
      <c r="AD24" s="10">
        <v>575389</v>
      </c>
      <c r="AE24" s="10">
        <v>635696</v>
      </c>
      <c r="AF24" s="10">
        <v>693294</v>
      </c>
      <c r="AG24" s="10">
        <v>768832</v>
      </c>
      <c r="AH24" s="10">
        <v>809068</v>
      </c>
      <c r="AI24" s="1">
        <v>836244</v>
      </c>
    </row>
    <row r="25" spans="1:36" x14ac:dyDescent="0.2">
      <c r="A25" s="9" t="s">
        <v>51</v>
      </c>
      <c r="B25" s="10">
        <v>569755</v>
      </c>
      <c r="C25" s="10">
        <v>594152</v>
      </c>
      <c r="D25" s="10">
        <v>714707</v>
      </c>
      <c r="E25" s="10">
        <v>1382620</v>
      </c>
      <c r="F25" s="10">
        <v>1556146</v>
      </c>
      <c r="G25" s="10">
        <f t="shared" si="15"/>
        <v>1188466.020083</v>
      </c>
      <c r="H25" s="10">
        <f t="shared" si="16"/>
        <v>1542517</v>
      </c>
      <c r="I25" s="10"/>
      <c r="K25" s="16" t="s">
        <v>51</v>
      </c>
      <c r="L25" s="10">
        <v>178248.20766499999</v>
      </c>
      <c r="M25" s="10">
        <v>137081.235663</v>
      </c>
      <c r="N25" s="10">
        <v>132146.26749200001</v>
      </c>
      <c r="O25" s="10">
        <v>146675.80293100001</v>
      </c>
      <c r="P25" s="10">
        <v>152802.39519099999</v>
      </c>
      <c r="Q25" s="10">
        <v>170842.21576799999</v>
      </c>
      <c r="R25" s="10">
        <v>164678.84072800001</v>
      </c>
      <c r="S25" s="10">
        <v>225421.690718</v>
      </c>
      <c r="T25" s="10">
        <v>206279.12812499999</v>
      </c>
      <c r="U25" s="10">
        <v>360157.34654</v>
      </c>
      <c r="V25" s="10">
        <v>434637.15038200002</v>
      </c>
      <c r="W25" s="10">
        <v>381546.82948499999</v>
      </c>
      <c r="X25" s="10">
        <v>295779.22794499999</v>
      </c>
      <c r="Y25" s="10">
        <v>396875.09483900003</v>
      </c>
      <c r="Z25" s="10">
        <v>444911.05877</v>
      </c>
      <c r="AA25" s="10">
        <v>418580.72542799998</v>
      </c>
      <c r="AB25" s="10">
        <v>375235.765525</v>
      </c>
      <c r="AC25" s="10">
        <v>293717.25455800002</v>
      </c>
      <c r="AD25" s="10">
        <v>330441</v>
      </c>
      <c r="AE25" s="10">
        <v>189072</v>
      </c>
      <c r="AF25" s="10">
        <v>339023</v>
      </c>
      <c r="AG25" s="10">
        <v>402454</v>
      </c>
      <c r="AH25" s="10">
        <v>410743</v>
      </c>
      <c r="AI25" s="1">
        <v>390297</v>
      </c>
    </row>
    <row r="26" spans="1:36" x14ac:dyDescent="0.2">
      <c r="A26" s="9" t="s">
        <v>52</v>
      </c>
      <c r="B26" s="10">
        <v>568137</v>
      </c>
      <c r="C26" s="10">
        <v>594004</v>
      </c>
      <c r="D26" s="10">
        <v>674428</v>
      </c>
      <c r="E26" s="10">
        <v>1362144</v>
      </c>
      <c r="F26" s="10">
        <v>1447718</v>
      </c>
      <c r="G26" s="10">
        <f t="shared" si="15"/>
        <v>1137235.580999</v>
      </c>
      <c r="H26" s="10">
        <f t="shared" si="16"/>
        <v>1470674</v>
      </c>
      <c r="I26" s="10"/>
      <c r="K26" s="16" t="s">
        <v>52</v>
      </c>
      <c r="L26" s="10">
        <v>178228.12038899999</v>
      </c>
      <c r="M26" s="10">
        <v>136986.55072200001</v>
      </c>
      <c r="N26" s="10">
        <v>132177.340658</v>
      </c>
      <c r="O26" s="10">
        <v>146611.80925200001</v>
      </c>
      <c r="P26" s="10">
        <v>152706.974017</v>
      </c>
      <c r="Q26" s="10">
        <v>169881.58907700001</v>
      </c>
      <c r="R26" s="10">
        <v>163932.69429399999</v>
      </c>
      <c r="S26" s="10">
        <v>187425.44713099999</v>
      </c>
      <c r="T26" s="10">
        <v>200473.73672399999</v>
      </c>
      <c r="U26" s="10">
        <v>365962.73794100003</v>
      </c>
      <c r="V26" s="10">
        <v>434637.15038200002</v>
      </c>
      <c r="W26" s="10">
        <v>361070.284056</v>
      </c>
      <c r="X26" s="10">
        <v>295778.72670599999</v>
      </c>
      <c r="Y26" s="10">
        <v>384520.976326</v>
      </c>
      <c r="Z26" s="10">
        <v>438383.487662</v>
      </c>
      <c r="AA26" s="10">
        <v>329035.16410300002</v>
      </c>
      <c r="AB26" s="10">
        <v>266979.946895</v>
      </c>
      <c r="AC26" s="10">
        <v>243089.634104</v>
      </c>
      <c r="AD26" s="10">
        <v>303696</v>
      </c>
      <c r="AE26" s="10">
        <v>323470</v>
      </c>
      <c r="AF26" s="10">
        <v>322793</v>
      </c>
      <c r="AG26" s="10">
        <v>375178</v>
      </c>
      <c r="AH26" s="10">
        <v>388038</v>
      </c>
      <c r="AI26" s="1">
        <v>384665</v>
      </c>
    </row>
    <row r="27" spans="1:36" x14ac:dyDescent="0.2">
      <c r="A27" s="9" t="s">
        <v>53</v>
      </c>
      <c r="B27" s="10">
        <v>12437283</v>
      </c>
      <c r="C27" s="10">
        <v>15333799</v>
      </c>
      <c r="D27" s="10">
        <v>17914173</v>
      </c>
      <c r="E27" s="10">
        <v>22336838</v>
      </c>
      <c r="F27" s="10">
        <v>20916711</v>
      </c>
      <c r="G27" s="10">
        <f t="shared" si="15"/>
        <v>19849837.339318998</v>
      </c>
      <c r="H27" s="10">
        <f t="shared" si="16"/>
        <v>18619233</v>
      </c>
      <c r="I27" s="10">
        <f>I46*I21</f>
        <v>20731200</v>
      </c>
      <c r="K27" s="16" t="s">
        <v>53</v>
      </c>
      <c r="L27" s="10">
        <v>3782774.6033020001</v>
      </c>
      <c r="M27" s="10">
        <v>3538368.4356959998</v>
      </c>
      <c r="N27" s="10">
        <v>3753486.734557</v>
      </c>
      <c r="O27" s="10">
        <v>4259169.0572319999</v>
      </c>
      <c r="P27" s="10">
        <v>4245130.6373030003</v>
      </c>
      <c r="Q27" s="10">
        <v>4444441.4170350004</v>
      </c>
      <c r="R27" s="10">
        <v>4270432.0068929996</v>
      </c>
      <c r="S27" s="10">
        <v>4853008.3631140003</v>
      </c>
      <c r="T27" s="10">
        <v>5036030.591147</v>
      </c>
      <c r="U27" s="10">
        <v>5070491.0806849999</v>
      </c>
      <c r="V27" s="10">
        <v>5342606.2528609997</v>
      </c>
      <c r="W27" s="10">
        <v>6603486.4497109996</v>
      </c>
      <c r="X27" s="10">
        <v>4784685.9112130003</v>
      </c>
      <c r="Y27" s="10">
        <v>5211133.5005329996</v>
      </c>
      <c r="Z27" s="10">
        <v>4278767.1498980001</v>
      </c>
      <c r="AA27" s="10">
        <v>5607079.5677659996</v>
      </c>
      <c r="AB27" s="10">
        <v>4821343.2555069998</v>
      </c>
      <c r="AC27" s="10">
        <v>5056436.0838120002</v>
      </c>
      <c r="AD27" s="10">
        <v>4848950</v>
      </c>
      <c r="AE27" s="10">
        <v>5123108</v>
      </c>
      <c r="AF27" s="10">
        <v>4403006</v>
      </c>
      <c r="AG27" s="10">
        <v>4703283</v>
      </c>
      <c r="AH27" s="10">
        <v>4570833</v>
      </c>
      <c r="AI27" s="1">
        <v>4942111</v>
      </c>
    </row>
    <row r="28" spans="1:36" x14ac:dyDescent="0.2">
      <c r="A28" s="9" t="s">
        <v>54</v>
      </c>
      <c r="B28" s="10">
        <v>2073783</v>
      </c>
      <c r="C28" s="10">
        <v>3404432</v>
      </c>
      <c r="D28" s="10">
        <v>3823390</v>
      </c>
      <c r="E28" s="10">
        <v>1881028</v>
      </c>
      <c r="F28" s="10">
        <v>1167652</v>
      </c>
      <c r="G28" s="10">
        <f t="shared" si="15"/>
        <v>3565768.0042679999</v>
      </c>
      <c r="H28" s="10">
        <f t="shared" si="16"/>
        <v>4596074</v>
      </c>
      <c r="I28" s="10">
        <f>I47*I21</f>
        <v>4837280</v>
      </c>
      <c r="K28" s="16" t="s">
        <v>54</v>
      </c>
      <c r="L28" s="10">
        <v>779757.88744199998</v>
      </c>
      <c r="M28" s="10">
        <v>1000645.132631</v>
      </c>
      <c r="N28" s="10">
        <v>840336.742769</v>
      </c>
      <c r="O28" s="10">
        <v>783692.07532499998</v>
      </c>
      <c r="P28" s="10">
        <v>1088365.871334</v>
      </c>
      <c r="Q28" s="10">
        <v>1201412.3936389999</v>
      </c>
      <c r="R28" s="10">
        <v>975182.68038999999</v>
      </c>
      <c r="S28" s="10">
        <v>665959.677027</v>
      </c>
      <c r="T28" s="10">
        <v>1239442.359834</v>
      </c>
      <c r="U28" s="10">
        <v>500331.31484100001</v>
      </c>
      <c r="V28" s="10">
        <v>316220.81307099998</v>
      </c>
      <c r="W28" s="10">
        <v>292045.05554099998</v>
      </c>
      <c r="X28" s="10">
        <v>324692.29141800001</v>
      </c>
      <c r="Y28" s="10">
        <v>229156.80510900001</v>
      </c>
      <c r="Z28" s="10">
        <v>341530.61516500002</v>
      </c>
      <c r="AA28" s="10">
        <v>300975.91257300001</v>
      </c>
      <c r="AB28" s="10">
        <v>868456.23810099997</v>
      </c>
      <c r="AC28" s="10">
        <v>813335.76616700005</v>
      </c>
      <c r="AD28" s="10">
        <v>967619</v>
      </c>
      <c r="AE28" s="10">
        <v>916357</v>
      </c>
      <c r="AF28" s="10">
        <v>1214600</v>
      </c>
      <c r="AG28" s="10">
        <v>1201666</v>
      </c>
      <c r="AH28" s="10">
        <v>1119414</v>
      </c>
      <c r="AI28" s="1">
        <v>1060394</v>
      </c>
    </row>
    <row r="29" spans="1:36" x14ac:dyDescent="0.2">
      <c r="A29" s="9" t="s">
        <v>55</v>
      </c>
      <c r="B29" s="10">
        <v>5053447</v>
      </c>
      <c r="C29" s="10">
        <v>5409735</v>
      </c>
      <c r="D29" s="10">
        <v>6471584</v>
      </c>
      <c r="E29" s="10">
        <v>6056355</v>
      </c>
      <c r="F29" s="10">
        <v>689692</v>
      </c>
      <c r="G29" s="10">
        <f t="shared" si="15"/>
        <v>4825762.3584730001</v>
      </c>
      <c r="H29" s="10">
        <f t="shared" si="16"/>
        <v>8636401</v>
      </c>
      <c r="I29" s="10">
        <f>I23+I24-I25-I27-I28</f>
        <v>11697849.25</v>
      </c>
      <c r="K29" s="16" t="s">
        <v>55</v>
      </c>
      <c r="L29" s="10">
        <v>1544061.345702</v>
      </c>
      <c r="M29" s="10">
        <v>1253662.3619589999</v>
      </c>
      <c r="N29" s="10">
        <v>1278279.9294680001</v>
      </c>
      <c r="O29" s="10">
        <v>1333731.7702240001</v>
      </c>
      <c r="P29" s="10">
        <v>1827568.934141</v>
      </c>
      <c r="Q29" s="10">
        <v>1625970.5259680001</v>
      </c>
      <c r="R29" s="10">
        <v>968131.16075299995</v>
      </c>
      <c r="S29" s="10">
        <v>2049913.129681</v>
      </c>
      <c r="T29" s="10">
        <v>2002993.6294750001</v>
      </c>
      <c r="U29" s="10">
        <v>1702143.324153</v>
      </c>
      <c r="V29" s="10">
        <v>1417840.1458089999</v>
      </c>
      <c r="W29" s="10">
        <v>933378.27412099997</v>
      </c>
      <c r="X29" s="10">
        <v>158966.581661</v>
      </c>
      <c r="Y29" s="10">
        <v>129784.475802</v>
      </c>
      <c r="Z29" s="10">
        <v>182016.08712099999</v>
      </c>
      <c r="AA29" s="10">
        <v>218925.22331199999</v>
      </c>
      <c r="AB29" s="10">
        <v>1206203.2651810001</v>
      </c>
      <c r="AC29" s="10">
        <v>1516043.093292</v>
      </c>
      <c r="AD29" s="10">
        <v>1068045</v>
      </c>
      <c r="AE29" s="10">
        <v>1035471</v>
      </c>
      <c r="AF29" s="10">
        <v>1934661</v>
      </c>
      <c r="AG29" s="10">
        <v>2028205</v>
      </c>
      <c r="AH29" s="10">
        <v>2172351</v>
      </c>
      <c r="AI29" s="1">
        <v>2501184</v>
      </c>
    </row>
    <row r="30" spans="1:36" x14ac:dyDescent="0.2">
      <c r="A30" s="9" t="s">
        <v>1</v>
      </c>
      <c r="B30" s="10">
        <v>3834270</v>
      </c>
      <c r="C30" s="10">
        <v>3917768</v>
      </c>
      <c r="D30" s="10">
        <v>4898869</v>
      </c>
      <c r="E30" s="10">
        <v>4099763</v>
      </c>
      <c r="F30" s="10">
        <v>167669</v>
      </c>
      <c r="G30" s="10">
        <f t="shared" si="15"/>
        <v>3732645.0800220002</v>
      </c>
      <c r="H30" s="10">
        <f t="shared" si="16"/>
        <v>7047907</v>
      </c>
      <c r="I30" s="10">
        <f>I29*0.8</f>
        <v>9358279.4000000004</v>
      </c>
      <c r="K30" s="16" t="s">
        <v>1</v>
      </c>
      <c r="L30" s="10">
        <v>1131519.01483</v>
      </c>
      <c r="M30" s="10">
        <v>893911.68554900005</v>
      </c>
      <c r="N30" s="10">
        <v>950539.85740700003</v>
      </c>
      <c r="O30" s="10">
        <v>941797.22537300002</v>
      </c>
      <c r="P30" s="10">
        <v>1337968.6078329999</v>
      </c>
      <c r="Q30" s="10">
        <v>1213029.6852849999</v>
      </c>
      <c r="R30" s="10">
        <v>785385.40130599996</v>
      </c>
      <c r="S30" s="10">
        <v>1562485.5837960001</v>
      </c>
      <c r="T30" s="10">
        <v>1444465.2834010001</v>
      </c>
      <c r="U30" s="10">
        <v>1130010.994744</v>
      </c>
      <c r="V30" s="10">
        <v>906245.99569100002</v>
      </c>
      <c r="W30" s="10">
        <v>619040.75346899999</v>
      </c>
      <c r="X30" s="10">
        <v>21281.314441999999</v>
      </c>
      <c r="Y30" s="10">
        <v>17413.949382999999</v>
      </c>
      <c r="Z30" s="10">
        <v>38739.225904999999</v>
      </c>
      <c r="AA30" s="10">
        <v>90257.557591000004</v>
      </c>
      <c r="AB30" s="10">
        <v>902437.16755500005</v>
      </c>
      <c r="AC30" s="10">
        <v>1172276.9124670001</v>
      </c>
      <c r="AD30" s="10">
        <v>805787</v>
      </c>
      <c r="AE30" s="10">
        <v>852144</v>
      </c>
      <c r="AF30" s="10">
        <v>1547834</v>
      </c>
      <c r="AG30" s="10">
        <v>1657529</v>
      </c>
      <c r="AH30" s="10">
        <v>1770898</v>
      </c>
      <c r="AI30" s="1">
        <v>2071646</v>
      </c>
    </row>
    <row r="31" spans="1:36" x14ac:dyDescent="0.2">
      <c r="A31" s="44"/>
      <c r="B31" s="45"/>
      <c r="C31" s="45"/>
      <c r="D31" s="45"/>
      <c r="E31" s="45"/>
      <c r="F31" s="45"/>
      <c r="G31" s="46"/>
      <c r="H31" s="45"/>
      <c r="I31" s="45"/>
      <c r="K31" s="44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1"/>
    </row>
    <row r="32" spans="1:36" x14ac:dyDescent="0.2">
      <c r="A32" s="47" t="s">
        <v>115</v>
      </c>
      <c r="B32" s="45">
        <f>B24-B25</f>
        <v>61423</v>
      </c>
      <c r="C32" s="45">
        <f t="shared" ref="C32:I32" si="17">C24-C25</f>
        <v>199970</v>
      </c>
      <c r="D32" s="45">
        <f t="shared" si="17"/>
        <v>573249</v>
      </c>
      <c r="E32" s="45">
        <f t="shared" si="17"/>
        <v>-69483</v>
      </c>
      <c r="F32" s="45">
        <f t="shared" si="17"/>
        <v>610818</v>
      </c>
      <c r="G32" s="45">
        <f t="shared" si="17"/>
        <v>1188037.2142440001</v>
      </c>
      <c r="H32" s="45">
        <f t="shared" si="17"/>
        <v>1564921</v>
      </c>
      <c r="I32" s="45"/>
      <c r="K32" s="44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1"/>
    </row>
    <row r="33" spans="1:35" x14ac:dyDescent="0.2">
      <c r="A33" s="47" t="s">
        <v>116</v>
      </c>
      <c r="B33" s="49">
        <f>B32/(B5+B8)</f>
        <v>1.9580172138986291E-2</v>
      </c>
      <c r="C33" s="49">
        <f t="shared" ref="C33:I33" si="18">C32/(C5+C8)</f>
        <v>2.4818429058102328E-2</v>
      </c>
      <c r="D33" s="49">
        <f t="shared" si="18"/>
        <v>4.0265790504014083E-2</v>
      </c>
      <c r="E33" s="49">
        <f t="shared" si="18"/>
        <v>-6.9005139409588599E-3</v>
      </c>
      <c r="F33" s="49">
        <f t="shared" si="18"/>
        <v>3.2255253839466085E-2</v>
      </c>
      <c r="G33" s="49">
        <f t="shared" si="18"/>
        <v>4.0513548876531059E-2</v>
      </c>
      <c r="H33" s="49">
        <f t="shared" si="18"/>
        <v>4.2283065776993256E-2</v>
      </c>
      <c r="I33" s="48"/>
      <c r="K33" s="44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1"/>
    </row>
    <row r="34" spans="1:35" x14ac:dyDescent="0.2">
      <c r="A34" s="47" t="s">
        <v>117</v>
      </c>
      <c r="B34" s="48">
        <f>B32/(B23+B24-B25)</f>
        <v>3.1419664680261954E-3</v>
      </c>
      <c r="C34" s="48">
        <f t="shared" ref="C34:H34" si="19">C32/(C23+C24-C25)</f>
        <v>8.2787999420562662E-3</v>
      </c>
      <c r="D34" s="48">
        <f t="shared" si="19"/>
        <v>2.0324100567902275E-2</v>
      </c>
      <c r="E34" s="48">
        <f t="shared" si="19"/>
        <v>-2.2564867051159988E-3</v>
      </c>
      <c r="F34" s="48">
        <f t="shared" si="19"/>
        <v>2.6406407800710643E-2</v>
      </c>
      <c r="G34" s="48">
        <f t="shared" si="19"/>
        <v>4.1413426694736917E-2</v>
      </c>
      <c r="H34" s="48">
        <f t="shared" si="19"/>
        <v>4.9121045167809886E-2</v>
      </c>
      <c r="I34" s="45"/>
      <c r="K34" s="44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1"/>
    </row>
    <row r="35" spans="1:35" x14ac:dyDescent="0.2">
      <c r="G35" s="20"/>
    </row>
    <row r="36" spans="1:35" x14ac:dyDescent="0.2">
      <c r="A36" s="9" t="s">
        <v>58</v>
      </c>
      <c r="B36" s="13">
        <v>978365</v>
      </c>
      <c r="C36" s="13">
        <v>1733535</v>
      </c>
      <c r="D36" s="13">
        <v>966454</v>
      </c>
      <c r="E36" s="13">
        <v>2961477</v>
      </c>
      <c r="F36" s="13">
        <v>1256523</v>
      </c>
      <c r="K36" s="9" t="s">
        <v>58</v>
      </c>
      <c r="L36" s="13"/>
      <c r="M36" s="13"/>
      <c r="N36" s="13"/>
      <c r="O36" s="13"/>
      <c r="P36" s="13"/>
      <c r="Q36" s="13"/>
      <c r="R36" s="13"/>
      <c r="S36" s="13"/>
      <c r="T36" s="13">
        <f>U36/2</f>
        <v>716129.5</v>
      </c>
      <c r="U36" s="13">
        <v>1432259</v>
      </c>
      <c r="V36" s="13">
        <v>2246267</v>
      </c>
      <c r="W36" s="13">
        <v>2744058</v>
      </c>
      <c r="X36" s="13">
        <v>353723</v>
      </c>
      <c r="Y36" s="13">
        <v>658659</v>
      </c>
      <c r="Z36" s="13">
        <v>904910</v>
      </c>
      <c r="AA36" s="13">
        <v>1210999</v>
      </c>
      <c r="AB36" s="13">
        <v>105382</v>
      </c>
      <c r="AC36" s="13">
        <v>98402</v>
      </c>
      <c r="AD36" s="13">
        <v>8433</v>
      </c>
      <c r="AE36" s="13">
        <v>-102738</v>
      </c>
      <c r="AF36" s="13">
        <v>1733535</v>
      </c>
      <c r="AG36" s="13">
        <v>1535418</v>
      </c>
      <c r="AH36" s="24"/>
    </row>
    <row r="37" spans="1:35" x14ac:dyDescent="0.2">
      <c r="A37" s="9" t="s">
        <v>59</v>
      </c>
      <c r="B37" s="13">
        <v>5947</v>
      </c>
      <c r="C37" s="13">
        <v>6437</v>
      </c>
      <c r="D37" s="13"/>
      <c r="E37" s="13">
        <v>306214</v>
      </c>
      <c r="F37" s="13">
        <v>342942</v>
      </c>
      <c r="H37" s="5"/>
      <c r="K37" s="9" t="s">
        <v>59</v>
      </c>
      <c r="L37" s="13"/>
      <c r="M37" s="13"/>
      <c r="N37" s="13"/>
      <c r="O37" s="13"/>
      <c r="P37" s="13"/>
      <c r="Q37" s="13"/>
      <c r="R37" s="13"/>
      <c r="S37" s="13"/>
      <c r="T37" s="13">
        <f>W37/4</f>
        <v>76553.5</v>
      </c>
      <c r="U37" s="13">
        <f>W37/4*2</f>
        <v>153107</v>
      </c>
      <c r="V37" s="13">
        <f>W37/4*3</f>
        <v>229660.5</v>
      </c>
      <c r="W37" s="13">
        <v>306214</v>
      </c>
      <c r="X37" s="13">
        <v>74283</v>
      </c>
      <c r="Y37" s="13">
        <v>150561</v>
      </c>
      <c r="Z37" s="13">
        <v>234417</v>
      </c>
      <c r="AA37" s="13">
        <v>342942</v>
      </c>
      <c r="AB37" s="13">
        <v>69758</v>
      </c>
      <c r="AC37" s="13">
        <v>172128</v>
      </c>
      <c r="AD37" s="13">
        <v>320612</v>
      </c>
      <c r="AE37" s="13">
        <v>346722</v>
      </c>
      <c r="AF37" s="13">
        <f>1033530-1002316</f>
        <v>31214</v>
      </c>
      <c r="AG37" s="13">
        <v>57288</v>
      </c>
      <c r="AH37" s="13">
        <v>85157</v>
      </c>
      <c r="AI37" s="43">
        <v>112959</v>
      </c>
    </row>
    <row r="38" spans="1:35" ht="15" x14ac:dyDescent="0.25">
      <c r="A38" s="14" t="s">
        <v>60</v>
      </c>
      <c r="B38" s="15">
        <f>SUM(B36:B37)</f>
        <v>984312</v>
      </c>
      <c r="C38" s="15">
        <f>SUM(C36:C37)</f>
        <v>1739972</v>
      </c>
      <c r="D38" s="15">
        <f>SUM(D36:D37)</f>
        <v>966454</v>
      </c>
      <c r="E38" s="15">
        <f>SUM(E36:E37)</f>
        <v>3267691</v>
      </c>
      <c r="F38" s="15">
        <f>SUM(F36:F37)</f>
        <v>1599465</v>
      </c>
      <c r="K38" s="14" t="s">
        <v>63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1:35" x14ac:dyDescent="0.2">
      <c r="H39" s="18"/>
    </row>
    <row r="40" spans="1:35" x14ac:dyDescent="0.2">
      <c r="B40" s="5">
        <f>B30+B38</f>
        <v>4818582</v>
      </c>
      <c r="C40" s="5">
        <f>C30+C38</f>
        <v>5657740</v>
      </c>
      <c r="D40" s="5">
        <f>D30+D38</f>
        <v>5865323</v>
      </c>
      <c r="E40" s="5">
        <f>E30+E38</f>
        <v>7367454</v>
      </c>
      <c r="F40" s="5">
        <f>F30+F38</f>
        <v>1767134</v>
      </c>
    </row>
    <row r="41" spans="1:35" x14ac:dyDescent="0.2">
      <c r="A41" s="37" t="s">
        <v>93</v>
      </c>
      <c r="B41" s="38">
        <f>B30/B11</f>
        <v>0.31574430366237599</v>
      </c>
      <c r="C41" s="38">
        <f t="shared" ref="C41:H41" si="20">C30/(B11+C11)*2</f>
        <v>0.28363641681558222</v>
      </c>
      <c r="D41" s="38">
        <f t="shared" si="20"/>
        <v>0.27322240619726706</v>
      </c>
      <c r="E41" s="38">
        <f t="shared" si="20"/>
        <v>0.18504565069287354</v>
      </c>
      <c r="F41" s="38">
        <f t="shared" si="20"/>
        <v>7.0907766068526402E-3</v>
      </c>
      <c r="G41" s="38">
        <f t="shared" si="20"/>
        <v>0.14501021209136536</v>
      </c>
      <c r="H41" s="38">
        <f t="shared" si="20"/>
        <v>0.22994580916846299</v>
      </c>
      <c r="I41" s="38">
        <f>I30/H11</f>
        <v>0.28205416586357374</v>
      </c>
      <c r="K41" s="9" t="s">
        <v>58</v>
      </c>
      <c r="T41" s="5">
        <f>T36</f>
        <v>716129.5</v>
      </c>
      <c r="U41" s="5">
        <f t="shared" ref="U41:W42" si="21">U36-T36</f>
        <v>716129.5</v>
      </c>
      <c r="V41" s="5">
        <f t="shared" si="21"/>
        <v>814008</v>
      </c>
      <c r="W41" s="5">
        <f t="shared" si="21"/>
        <v>497791</v>
      </c>
      <c r="X41" s="5">
        <f>X36</f>
        <v>353723</v>
      </c>
      <c r="Y41" s="5">
        <f t="shared" ref="Y41:AA42" si="22">Y36-X36</f>
        <v>304936</v>
      </c>
      <c r="Z41" s="5">
        <f t="shared" si="22"/>
        <v>246251</v>
      </c>
      <c r="AA41" s="5">
        <f t="shared" si="22"/>
        <v>306089</v>
      </c>
      <c r="AB41" s="5">
        <f>AB36</f>
        <v>105382</v>
      </c>
      <c r="AC41" s="5">
        <f t="shared" ref="AC41:AE42" si="23">AC36-AB36</f>
        <v>-6980</v>
      </c>
      <c r="AD41" s="5">
        <f t="shared" si="23"/>
        <v>-89969</v>
      </c>
      <c r="AE41" s="5">
        <f t="shared" si="23"/>
        <v>-111171</v>
      </c>
      <c r="AF41" s="5">
        <f>1733535-1733535</f>
        <v>0</v>
      </c>
      <c r="AG41" s="5">
        <f>AG36-AF36</f>
        <v>-198117</v>
      </c>
      <c r="AH41" s="41">
        <v>-306793.5</v>
      </c>
      <c r="AI41" s="5">
        <v>-207735</v>
      </c>
    </row>
    <row r="42" spans="1:35" x14ac:dyDescent="0.2">
      <c r="H42" s="1"/>
      <c r="I42" s="1"/>
      <c r="K42" s="9" t="s">
        <v>59</v>
      </c>
      <c r="T42" s="5">
        <f>T37</f>
        <v>76553.5</v>
      </c>
      <c r="U42" s="5">
        <f t="shared" si="21"/>
        <v>76553.5</v>
      </c>
      <c r="V42" s="5">
        <f t="shared" si="21"/>
        <v>76553.5</v>
      </c>
      <c r="W42" s="5">
        <f t="shared" si="21"/>
        <v>76553.5</v>
      </c>
      <c r="X42" s="5">
        <f>X37</f>
        <v>74283</v>
      </c>
      <c r="Y42" s="5">
        <f t="shared" si="22"/>
        <v>76278</v>
      </c>
      <c r="Z42" s="5">
        <f t="shared" si="22"/>
        <v>83856</v>
      </c>
      <c r="AA42" s="5">
        <f t="shared" si="22"/>
        <v>108525</v>
      </c>
      <c r="AB42" s="5">
        <f>AB37</f>
        <v>69758</v>
      </c>
      <c r="AC42" s="5">
        <f t="shared" si="23"/>
        <v>102370</v>
      </c>
      <c r="AD42" s="5">
        <f t="shared" si="23"/>
        <v>148484</v>
      </c>
      <c r="AE42" s="5">
        <f t="shared" si="23"/>
        <v>26110</v>
      </c>
      <c r="AF42" s="5">
        <v>31214</v>
      </c>
      <c r="AG42" s="5">
        <f>AG37-AF37</f>
        <v>26074</v>
      </c>
      <c r="AH42" s="5">
        <f>AH37-AG37</f>
        <v>27869</v>
      </c>
      <c r="AI42" s="5">
        <f>AI37-AH37</f>
        <v>27802</v>
      </c>
    </row>
    <row r="43" spans="1:35" ht="15" x14ac:dyDescent="0.25">
      <c r="K43" s="14" t="s">
        <v>60</v>
      </c>
      <c r="T43" s="6">
        <f t="shared" ref="T43:AI43" si="24">SUM(T41:T42)</f>
        <v>792683</v>
      </c>
      <c r="U43" s="6">
        <f t="shared" si="24"/>
        <v>792683</v>
      </c>
      <c r="V43" s="6">
        <f t="shared" si="24"/>
        <v>890561.5</v>
      </c>
      <c r="W43" s="6">
        <f t="shared" si="24"/>
        <v>574344.5</v>
      </c>
      <c r="X43" s="6">
        <f t="shared" si="24"/>
        <v>428006</v>
      </c>
      <c r="Y43" s="6">
        <f t="shared" si="24"/>
        <v>381214</v>
      </c>
      <c r="Z43" s="6">
        <f t="shared" si="24"/>
        <v>330107</v>
      </c>
      <c r="AA43" s="6">
        <f t="shared" si="24"/>
        <v>414614</v>
      </c>
      <c r="AB43" s="6">
        <f t="shared" si="24"/>
        <v>175140</v>
      </c>
      <c r="AC43" s="6">
        <f t="shared" si="24"/>
        <v>95390</v>
      </c>
      <c r="AD43" s="6">
        <f t="shared" si="24"/>
        <v>58515</v>
      </c>
      <c r="AE43" s="6">
        <f t="shared" si="24"/>
        <v>-85061</v>
      </c>
      <c r="AF43" s="6">
        <f t="shared" si="24"/>
        <v>31214</v>
      </c>
      <c r="AG43" s="6">
        <f t="shared" si="24"/>
        <v>-172043</v>
      </c>
      <c r="AH43" s="6">
        <f t="shared" si="24"/>
        <v>-278924.5</v>
      </c>
      <c r="AI43" s="6">
        <f t="shared" si="24"/>
        <v>-179933</v>
      </c>
    </row>
    <row r="44" spans="1:35" x14ac:dyDescent="0.2">
      <c r="A44" s="9" t="s">
        <v>64</v>
      </c>
      <c r="B44" s="34">
        <f t="shared" ref="B44:G44" si="25">B23/B21</f>
        <v>0.19073103198101471</v>
      </c>
      <c r="C44" s="34">
        <f t="shared" si="25"/>
        <v>0.22068517113755068</v>
      </c>
      <c r="D44" s="34">
        <f t="shared" si="25"/>
        <v>0.22472802240463918</v>
      </c>
      <c r="E44" s="34">
        <f t="shared" si="25"/>
        <v>0.23134135420546931</v>
      </c>
      <c r="F44" s="34">
        <f t="shared" si="25"/>
        <v>0.19040119517292337</v>
      </c>
      <c r="G44" s="34">
        <f t="shared" si="25"/>
        <v>0.20469684396778903</v>
      </c>
      <c r="H44" s="35">
        <v>0.20499999999999999</v>
      </c>
      <c r="I44" s="35">
        <v>0.20499999999999999</v>
      </c>
      <c r="K44" s="9" t="s">
        <v>64</v>
      </c>
      <c r="L44" s="34">
        <f t="shared" ref="L44:AI44" si="26">L23/L21</f>
        <v>0.20985676519383856</v>
      </c>
      <c r="M44" s="34">
        <f t="shared" si="26"/>
        <v>0.21951756027270702</v>
      </c>
      <c r="N44" s="34">
        <f t="shared" si="26"/>
        <v>0.22360658644699241</v>
      </c>
      <c r="O44" s="34">
        <f t="shared" si="26"/>
        <v>0.23073971532087734</v>
      </c>
      <c r="P44" s="34">
        <f t="shared" si="26"/>
        <v>0.22787442519042692</v>
      </c>
      <c r="Q44" s="34">
        <f t="shared" si="26"/>
        <v>0.22564561479893269</v>
      </c>
      <c r="R44" s="34">
        <f t="shared" si="26"/>
        <v>0.25022232757449148</v>
      </c>
      <c r="S44" s="34">
        <f t="shared" si="26"/>
        <v>0.20407389470025528</v>
      </c>
      <c r="T44" s="34">
        <f t="shared" si="26"/>
        <v>0.22278597461617991</v>
      </c>
      <c r="U44" s="34">
        <f t="shared" si="26"/>
        <v>0.21365466234210029</v>
      </c>
      <c r="V44" s="34">
        <f t="shared" si="26"/>
        <v>0.23091431441523164</v>
      </c>
      <c r="W44" s="34">
        <f t="shared" si="26"/>
        <v>0.25923270074302895</v>
      </c>
      <c r="X44" s="34">
        <f t="shared" si="26"/>
        <v>0.19237571069512166</v>
      </c>
      <c r="Y44" s="34">
        <f t="shared" si="26"/>
        <v>0.18466653042550013</v>
      </c>
      <c r="Z44" s="34">
        <f t="shared" si="26"/>
        <v>0.15329438015706259</v>
      </c>
      <c r="AA44" s="34">
        <f t="shared" si="26"/>
        <v>0.19688629616453823</v>
      </c>
      <c r="AB44" s="34">
        <f t="shared" si="26"/>
        <v>0.21319034660863026</v>
      </c>
      <c r="AC44" s="34">
        <f t="shared" si="26"/>
        <v>0.21408855355656198</v>
      </c>
      <c r="AD44" s="34">
        <f t="shared" si="26"/>
        <v>0.20183260042143497</v>
      </c>
      <c r="AE44" s="34">
        <f t="shared" si="26"/>
        <v>0.19051842572324962</v>
      </c>
      <c r="AF44" s="34">
        <f t="shared" si="26"/>
        <v>0.19926440761325917</v>
      </c>
      <c r="AG44" s="34">
        <f t="shared" si="26"/>
        <v>0.2011883901339738</v>
      </c>
      <c r="AH44" s="34">
        <f t="shared" si="26"/>
        <v>0.18764656386610759</v>
      </c>
      <c r="AI44" s="34">
        <f t="shared" si="26"/>
        <v>0.18777527169413058</v>
      </c>
    </row>
    <row r="45" spans="1:35" x14ac:dyDescent="0.2">
      <c r="A45" s="9" t="s">
        <v>65</v>
      </c>
      <c r="B45" s="34">
        <f t="shared" ref="B45:G45" si="27">B30/B21</f>
        <v>3.7526776317522839E-2</v>
      </c>
      <c r="C45" s="34">
        <f t="shared" si="27"/>
        <v>3.6093152010548156E-2</v>
      </c>
      <c r="D45" s="34">
        <f t="shared" si="27"/>
        <v>3.9841773424844393E-2</v>
      </c>
      <c r="E45" s="34">
        <f t="shared" si="27"/>
        <v>3.0731755349872103E-2</v>
      </c>
      <c r="F45" s="34">
        <f t="shared" si="27"/>
        <v>1.4175625678328066E-3</v>
      </c>
      <c r="G45" s="34">
        <f t="shared" si="27"/>
        <v>2.7784822342309307E-2</v>
      </c>
      <c r="H45" s="34"/>
      <c r="I45" s="34"/>
      <c r="K45" s="9" t="s">
        <v>65</v>
      </c>
      <c r="L45" s="34">
        <f t="shared" ref="L45:AI45" si="28">L30/L21</f>
        <v>3.8548386463121947E-2</v>
      </c>
      <c r="M45" s="34">
        <f t="shared" si="28"/>
        <v>3.4007710664055481E-2</v>
      </c>
      <c r="N45" s="34">
        <f t="shared" si="28"/>
        <v>3.6966490965695667E-2</v>
      </c>
      <c r="O45" s="34">
        <f t="shared" si="28"/>
        <v>3.4632928059311917E-2</v>
      </c>
      <c r="P45" s="34">
        <f t="shared" si="28"/>
        <v>4.3400881216451921E-2</v>
      </c>
      <c r="Q45" s="34">
        <f t="shared" si="28"/>
        <v>3.8316180315683332E-2</v>
      </c>
      <c r="R45" s="34">
        <f t="shared" si="28"/>
        <v>3.2276271297941216E-2</v>
      </c>
      <c r="S45" s="34">
        <f t="shared" si="28"/>
        <v>4.3236242175793693E-2</v>
      </c>
      <c r="T45" s="34">
        <f t="shared" si="28"/>
        <v>3.9610554548375358E-2</v>
      </c>
      <c r="U45" s="34">
        <f t="shared" si="28"/>
        <v>3.2908717803586215E-2</v>
      </c>
      <c r="V45" s="34">
        <f t="shared" si="28"/>
        <v>2.8309589097725824E-2</v>
      </c>
      <c r="W45" s="34">
        <f t="shared" si="28"/>
        <v>2.0237774283747335E-2</v>
      </c>
      <c r="X45" s="34">
        <f t="shared" si="28"/>
        <v>7.8511997443112349E-4</v>
      </c>
      <c r="Y45" s="34">
        <f t="shared" si="28"/>
        <v>5.9100796171764384E-4</v>
      </c>
      <c r="Z45" s="34">
        <f t="shared" si="28"/>
        <v>1.2790433257341327E-3</v>
      </c>
      <c r="AA45" s="34">
        <f t="shared" si="28"/>
        <v>2.8724787181973032E-3</v>
      </c>
      <c r="AB45" s="34">
        <f t="shared" si="28"/>
        <v>2.8661089710043716E-2</v>
      </c>
      <c r="AC45" s="34">
        <f t="shared" si="28"/>
        <v>3.4343307428209263E-2</v>
      </c>
      <c r="AD45" s="34">
        <f t="shared" si="28"/>
        <v>2.359782150346788E-2</v>
      </c>
      <c r="AE45" s="34">
        <f t="shared" si="28"/>
        <v>2.4647016460759542E-2</v>
      </c>
      <c r="AF45" s="34">
        <f t="shared" si="28"/>
        <v>4.2834808331588488E-2</v>
      </c>
      <c r="AG45" s="34">
        <f t="shared" si="28"/>
        <v>4.4059818337436697E-2</v>
      </c>
      <c r="AH45" s="34">
        <f t="shared" si="28"/>
        <v>4.4436301083894167E-2</v>
      </c>
      <c r="AI45" s="34">
        <f t="shared" si="28"/>
        <v>4.8346022132072911E-2</v>
      </c>
    </row>
    <row r="46" spans="1:35" x14ac:dyDescent="0.2">
      <c r="A46" s="9" t="s">
        <v>66</v>
      </c>
      <c r="B46" s="34">
        <f t="shared" ref="B46:G46" si="29">B27/B21</f>
        <v>0.12172620528515973</v>
      </c>
      <c r="C46" s="34">
        <f t="shared" si="29"/>
        <v>0.1412654190360918</v>
      </c>
      <c r="D46" s="34">
        <f t="shared" si="29"/>
        <v>0.14569330630385605</v>
      </c>
      <c r="E46" s="34">
        <f t="shared" si="29"/>
        <v>0.16743656662732126</v>
      </c>
      <c r="F46" s="34">
        <f t="shared" si="29"/>
        <v>0.17684095781436471</v>
      </c>
      <c r="G46" s="34">
        <f t="shared" si="29"/>
        <v>0.14775693701729214</v>
      </c>
      <c r="H46" s="35">
        <v>0.13</v>
      </c>
      <c r="I46" s="35">
        <v>0.12</v>
      </c>
      <c r="K46" s="9" t="s">
        <v>66</v>
      </c>
      <c r="L46" s="34">
        <f t="shared" ref="L46:AI46" si="30">L27/L21</f>
        <v>0.12887088542022987</v>
      </c>
      <c r="M46" s="34">
        <f t="shared" si="30"/>
        <v>0.13461263783577662</v>
      </c>
      <c r="N46" s="34">
        <f t="shared" si="30"/>
        <v>0.14597308296084296</v>
      </c>
      <c r="O46" s="34">
        <f t="shared" si="30"/>
        <v>0.15662341274486416</v>
      </c>
      <c r="P46" s="34">
        <f t="shared" si="30"/>
        <v>0.13770308919004531</v>
      </c>
      <c r="Q46" s="34">
        <f t="shared" si="30"/>
        <v>0.14038734649564147</v>
      </c>
      <c r="R46" s="34">
        <f t="shared" si="30"/>
        <v>0.1754980698453136</v>
      </c>
      <c r="S46" s="34">
        <f t="shared" si="30"/>
        <v>0.13428977972326953</v>
      </c>
      <c r="T46" s="34">
        <f t="shared" si="30"/>
        <v>0.13809952148399079</v>
      </c>
      <c r="U46" s="34">
        <f t="shared" si="30"/>
        <v>0.14766525359132976</v>
      </c>
      <c r="V46" s="34">
        <f t="shared" si="30"/>
        <v>0.1668939652683506</v>
      </c>
      <c r="W46" s="34">
        <f t="shared" si="30"/>
        <v>0.21588218143335469</v>
      </c>
      <c r="X46" s="34">
        <f t="shared" si="30"/>
        <v>0.17651881844566505</v>
      </c>
      <c r="Y46" s="34">
        <f t="shared" si="30"/>
        <v>0.17685944300464942</v>
      </c>
      <c r="Z46" s="34">
        <f t="shared" si="30"/>
        <v>0.1412709840632396</v>
      </c>
      <c r="AA46" s="34">
        <f t="shared" si="30"/>
        <v>0.17844729194458939</v>
      </c>
      <c r="AB46" s="34">
        <f t="shared" si="30"/>
        <v>0.15312418031649666</v>
      </c>
      <c r="AC46" s="34">
        <f t="shared" si="30"/>
        <v>0.14813457219079582</v>
      </c>
      <c r="AD46" s="34">
        <f t="shared" si="30"/>
        <v>0.14200360216687608</v>
      </c>
      <c r="AE46" s="34">
        <f t="shared" si="30"/>
        <v>0.14817839145291042</v>
      </c>
      <c r="AF46" s="34">
        <f t="shared" si="30"/>
        <v>0.12184893088847647</v>
      </c>
      <c r="AG46" s="34">
        <f t="shared" si="30"/>
        <v>0.12502091641808635</v>
      </c>
      <c r="AH46" s="34">
        <f t="shared" si="30"/>
        <v>0.11469373808779458</v>
      </c>
      <c r="AI46" s="34">
        <f t="shared" si="30"/>
        <v>0.11533409075930974</v>
      </c>
    </row>
    <row r="47" spans="1:35" x14ac:dyDescent="0.2">
      <c r="A47" s="9" t="s">
        <v>67</v>
      </c>
      <c r="B47" s="34">
        <f t="shared" ref="B47:G47" si="31">B28/B21</f>
        <v>2.029653383097212E-2</v>
      </c>
      <c r="C47" s="34">
        <f t="shared" si="31"/>
        <v>3.1363950516103675E-2</v>
      </c>
      <c r="D47" s="34">
        <f t="shared" si="31"/>
        <v>3.1095062573589089E-2</v>
      </c>
      <c r="E47" s="34">
        <f t="shared" si="31"/>
        <v>1.4100154643636526E-2</v>
      </c>
      <c r="F47" s="34">
        <f t="shared" si="31"/>
        <v>9.8719487052174974E-3</v>
      </c>
      <c r="G47" s="34">
        <f t="shared" si="31"/>
        <v>2.6542633544974829E-2</v>
      </c>
      <c r="H47" s="36">
        <v>3.2000000000000001E-2</v>
      </c>
      <c r="I47" s="36">
        <v>2.8000000000000001E-2</v>
      </c>
      <c r="K47" s="9" t="s">
        <v>67</v>
      </c>
      <c r="L47" s="34">
        <f t="shared" ref="L47:AI47" si="32">L28/L21</f>
        <v>2.6564651586785528E-2</v>
      </c>
      <c r="M47" s="34">
        <f t="shared" si="32"/>
        <v>3.8068246223910814E-2</v>
      </c>
      <c r="N47" s="34">
        <f t="shared" si="32"/>
        <v>3.2680692311475919E-2</v>
      </c>
      <c r="O47" s="34">
        <f t="shared" si="32"/>
        <v>2.8818890663682022E-2</v>
      </c>
      <c r="P47" s="34">
        <f t="shared" si="32"/>
        <v>3.5304294603975453E-2</v>
      </c>
      <c r="Q47" s="34">
        <f t="shared" si="32"/>
        <v>3.7949222897503215E-2</v>
      </c>
      <c r="R47" s="34">
        <f t="shared" si="32"/>
        <v>4.0076197883206932E-2</v>
      </c>
      <c r="S47" s="34">
        <f t="shared" si="32"/>
        <v>1.842807010436523E-2</v>
      </c>
      <c r="T47" s="34">
        <f t="shared" si="32"/>
        <v>3.3988355253632224E-2</v>
      </c>
      <c r="U47" s="34">
        <f t="shared" si="32"/>
        <v>1.4570886588700725E-2</v>
      </c>
      <c r="V47" s="34">
        <f t="shared" si="32"/>
        <v>9.8782023035179738E-3</v>
      </c>
      <c r="W47" s="34">
        <f t="shared" si="32"/>
        <v>9.5475812886351204E-3</v>
      </c>
      <c r="X47" s="34">
        <f t="shared" si="32"/>
        <v>1.1978696345606258E-2</v>
      </c>
      <c r="Y47" s="34">
        <f t="shared" si="32"/>
        <v>7.777299297390375E-3</v>
      </c>
      <c r="Z47" s="34">
        <f t="shared" si="32"/>
        <v>1.1276230839818735E-2</v>
      </c>
      <c r="AA47" s="34">
        <f t="shared" si="32"/>
        <v>9.5786649520656058E-3</v>
      </c>
      <c r="AB47" s="34">
        <f t="shared" si="32"/>
        <v>2.7581867241680116E-2</v>
      </c>
      <c r="AC47" s="34">
        <f t="shared" si="32"/>
        <v>2.3827680953852889E-2</v>
      </c>
      <c r="AD47" s="34">
        <f t="shared" si="32"/>
        <v>2.8337141757516671E-2</v>
      </c>
      <c r="AE47" s="34">
        <f t="shared" si="32"/>
        <v>2.6504283387469994E-2</v>
      </c>
      <c r="AF47" s="34">
        <f t="shared" si="32"/>
        <v>3.3612879804647895E-2</v>
      </c>
      <c r="AG47" s="34">
        <f t="shared" si="32"/>
        <v>3.1942237910935013E-2</v>
      </c>
      <c r="AH47" s="34">
        <f t="shared" si="32"/>
        <v>2.8088922987956566E-2</v>
      </c>
      <c r="AI47" s="34">
        <f t="shared" si="32"/>
        <v>2.4746424723489112E-2</v>
      </c>
    </row>
    <row r="48" spans="1:35" ht="15" x14ac:dyDescent="0.25">
      <c r="H48" s="31">
        <v>2025</v>
      </c>
      <c r="I48" s="31">
        <v>2026</v>
      </c>
    </row>
    <row r="49" spans="6:29" x14ac:dyDescent="0.2">
      <c r="G49" s="9" t="s">
        <v>68</v>
      </c>
      <c r="H49" s="22">
        <v>5500000</v>
      </c>
      <c r="I49" s="22">
        <v>6200000</v>
      </c>
    </row>
    <row r="50" spans="6:29" x14ac:dyDescent="0.2">
      <c r="G50" s="9" t="s">
        <v>69</v>
      </c>
      <c r="H50" s="22">
        <v>750000</v>
      </c>
      <c r="I50" s="22">
        <f>I30-I49</f>
        <v>3158279.4000000004</v>
      </c>
      <c r="T50" s="5">
        <f t="shared" ref="T50:AC50" si="33">T43+T30</f>
        <v>2237148.2834010003</v>
      </c>
      <c r="U50" s="5">
        <f t="shared" si="33"/>
        <v>1922693.994744</v>
      </c>
      <c r="V50" s="5">
        <f t="shared" si="33"/>
        <v>1796807.495691</v>
      </c>
      <c r="W50" s="5">
        <f t="shared" si="33"/>
        <v>1193385.2534690001</v>
      </c>
      <c r="X50" s="5">
        <f t="shared" si="33"/>
        <v>449287.314442</v>
      </c>
      <c r="Y50" s="5">
        <f t="shared" si="33"/>
        <v>398627.94938300003</v>
      </c>
      <c r="Z50" s="5">
        <f t="shared" si="33"/>
        <v>368846.225905</v>
      </c>
      <c r="AA50" s="5">
        <f t="shared" si="33"/>
        <v>504871.55759099999</v>
      </c>
      <c r="AB50" s="5">
        <f t="shared" si="33"/>
        <v>1077577.1675550002</v>
      </c>
      <c r="AC50" s="5">
        <f t="shared" si="33"/>
        <v>1267666.9124670001</v>
      </c>
    </row>
    <row r="51" spans="6:29" x14ac:dyDescent="0.2">
      <c r="G51" s="9" t="s">
        <v>100</v>
      </c>
      <c r="H51" s="22">
        <f>'Diễn biến'!AM17*1000+'Diễn biến'!AM16*1000</f>
        <v>103017081.00000001</v>
      </c>
      <c r="I51" s="22">
        <f>'Diễn biến'!AN17*1000+'Diễn biến'!AN16*1000</f>
        <v>108360000</v>
      </c>
    </row>
    <row r="52" spans="6:29" ht="15" x14ac:dyDescent="0.25">
      <c r="G52" s="9" t="s">
        <v>101</v>
      </c>
      <c r="H52" s="22">
        <f>'Diễn biến'!AM18*1000</f>
        <v>46617801</v>
      </c>
      <c r="I52" s="22">
        <f>'Diễn biến'!AN18*1000</f>
        <v>64399999.999999993</v>
      </c>
      <c r="K52" s="2">
        <v>1.2</v>
      </c>
      <c r="L52" s="2" t="s">
        <v>102</v>
      </c>
    </row>
    <row r="53" spans="6:29" ht="15" x14ac:dyDescent="0.25">
      <c r="G53" s="9" t="s">
        <v>113</v>
      </c>
      <c r="H53" s="22">
        <f>3500000*7</f>
        <v>24500000</v>
      </c>
      <c r="I53" s="22">
        <f>3500000*7</f>
        <v>24500000</v>
      </c>
      <c r="K53" s="2"/>
      <c r="L53" s="2"/>
    </row>
    <row r="54" spans="6:29" x14ac:dyDescent="0.2">
      <c r="G54" s="9" t="s">
        <v>70</v>
      </c>
      <c r="H54" s="22"/>
      <c r="I54" s="22"/>
    </row>
    <row r="55" spans="6:29" ht="15" x14ac:dyDescent="0.25">
      <c r="F55" s="2" t="s">
        <v>98</v>
      </c>
      <c r="G55" s="9" t="s">
        <v>71</v>
      </c>
      <c r="H55" s="13">
        <v>10</v>
      </c>
      <c r="I55" s="13">
        <v>10</v>
      </c>
      <c r="K55" s="2" t="s">
        <v>94</v>
      </c>
    </row>
    <row r="56" spans="6:29" x14ac:dyDescent="0.2">
      <c r="G56" s="9" t="s">
        <v>4</v>
      </c>
      <c r="H56" s="13">
        <v>30</v>
      </c>
      <c r="I56" s="13">
        <v>30</v>
      </c>
    </row>
    <row r="57" spans="6:29" ht="15" x14ac:dyDescent="0.25">
      <c r="G57" s="9" t="s">
        <v>72</v>
      </c>
      <c r="H57" s="13">
        <f>SUMPRODUCT(H49:H50,H55:H56)+H53</f>
        <v>102000000</v>
      </c>
      <c r="I57" s="13">
        <f>SUMPRODUCT(I49:I50,I55:I56)+I53</f>
        <v>181248382</v>
      </c>
      <c r="K57" s="32" t="s">
        <v>88</v>
      </c>
    </row>
    <row r="58" spans="6:29" x14ac:dyDescent="0.2">
      <c r="G58" s="9" t="s">
        <v>81</v>
      </c>
      <c r="H58" s="24">
        <f>H57/1462</f>
        <v>69767.441860465115</v>
      </c>
      <c r="I58" s="24">
        <f>I57/1462</f>
        <v>123972.90150478797</v>
      </c>
      <c r="K58" s="27">
        <f>H58/1.25</f>
        <v>55813.953488372092</v>
      </c>
    </row>
    <row r="59" spans="6:29" x14ac:dyDescent="0.2">
      <c r="K59" s="26"/>
    </row>
    <row r="60" spans="6:29" ht="15" x14ac:dyDescent="0.25">
      <c r="F60" s="2" t="s">
        <v>104</v>
      </c>
      <c r="G60" s="9" t="s">
        <v>86</v>
      </c>
      <c r="H60" s="13">
        <f>H55*H49</f>
        <v>55000000</v>
      </c>
      <c r="I60" s="13">
        <f>I55*I49</f>
        <v>62000000</v>
      </c>
      <c r="K60" s="26"/>
    </row>
    <row r="61" spans="6:29" ht="15" x14ac:dyDescent="0.25">
      <c r="G61" s="9" t="s">
        <v>87</v>
      </c>
      <c r="H61" s="13">
        <f>H52*$K$52</f>
        <v>55941361.199999996</v>
      </c>
      <c r="I61" s="13">
        <f>I52*$K$52</f>
        <v>77279999.999999985</v>
      </c>
      <c r="K61" s="32" t="s">
        <v>88</v>
      </c>
    </row>
    <row r="62" spans="6:29" x14ac:dyDescent="0.2">
      <c r="G62" s="9" t="s">
        <v>81</v>
      </c>
      <c r="H62" s="24">
        <f>(H60+H61+H53)/1462</f>
        <v>92641.149931600536</v>
      </c>
      <c r="I62" s="24">
        <f>(I60+I61+I53)/1462</f>
        <v>112024.62380300957</v>
      </c>
      <c r="K62" s="27">
        <f>H62/1.25</f>
        <v>74112.919945280431</v>
      </c>
      <c r="M62" s="1"/>
    </row>
    <row r="63" spans="6:29" x14ac:dyDescent="0.2">
      <c r="K63" s="26"/>
      <c r="M63" s="18"/>
    </row>
    <row r="64" spans="6:29" x14ac:dyDescent="0.2">
      <c r="K64" s="26"/>
    </row>
    <row r="65" spans="6:11" x14ac:dyDescent="0.2">
      <c r="G65" s="9" t="s">
        <v>49</v>
      </c>
      <c r="H65" s="30">
        <f>H11+3000000</f>
        <v>36179015</v>
      </c>
      <c r="I65" s="13">
        <f>H65+I30</f>
        <v>45537294.399999999</v>
      </c>
      <c r="K65" s="26" t="s">
        <v>89</v>
      </c>
    </row>
    <row r="66" spans="6:11" ht="15" x14ac:dyDescent="0.25">
      <c r="F66" s="2" t="s">
        <v>99</v>
      </c>
      <c r="G66" s="9" t="s">
        <v>77</v>
      </c>
      <c r="H66" s="23">
        <f>H65*J66/1462</f>
        <v>61865.620725034198</v>
      </c>
      <c r="I66" s="23">
        <f>I65*J66/1462</f>
        <v>77868.150478796175</v>
      </c>
      <c r="J66" s="9">
        <v>2.5</v>
      </c>
      <c r="K66" s="26"/>
    </row>
    <row r="67" spans="6:11" ht="15" x14ac:dyDescent="0.25">
      <c r="G67" s="9" t="s">
        <v>78</v>
      </c>
      <c r="H67" s="23">
        <f>H65*J67/1462</f>
        <v>69289.49521203831</v>
      </c>
      <c r="I67" s="23">
        <f>I65*J67/1462</f>
        <v>87212.328536251705</v>
      </c>
      <c r="J67" s="9">
        <v>2.8</v>
      </c>
      <c r="K67" s="32" t="s">
        <v>88</v>
      </c>
    </row>
    <row r="68" spans="6:11" x14ac:dyDescent="0.2">
      <c r="G68" s="9" t="s">
        <v>79</v>
      </c>
      <c r="H68" s="25">
        <f>H65*J68/1462</f>
        <v>98984.993160054713</v>
      </c>
      <c r="I68" s="25">
        <f>I65*J68/1462</f>
        <v>124589.04076607387</v>
      </c>
      <c r="J68" s="9">
        <v>4</v>
      </c>
      <c r="K68" s="27">
        <f>H68/1.25</f>
        <v>79187.994528043768</v>
      </c>
    </row>
    <row r="69" spans="6:11" x14ac:dyDescent="0.2">
      <c r="G69" s="9" t="s">
        <v>80</v>
      </c>
      <c r="H69" s="23">
        <f>H65*J69/1462</f>
        <v>123731.2414500684</v>
      </c>
      <c r="I69" s="23">
        <f>I65*J69/1462</f>
        <v>155736.30095759235</v>
      </c>
      <c r="J69" s="9">
        <v>5</v>
      </c>
      <c r="K69" s="26"/>
    </row>
    <row r="70" spans="6:11" x14ac:dyDescent="0.2">
      <c r="K70" s="26"/>
    </row>
    <row r="71" spans="6:11" x14ac:dyDescent="0.2">
      <c r="K71" s="26"/>
    </row>
    <row r="72" spans="6:11" x14ac:dyDescent="0.2">
      <c r="G72" s="9" t="s">
        <v>1</v>
      </c>
      <c r="H72" s="13">
        <f>H30</f>
        <v>7047907</v>
      </c>
      <c r="I72" s="13">
        <f>I30</f>
        <v>9358279.4000000004</v>
      </c>
      <c r="K72" s="26"/>
    </row>
    <row r="73" spans="6:11" x14ac:dyDescent="0.2">
      <c r="G73" s="9" t="s">
        <v>82</v>
      </c>
      <c r="H73" s="23">
        <f>H72*J73/1462</f>
        <v>57848.75786593707</v>
      </c>
      <c r="I73" s="23">
        <f>I72*J73/1462</f>
        <v>76812.142818057458</v>
      </c>
      <c r="J73" s="23">
        <v>12</v>
      </c>
      <c r="K73" s="26"/>
    </row>
    <row r="74" spans="6:11" ht="15" x14ac:dyDescent="0.25">
      <c r="G74" s="9" t="s">
        <v>83</v>
      </c>
      <c r="H74" s="23">
        <f>H72*J74/1462</f>
        <v>67490.217510259914</v>
      </c>
      <c r="I74" s="23">
        <f>I72*J74/1462</f>
        <v>89614.166621067037</v>
      </c>
      <c r="J74" s="23">
        <v>14</v>
      </c>
      <c r="K74" s="32" t="s">
        <v>88</v>
      </c>
    </row>
    <row r="75" spans="6:11" x14ac:dyDescent="0.2">
      <c r="G75" s="9" t="s">
        <v>84</v>
      </c>
      <c r="H75" s="25">
        <f>H72*J75/1462</f>
        <v>96414.596443228453</v>
      </c>
      <c r="I75" s="25">
        <f>I72*J75/1462</f>
        <v>128020.23803009576</v>
      </c>
      <c r="J75" s="23">
        <v>20</v>
      </c>
      <c r="K75" s="27">
        <f>H75/1.25</f>
        <v>77131.677154582765</v>
      </c>
    </row>
    <row r="76" spans="6:11" x14ac:dyDescent="0.2">
      <c r="G76" s="9" t="s">
        <v>85</v>
      </c>
      <c r="H76" s="23">
        <f>H72*J76/1462</f>
        <v>144621.89466484269</v>
      </c>
      <c r="I76" s="23">
        <f>I72*J76/1462</f>
        <v>192030.35704514364</v>
      </c>
      <c r="J76" s="23">
        <v>30</v>
      </c>
      <c r="K76" s="26"/>
    </row>
    <row r="77" spans="6:11" x14ac:dyDescent="0.2">
      <c r="K77" s="26"/>
    </row>
    <row r="78" spans="6:11" x14ac:dyDescent="0.2">
      <c r="K78" s="26"/>
    </row>
    <row r="79" spans="6:11" x14ac:dyDescent="0.2">
      <c r="J79" s="18">
        <f>I75/88000</f>
        <v>1.4547754321601791</v>
      </c>
    </row>
    <row r="82" spans="7:11" ht="15" x14ac:dyDescent="0.25">
      <c r="G82" s="9"/>
      <c r="H82" s="14">
        <v>2025</v>
      </c>
      <c r="I82" s="14">
        <v>2026</v>
      </c>
    </row>
    <row r="83" spans="7:11" ht="15" x14ac:dyDescent="0.25">
      <c r="G83" s="14" t="s">
        <v>90</v>
      </c>
      <c r="H83" s="13">
        <f>H30</f>
        <v>7047907</v>
      </c>
      <c r="I83" s="13">
        <f>I30</f>
        <v>9358279.4000000004</v>
      </c>
    </row>
    <row r="84" spans="7:11" ht="15" x14ac:dyDescent="0.25">
      <c r="G84" s="14" t="s">
        <v>91</v>
      </c>
      <c r="H84" s="13">
        <f>H83*$K$84/1462</f>
        <v>120518.24555403557</v>
      </c>
      <c r="I84" s="13">
        <f>I83*$K$84/1462</f>
        <v>160025.29753761968</v>
      </c>
      <c r="K84">
        <v>25</v>
      </c>
    </row>
    <row r="85" spans="7:11" ht="15" x14ac:dyDescent="0.25">
      <c r="G85" s="14" t="s">
        <v>92</v>
      </c>
      <c r="H85" s="13">
        <f>H68</f>
        <v>98984.993160054713</v>
      </c>
      <c r="I85" s="13">
        <f>I68</f>
        <v>124589.04076607387</v>
      </c>
      <c r="K85">
        <v>4</v>
      </c>
    </row>
    <row r="86" spans="7:11" ht="15" x14ac:dyDescent="0.25">
      <c r="G86" s="14" t="s">
        <v>103</v>
      </c>
      <c r="H86" s="13">
        <f>(H49*H55+H52*$K$52)/1462</f>
        <v>75883.283994528028</v>
      </c>
      <c r="I86" s="13">
        <f>(I49*I55+I52*$K$52)/1462</f>
        <v>95266.757865937077</v>
      </c>
    </row>
    <row r="87" spans="7:11" x14ac:dyDescent="0.2">
      <c r="H87" s="1"/>
      <c r="I87" s="1"/>
      <c r="J87" s="1"/>
    </row>
    <row r="88" spans="7:11" x14ac:dyDescent="0.2">
      <c r="H88" s="3"/>
      <c r="I88" s="1"/>
      <c r="J88" s="1"/>
    </row>
    <row r="89" spans="7:11" x14ac:dyDescent="0.2">
      <c r="H89" s="1"/>
      <c r="I89" s="1"/>
      <c r="J89" s="1"/>
    </row>
    <row r="90" spans="7:11" x14ac:dyDescent="0.2">
      <c r="H90" s="1"/>
      <c r="I90" s="1"/>
      <c r="J90" s="1"/>
    </row>
    <row r="91" spans="7:11" x14ac:dyDescent="0.2">
      <c r="H91" s="1"/>
      <c r="I91" s="1"/>
      <c r="J91" s="1"/>
    </row>
    <row r="95" spans="7:11" x14ac:dyDescent="0.2">
      <c r="G95" t="s">
        <v>105</v>
      </c>
    </row>
    <row r="96" spans="7:11" x14ac:dyDescent="0.2">
      <c r="G96" t="s">
        <v>99</v>
      </c>
    </row>
    <row r="97" spans="7:9" x14ac:dyDescent="0.2">
      <c r="G97" t="s">
        <v>93</v>
      </c>
      <c r="H97" s="39">
        <v>0.24</v>
      </c>
      <c r="I97">
        <f>5.5*1.5</f>
        <v>8.25</v>
      </c>
    </row>
    <row r="98" spans="7:9" x14ac:dyDescent="0.2">
      <c r="H98" s="19">
        <f>H97/8.25%</f>
        <v>2.9090909090909087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S141"/>
  <sheetViews>
    <sheetView zoomScale="55" zoomScaleNormal="55" workbookViewId="0">
      <selection activeCell="AJ33" sqref="AJ33"/>
    </sheetView>
  </sheetViews>
  <sheetFormatPr defaultRowHeight="14.25" x14ac:dyDescent="0.2"/>
  <cols>
    <col min="1" max="1" width="18.75" customWidth="1"/>
    <col min="2" max="17" width="9.875" customWidth="1"/>
    <col min="18" max="18" width="12.25" customWidth="1"/>
    <col min="19" max="25" width="9.875" customWidth="1"/>
    <col min="26" max="26" width="11.75" customWidth="1"/>
    <col min="27" max="31" width="10.875" customWidth="1"/>
    <col min="32" max="32" width="9.875" customWidth="1"/>
    <col min="33" max="33" width="13.75" bestFit="1" customWidth="1"/>
    <col min="34" max="34" width="9.875" customWidth="1"/>
    <col min="35" max="35" width="13.125" customWidth="1"/>
    <col min="36" max="36" width="12.375" bestFit="1" customWidth="1"/>
    <col min="37" max="37" width="13.375" customWidth="1"/>
    <col min="41" max="41" width="10.375" customWidth="1"/>
  </cols>
  <sheetData>
    <row r="4" spans="1:45" ht="15" x14ac:dyDescent="0.25">
      <c r="A4" s="2" t="s">
        <v>0</v>
      </c>
      <c r="B4" s="1">
        <v>22763.519750570002</v>
      </c>
      <c r="C4" s="1">
        <v>21806.933821736999</v>
      </c>
      <c r="D4" s="1">
        <v>20907.582696042002</v>
      </c>
      <c r="E4" s="1">
        <v>21038.250734149999</v>
      </c>
      <c r="F4" s="1">
        <v>25017.409669965</v>
      </c>
      <c r="G4" s="1">
        <v>26603.758974906999</v>
      </c>
      <c r="H4" s="1">
        <v>25142.085940339999</v>
      </c>
      <c r="I4" s="1">
        <v>25410.989391511001</v>
      </c>
      <c r="J4" s="1">
        <v>29353.213419516</v>
      </c>
      <c r="K4" s="1">
        <v>26285.559012762998</v>
      </c>
      <c r="L4" s="1">
        <v>25713.553885574001</v>
      </c>
      <c r="M4" s="1">
        <v>27193.693347559001</v>
      </c>
      <c r="N4" s="1">
        <v>30828.143814873001</v>
      </c>
      <c r="O4" s="1">
        <v>31658.418853104999</v>
      </c>
      <c r="P4" s="1">
        <v>24333.213525693001</v>
      </c>
      <c r="Q4" s="1">
        <v>36138.329909503002</v>
      </c>
      <c r="R4" s="1">
        <v>36466.676618650003</v>
      </c>
      <c r="S4" s="1">
        <v>34337.739971773</v>
      </c>
      <c r="T4" s="1">
        <v>32011.979847627001</v>
      </c>
      <c r="U4" s="1">
        <v>30588.381152474001</v>
      </c>
      <c r="V4" s="1">
        <v>27335.086613676001</v>
      </c>
      <c r="W4" s="1">
        <v>29725.046708024001</v>
      </c>
      <c r="X4" s="1">
        <v>30287.657286952999</v>
      </c>
      <c r="Y4" s="1">
        <v>31421.488702148999</v>
      </c>
      <c r="Z4" s="1">
        <v>31486.491849566999</v>
      </c>
      <c r="AA4" s="1">
        <v>34134.071533952003</v>
      </c>
      <c r="AB4" s="1">
        <f>99767-Z4-AA4</f>
        <v>34146.436616480998</v>
      </c>
      <c r="AC4" s="1">
        <v>34573</v>
      </c>
      <c r="AD4" s="1">
        <v>36134</v>
      </c>
      <c r="AE4" s="1">
        <v>37619</v>
      </c>
      <c r="AF4" s="1">
        <f>'Kinh doanh'!AH21/1000</f>
        <v>39852.506999999998</v>
      </c>
      <c r="AG4" s="6">
        <v>42850</v>
      </c>
      <c r="AH4" s="1"/>
    </row>
    <row r="5" spans="1:45" ht="15" x14ac:dyDescent="0.25">
      <c r="A5" s="2" t="s">
        <v>9</v>
      </c>
      <c r="B5" s="1">
        <v>3974.7634087880001</v>
      </c>
      <c r="C5" s="1">
        <v>3861.6415613499998</v>
      </c>
      <c r="D5" s="1">
        <v>3702.5512007080001</v>
      </c>
      <c r="E5" s="1">
        <v>3753.1715922180001</v>
      </c>
      <c r="F5" s="1">
        <v>4433.7778973969998</v>
      </c>
      <c r="G5" s="1">
        <v>4748.4172078069996</v>
      </c>
      <c r="H5" s="1">
        <v>4940.556989101</v>
      </c>
      <c r="I5" s="1">
        <v>5365.0472094059996</v>
      </c>
      <c r="J5" s="1">
        <v>6159.9704162640001</v>
      </c>
      <c r="K5" s="1">
        <v>5770.1417848860001</v>
      </c>
      <c r="L5" s="1">
        <v>5749.7200097739997</v>
      </c>
      <c r="M5" s="1">
        <v>6274.6650615389999</v>
      </c>
      <c r="N5" s="1">
        <v>7024.9455515019999</v>
      </c>
      <c r="O5" s="1">
        <v>7143.5833856709996</v>
      </c>
      <c r="P5" s="1">
        <v>6088.7133257659998</v>
      </c>
      <c r="Q5" s="1">
        <v>7374.8897325950002</v>
      </c>
      <c r="R5" s="1">
        <v>8124.2640914989997</v>
      </c>
      <c r="S5" s="1">
        <v>7336.4182392599996</v>
      </c>
      <c r="T5" s="1">
        <v>7392.0243795890001</v>
      </c>
      <c r="U5" s="1">
        <v>7929.5086575129999</v>
      </c>
      <c r="V5" s="1">
        <v>5214.4998517869999</v>
      </c>
      <c r="W5" s="1">
        <v>5441.1680076490002</v>
      </c>
      <c r="X5" s="1">
        <v>4642.9276502129997</v>
      </c>
      <c r="Y5" s="1">
        <v>6186.460530542</v>
      </c>
      <c r="Z5" s="1">
        <v>6712.616110899</v>
      </c>
      <c r="AA5" s="1">
        <v>7307.7140017000002</v>
      </c>
      <c r="AB5" s="1">
        <v>6891</v>
      </c>
      <c r="AC5" s="1">
        <v>6586</v>
      </c>
      <c r="AD5" s="1">
        <v>7200</v>
      </c>
      <c r="AE5" s="1">
        <v>7568</v>
      </c>
      <c r="AF5" s="1">
        <f>'Kinh doanh'!AH23/1000</f>
        <v>7478.1859999999997</v>
      </c>
      <c r="AG5" s="1">
        <f>'Kinh doanh'!AI23/1000</f>
        <v>8046.2439999999997</v>
      </c>
    </row>
    <row r="6" spans="1:45" ht="15" x14ac:dyDescent="0.25">
      <c r="A6" s="2" t="s">
        <v>1</v>
      </c>
      <c r="B6" s="1">
        <v>807.36427165700002</v>
      </c>
      <c r="C6" s="1">
        <v>731.96838476699997</v>
      </c>
      <c r="D6" s="1">
        <v>647.36534568699994</v>
      </c>
      <c r="E6" s="1">
        <v>692.02612879699996</v>
      </c>
      <c r="F6" s="1">
        <v>1040.440771716</v>
      </c>
      <c r="G6" s="1">
        <v>1079.178522876</v>
      </c>
      <c r="H6" s="1">
        <v>855.080927073</v>
      </c>
      <c r="I6" s="1">
        <v>859.56932538199999</v>
      </c>
      <c r="J6" s="1">
        <v>1131.5190148300001</v>
      </c>
      <c r="K6" s="1">
        <v>893.91168554900003</v>
      </c>
      <c r="L6" s="1">
        <v>950.539857407</v>
      </c>
      <c r="M6" s="1">
        <v>941.79722537299995</v>
      </c>
      <c r="N6" s="1">
        <v>1337.9686078330001</v>
      </c>
      <c r="O6" s="1">
        <v>1213.0296852849999</v>
      </c>
      <c r="P6" s="1">
        <v>785.38540130599995</v>
      </c>
      <c r="Q6" s="1">
        <v>1562.4855837959999</v>
      </c>
      <c r="R6" s="1">
        <v>1444.4652834010001</v>
      </c>
      <c r="S6" s="1">
        <v>1130.0109947440001</v>
      </c>
      <c r="T6" s="1">
        <v>906.24599569099996</v>
      </c>
      <c r="U6" s="1">
        <v>619.04075346900004</v>
      </c>
      <c r="V6" s="1">
        <v>21.266943546</v>
      </c>
      <c r="W6" s="1">
        <v>17.405665662000001</v>
      </c>
      <c r="X6" s="1">
        <v>38.739225904999998</v>
      </c>
      <c r="Y6" s="1">
        <v>90.257557590999994</v>
      </c>
      <c r="Z6" s="1">
        <v>902.43716755499997</v>
      </c>
      <c r="AA6" s="1">
        <v>1172.2769124670001</v>
      </c>
      <c r="AB6" s="1">
        <v>805</v>
      </c>
      <c r="AC6" s="1">
        <v>852</v>
      </c>
      <c r="AD6" s="1">
        <v>1547</v>
      </c>
      <c r="AE6" s="1">
        <v>1657</v>
      </c>
      <c r="AF6" s="1">
        <f>'Kinh doanh'!AH30/1000</f>
        <v>1770.8979999999999</v>
      </c>
      <c r="AG6" s="1">
        <f>'Kinh doanh'!AI30/1000</f>
        <v>2071.6460000000002</v>
      </c>
    </row>
    <row r="7" spans="1:45" ht="15" x14ac:dyDescent="0.25">
      <c r="A7" s="2" t="s">
        <v>42</v>
      </c>
      <c r="B7" s="1"/>
      <c r="C7" s="1"/>
      <c r="D7" s="1"/>
      <c r="E7" s="1"/>
      <c r="F7" s="8">
        <f>F4/B4-1</f>
        <v>9.9013243298570419E-2</v>
      </c>
      <c r="G7" s="8">
        <f t="shared" ref="G7:U7" si="0">G4/C4-1</f>
        <v>0.21996788692909042</v>
      </c>
      <c r="H7" s="8">
        <f t="shared" si="0"/>
        <v>0.20253432957123385</v>
      </c>
      <c r="I7" s="8">
        <f t="shared" si="0"/>
        <v>0.207847064502517</v>
      </c>
      <c r="J7" s="8">
        <f t="shared" si="0"/>
        <v>0.17331145817052396</v>
      </c>
      <c r="K7" s="8">
        <f t="shared" si="0"/>
        <v>-1.1960714365369607E-2</v>
      </c>
      <c r="L7" s="8">
        <f t="shared" si="0"/>
        <v>2.2729535910029464E-2</v>
      </c>
      <c r="M7" s="8">
        <f t="shared" si="0"/>
        <v>7.0154842402301076E-2</v>
      </c>
      <c r="N7" s="8">
        <f t="shared" si="0"/>
        <v>5.0247663663848474E-2</v>
      </c>
      <c r="O7" s="8">
        <f t="shared" si="0"/>
        <v>0.20440348397130137</v>
      </c>
      <c r="P7" s="8">
        <f t="shared" si="0"/>
        <v>-5.3681430658070517E-2</v>
      </c>
      <c r="Q7" s="8">
        <f t="shared" si="0"/>
        <v>0.3289231972878337</v>
      </c>
      <c r="R7" s="8">
        <f t="shared" si="0"/>
        <v>0.18290211819553992</v>
      </c>
      <c r="S7" s="8">
        <f t="shared" si="0"/>
        <v>8.4632183657056492E-2</v>
      </c>
      <c r="T7" s="8">
        <f t="shared" si="0"/>
        <v>0.31556729298520847</v>
      </c>
      <c r="U7" s="8">
        <f t="shared" si="0"/>
        <v>-0.1535751311952458</v>
      </c>
      <c r="V7" s="8">
        <f t="shared" ref="V7" si="1">V4/R4-1</f>
        <v>-0.25040916397366109</v>
      </c>
      <c r="W7" s="8">
        <f t="shared" ref="W7" si="2">W4/S4-1</f>
        <v>-0.13433304776437871</v>
      </c>
      <c r="X7" s="8">
        <f t="shared" ref="X7" si="3">X4/T4-1</f>
        <v>-5.3864914600145308E-2</v>
      </c>
      <c r="Y7" s="8">
        <f t="shared" ref="Y7" si="4">Y4/U4-1</f>
        <v>2.7236078480982862E-2</v>
      </c>
      <c r="Z7" s="8">
        <f t="shared" ref="Z7" si="5">Z4/V4-1</f>
        <v>0.15187093769126792</v>
      </c>
      <c r="AA7" s="8">
        <f t="shared" ref="AA7" si="6">AA4/W4-1</f>
        <v>0.14832692675762305</v>
      </c>
      <c r="AB7" s="8">
        <f t="shared" ref="AB7" si="7">AB4/X4-1</f>
        <v>0.1274043513160803</v>
      </c>
      <c r="AC7" s="8">
        <f t="shared" ref="AC7" si="8">AC4/Y4-1</f>
        <v>0.10029796257347479</v>
      </c>
      <c r="AD7" s="8">
        <f t="shared" ref="AD7" si="9">AD4/Z4-1</f>
        <v>0.14760323800559938</v>
      </c>
      <c r="AE7" s="8">
        <f t="shared" ref="AE7:AG7" si="10">AE4/AA4-1</f>
        <v>0.10209530564150993</v>
      </c>
      <c r="AF7" s="8">
        <f t="shared" si="10"/>
        <v>0.16710588128440107</v>
      </c>
      <c r="AG7" s="8">
        <f t="shared" si="10"/>
        <v>0.23940647325947984</v>
      </c>
    </row>
    <row r="8" spans="1:45" ht="15" x14ac:dyDescent="0.25">
      <c r="A8" s="2" t="s">
        <v>41</v>
      </c>
      <c r="B8" s="1"/>
      <c r="C8" s="1"/>
      <c r="D8" s="1"/>
      <c r="E8" s="1"/>
      <c r="F8" s="8">
        <f>F6/B6-1</f>
        <v>0.28868815259888048</v>
      </c>
      <c r="G8" s="8">
        <f t="shared" ref="G8:U8" si="11">G6/C6-1</f>
        <v>0.47435127709719849</v>
      </c>
      <c r="H8" s="8">
        <f t="shared" si="11"/>
        <v>0.32086299146205799</v>
      </c>
      <c r="I8" s="8">
        <f t="shared" si="11"/>
        <v>0.24210530442868206</v>
      </c>
      <c r="J8" s="8">
        <f t="shared" si="11"/>
        <v>8.7538133442987442E-2</v>
      </c>
      <c r="K8" s="8">
        <f t="shared" si="11"/>
        <v>-0.17167394772948752</v>
      </c>
      <c r="L8" s="8">
        <f t="shared" si="11"/>
        <v>0.11163730509200143</v>
      </c>
      <c r="M8" s="8">
        <f t="shared" si="11"/>
        <v>9.5661743111246089E-2</v>
      </c>
      <c r="N8" s="8">
        <f t="shared" si="11"/>
        <v>0.18245348977543885</v>
      </c>
      <c r="O8" s="8">
        <f t="shared" si="11"/>
        <v>0.3569905225481107</v>
      </c>
      <c r="P8" s="8">
        <f t="shared" si="11"/>
        <v>-0.17374805991989517</v>
      </c>
      <c r="Q8" s="8">
        <f t="shared" si="11"/>
        <v>0.65904670527902187</v>
      </c>
      <c r="R8" s="8">
        <f t="shared" si="11"/>
        <v>7.9595795405457359E-2</v>
      </c>
      <c r="S8" s="8">
        <f t="shared" si="11"/>
        <v>-6.8439125231708364E-2</v>
      </c>
      <c r="T8" s="8">
        <f t="shared" si="11"/>
        <v>0.15388698871155948</v>
      </c>
      <c r="U8" s="8">
        <f t="shared" si="11"/>
        <v>-0.6038102623865087</v>
      </c>
      <c r="V8" s="8">
        <f t="shared" ref="V8" si="12">V6/R6-1</f>
        <v>-0.98527694380031972</v>
      </c>
      <c r="W8" s="8">
        <f t="shared" ref="W8" si="13">W6/S6-1</f>
        <v>-0.98459690592130633</v>
      </c>
      <c r="X8" s="8">
        <f t="shared" ref="X8" si="14">X6/T6-1</f>
        <v>-0.95725307908758051</v>
      </c>
      <c r="Y8" s="8">
        <f t="shared" ref="Y8" si="15">Y6/U6-1</f>
        <v>-0.85419771301774261</v>
      </c>
      <c r="Z8" s="8"/>
      <c r="AA8" s="8"/>
      <c r="AB8" s="8"/>
      <c r="AC8" s="8"/>
      <c r="AD8" s="8">
        <f t="shared" ref="AD8" si="16">AD6/Z6-1</f>
        <v>0.7142467704331521</v>
      </c>
      <c r="AE8" s="8">
        <f t="shared" ref="AE8:AG8" si="17">AE6/AA6-1</f>
        <v>0.41348855579943455</v>
      </c>
      <c r="AF8" s="8">
        <f t="shared" si="17"/>
        <v>1.1998732919254658</v>
      </c>
      <c r="AG8" s="8">
        <f t="shared" si="17"/>
        <v>1.4315093896713615</v>
      </c>
    </row>
    <row r="10" spans="1:45" ht="15" x14ac:dyDescent="0.25">
      <c r="A10" s="2" t="s">
        <v>7</v>
      </c>
      <c r="B10" s="2" t="s">
        <v>8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17</v>
      </c>
      <c r="K10" s="2" t="s">
        <v>18</v>
      </c>
      <c r="L10" s="2" t="s">
        <v>19</v>
      </c>
      <c r="M10" s="2" t="s">
        <v>20</v>
      </c>
      <c r="N10" s="2" t="s">
        <v>21</v>
      </c>
      <c r="O10" s="2" t="s">
        <v>22</v>
      </c>
      <c r="P10" s="2" t="s">
        <v>23</v>
      </c>
      <c r="Q10" s="2" t="s">
        <v>24</v>
      </c>
      <c r="R10" s="2" t="s">
        <v>25</v>
      </c>
      <c r="S10" s="2" t="s">
        <v>26</v>
      </c>
      <c r="T10" s="2" t="s">
        <v>27</v>
      </c>
      <c r="U10" s="2" t="s">
        <v>28</v>
      </c>
      <c r="V10" s="2" t="s">
        <v>29</v>
      </c>
      <c r="W10" s="2" t="s">
        <v>30</v>
      </c>
      <c r="X10" s="2" t="s">
        <v>31</v>
      </c>
      <c r="Y10" s="2" t="s">
        <v>32</v>
      </c>
      <c r="Z10" s="2" t="s">
        <v>33</v>
      </c>
      <c r="AA10" s="2" t="s">
        <v>34</v>
      </c>
      <c r="AB10" s="2" t="s">
        <v>61</v>
      </c>
      <c r="AC10" s="2" t="s">
        <v>62</v>
      </c>
      <c r="AD10" s="2" t="s">
        <v>95</v>
      </c>
      <c r="AE10" s="2" t="s">
        <v>96</v>
      </c>
      <c r="AF10" s="2" t="s">
        <v>97</v>
      </c>
      <c r="AG10" s="2" t="s">
        <v>114</v>
      </c>
      <c r="AI10" s="2">
        <v>2025</v>
      </c>
      <c r="AJ10" s="2">
        <v>2026</v>
      </c>
      <c r="AK10" s="2" t="s">
        <v>112</v>
      </c>
      <c r="AL10" s="2">
        <v>2024</v>
      </c>
      <c r="AM10" s="2">
        <v>2025</v>
      </c>
      <c r="AN10" s="2">
        <v>2026</v>
      </c>
    </row>
    <row r="11" spans="1:45" x14ac:dyDescent="0.2">
      <c r="A11" t="s">
        <v>3</v>
      </c>
      <c r="B11" s="3">
        <v>0.42</v>
      </c>
      <c r="C11" s="3">
        <v>0.41</v>
      </c>
      <c r="D11" s="3">
        <v>0.4</v>
      </c>
      <c r="E11" s="3">
        <v>0.4</v>
      </c>
      <c r="F11" s="3">
        <v>0.35</v>
      </c>
      <c r="G11" s="3">
        <f t="shared" ref="G11:G13" si="18">G16/$G$14</f>
        <v>0.31901415200299515</v>
      </c>
      <c r="H11" s="3">
        <f>H16/H14</f>
        <v>0.33093389519092525</v>
      </c>
      <c r="I11" s="3">
        <f>I16/I14</f>
        <v>0.30083314312699216</v>
      </c>
      <c r="J11" s="3">
        <v>0.28499999999999998</v>
      </c>
      <c r="K11" s="3">
        <f>K16/K14</f>
        <v>0.23208506105679619</v>
      </c>
      <c r="L11" s="3">
        <f>L16/L14</f>
        <v>0.2916384708124295</v>
      </c>
      <c r="M11" s="3">
        <f>M16/M14</f>
        <v>0.27800295159386085</v>
      </c>
      <c r="N11" s="3">
        <v>0.26800000000000002</v>
      </c>
      <c r="O11" s="3">
        <f>O16/O14</f>
        <v>0.23444622382260966</v>
      </c>
      <c r="P11" s="3">
        <f>P16/P14</f>
        <v>0.20104808285045003</v>
      </c>
      <c r="Q11" s="3">
        <f>Q16/Q14</f>
        <v>0.30504914494437996</v>
      </c>
      <c r="R11" s="3">
        <v>0.27400000000000002</v>
      </c>
      <c r="S11" s="3">
        <f>S16/S14</f>
        <v>0.25956577452893381</v>
      </c>
      <c r="T11" s="3">
        <f>T16/T14</f>
        <v>0.26057640884668243</v>
      </c>
      <c r="U11" s="3">
        <f>U16/U14</f>
        <v>0.24319395861257326</v>
      </c>
      <c r="V11" s="3">
        <v>0.246</v>
      </c>
      <c r="W11" s="3">
        <f>W16/W14</f>
        <v>0.22687559161595669</v>
      </c>
      <c r="X11" s="3">
        <f>X16/X14</f>
        <v>0.24173547279450602</v>
      </c>
      <c r="Y11" s="3">
        <f>Y16/Y14</f>
        <v>0.24176424161415566</v>
      </c>
      <c r="Z11" s="3">
        <v>0.216</v>
      </c>
      <c r="AA11" s="3">
        <f>AA16/AA14</f>
        <v>0.19680134581626679</v>
      </c>
      <c r="AB11" s="3">
        <v>0.217</v>
      </c>
      <c r="AC11" s="3">
        <v>0.224</v>
      </c>
      <c r="AD11" s="3">
        <v>0.23</v>
      </c>
      <c r="AE11" s="3">
        <v>0.22500000000000001</v>
      </c>
      <c r="AF11" s="3">
        <v>0.23</v>
      </c>
      <c r="AG11" s="3">
        <v>0.23899999999999999</v>
      </c>
      <c r="AN11" s="3"/>
      <c r="AO11" s="3"/>
      <c r="AP11" s="3"/>
      <c r="AQ11" s="3"/>
      <c r="AR11" s="3"/>
      <c r="AS11" s="3"/>
    </row>
    <row r="12" spans="1:45" x14ac:dyDescent="0.2">
      <c r="A12" t="s">
        <v>5</v>
      </c>
      <c r="B12" s="3">
        <v>0.55000000000000004</v>
      </c>
      <c r="C12" s="3">
        <v>0.56000000000000005</v>
      </c>
      <c r="D12" s="3">
        <v>0.54</v>
      </c>
      <c r="E12" s="3">
        <v>0.55000000000000004</v>
      </c>
      <c r="F12" s="3">
        <v>0.57999999999999996</v>
      </c>
      <c r="G12" s="3">
        <f t="shared" si="18"/>
        <v>0.59355630849868968</v>
      </c>
      <c r="H12" s="3">
        <f>H17/H14</f>
        <v>0.54714063748202579</v>
      </c>
      <c r="I12" s="3">
        <f>I17/I14</f>
        <v>0.55791657156349583</v>
      </c>
      <c r="J12" s="3">
        <v>0.56200000000000006</v>
      </c>
      <c r="K12" s="3">
        <f>K17/K14</f>
        <v>0.57893278046182506</v>
      </c>
      <c r="L12" s="3">
        <f>L17/L14</f>
        <v>0.48773997588768364</v>
      </c>
      <c r="M12" s="3">
        <f>M17/M14</f>
        <v>0.49598229043683589</v>
      </c>
      <c r="N12" s="3">
        <v>0.53900000000000003</v>
      </c>
      <c r="O12" s="3">
        <f>O17/O14</f>
        <v>0.53110499384061416</v>
      </c>
      <c r="P12" s="3">
        <f>P17/P14</f>
        <v>0.41725619529034619</v>
      </c>
      <c r="Q12" s="3">
        <f>Q17/Q14</f>
        <v>0.52921965797775206</v>
      </c>
      <c r="R12" s="3">
        <v>0.54900000000000004</v>
      </c>
      <c r="S12" s="3">
        <f>S17/S14</f>
        <v>0.52631764568832462</v>
      </c>
      <c r="T12" s="3">
        <f>T17/T14</f>
        <v>0.49945845308009484</v>
      </c>
      <c r="U12" s="3">
        <f>U17/U14</f>
        <v>0.4867491255026315</v>
      </c>
      <c r="V12" s="3">
        <v>0.49299999999999999</v>
      </c>
      <c r="W12" s="3">
        <f>W17/W14</f>
        <v>0.50447464503042594</v>
      </c>
      <c r="X12" s="3">
        <f>X17/X14</f>
        <v>0.44451300845219216</v>
      </c>
      <c r="Y12" s="3">
        <f>Y17/Y14</f>
        <v>0.43106485901597624</v>
      </c>
      <c r="Z12" s="3">
        <v>0.46200000000000002</v>
      </c>
      <c r="AA12" s="3">
        <f>AA17/AA14</f>
        <v>0.47543905792861324</v>
      </c>
      <c r="AB12" s="3">
        <v>0.45200000000000001</v>
      </c>
      <c r="AC12" s="3">
        <v>0.443</v>
      </c>
      <c r="AD12" s="3">
        <v>0.442</v>
      </c>
      <c r="AE12" s="3">
        <v>0.44600000000000001</v>
      </c>
      <c r="AF12" s="3">
        <v>0.44400000000000001</v>
      </c>
      <c r="AG12" s="3">
        <v>0.438</v>
      </c>
      <c r="AN12" s="3"/>
      <c r="AO12" s="3"/>
      <c r="AP12" s="3"/>
      <c r="AQ12" s="3"/>
      <c r="AR12" s="3"/>
      <c r="AS12" s="3"/>
    </row>
    <row r="13" spans="1:45" x14ac:dyDescent="0.2">
      <c r="A13" t="s">
        <v>4</v>
      </c>
      <c r="B13" s="3">
        <v>0.03</v>
      </c>
      <c r="C13" s="3">
        <v>0.03</v>
      </c>
      <c r="D13" s="3">
        <v>0.04</v>
      </c>
      <c r="E13" s="3">
        <v>0.05</v>
      </c>
      <c r="F13" s="3">
        <v>7.0000000000000007E-2</v>
      </c>
      <c r="G13" s="3">
        <f t="shared" si="18"/>
        <v>8.7429539498315237E-2</v>
      </c>
      <c r="H13" s="3">
        <f>H18/H14</f>
        <v>0.12192546732704906</v>
      </c>
      <c r="I13" s="3">
        <f>I18/I14</f>
        <v>0.14125028530951161</v>
      </c>
      <c r="J13" s="3">
        <v>0.153</v>
      </c>
      <c r="K13" s="3">
        <f>K18/K14</f>
        <v>0.18898215848137867</v>
      </c>
      <c r="L13" s="3">
        <f>L18/L14</f>
        <v>0.22062155329988717</v>
      </c>
      <c r="M13" s="3">
        <f>M18/M14</f>
        <v>0.22601475796930345</v>
      </c>
      <c r="N13" s="3">
        <v>0.193</v>
      </c>
      <c r="O13" s="3">
        <f>O18/O14</f>
        <v>0.23444878233677624</v>
      </c>
      <c r="P13" s="3">
        <f>P18/P14</f>
        <v>0.38169572185920358</v>
      </c>
      <c r="Q13" s="3">
        <f>Q18/Q14</f>
        <v>0.15212136808899226</v>
      </c>
      <c r="R13" s="3">
        <v>0.16600000000000001</v>
      </c>
      <c r="S13" s="3">
        <f>S18/S14</f>
        <v>0.18771366164778516</v>
      </c>
      <c r="T13" s="3">
        <f>T18/T14</f>
        <v>0.22275334249656381</v>
      </c>
      <c r="U13" s="3">
        <f>U18/U14</f>
        <v>0.23325087449736828</v>
      </c>
      <c r="V13" s="3">
        <v>0.23599999999999999</v>
      </c>
      <c r="W13" s="3">
        <f>W18/W14</f>
        <v>0.24746247464503038</v>
      </c>
      <c r="X13" s="3">
        <f>X18/X14</f>
        <v>0.28501604595879565</v>
      </c>
      <c r="Y13" s="3">
        <f>Y18/Y14</f>
        <v>0.2946424161415569</v>
      </c>
      <c r="Z13" s="3">
        <v>0.29099999999999998</v>
      </c>
      <c r="AA13" s="3">
        <f>AA18/AA14</f>
        <v>0.30251919251023984</v>
      </c>
      <c r="AB13" s="3">
        <v>0.30399999999999999</v>
      </c>
      <c r="AC13" s="3">
        <v>0.30599999999999999</v>
      </c>
      <c r="AD13" s="3">
        <v>0.30499999999999999</v>
      </c>
      <c r="AE13" s="3">
        <v>0.307</v>
      </c>
      <c r="AF13" s="3">
        <v>0.30299999999999999</v>
      </c>
      <c r="AG13" s="3">
        <v>0.3</v>
      </c>
      <c r="AN13" s="3"/>
      <c r="AO13" s="3"/>
      <c r="AP13" s="3"/>
      <c r="AQ13" s="3"/>
      <c r="AR13" s="3"/>
      <c r="AS13" s="3"/>
    </row>
    <row r="14" spans="1:45" ht="15" x14ac:dyDescent="0.25">
      <c r="A14" s="2" t="s">
        <v>0</v>
      </c>
      <c r="B14" s="4">
        <v>22764</v>
      </c>
      <c r="C14" s="6">
        <f>C16+C17+C18</f>
        <v>21789</v>
      </c>
      <c r="D14" s="6">
        <v>20925</v>
      </c>
      <c r="E14" s="6">
        <v>21038</v>
      </c>
      <c r="F14" s="6">
        <v>25017</v>
      </c>
      <c r="G14" s="4">
        <v>26710</v>
      </c>
      <c r="H14" s="6">
        <v>25036</v>
      </c>
      <c r="I14" s="6">
        <v>25411</v>
      </c>
      <c r="J14" s="6">
        <v>29352</v>
      </c>
      <c r="K14" s="6">
        <v>26287</v>
      </c>
      <c r="L14" s="6">
        <v>25713</v>
      </c>
      <c r="M14" s="6">
        <v>27104</v>
      </c>
      <c r="N14" s="6">
        <v>30828</v>
      </c>
      <c r="O14" s="6">
        <v>31659</v>
      </c>
      <c r="P14" s="6">
        <v>24333</v>
      </c>
      <c r="Q14" s="6">
        <v>36138</v>
      </c>
      <c r="R14" s="6">
        <v>36467</v>
      </c>
      <c r="S14" s="6">
        <v>34337</v>
      </c>
      <c r="T14" s="6">
        <v>32012</v>
      </c>
      <c r="U14" s="6">
        <v>30589</v>
      </c>
      <c r="V14" s="6">
        <v>26990</v>
      </c>
      <c r="W14" s="6">
        <v>29580</v>
      </c>
      <c r="X14" s="6">
        <v>30288</v>
      </c>
      <c r="Y14" s="6">
        <v>31422</v>
      </c>
      <c r="Z14" s="6">
        <v>31441</v>
      </c>
      <c r="AA14" s="6">
        <v>34180</v>
      </c>
      <c r="AB14" s="6">
        <v>34146</v>
      </c>
      <c r="AC14" s="6">
        <v>34573</v>
      </c>
      <c r="AD14" s="6">
        <v>36134</v>
      </c>
      <c r="AE14" s="6">
        <v>37619</v>
      </c>
      <c r="AF14" s="6">
        <f>113436-AE14-AD14</f>
        <v>39683</v>
      </c>
      <c r="AG14" s="6">
        <v>42850</v>
      </c>
      <c r="AI14" s="4">
        <f>SUM(AI16:AI18)*12</f>
        <v>157800</v>
      </c>
      <c r="AJ14" s="4">
        <f>SUM(AJ16:AJ18)*12</f>
        <v>172760</v>
      </c>
      <c r="AN14" s="3"/>
      <c r="AO14" s="4"/>
      <c r="AP14" s="4"/>
      <c r="AQ14" s="4"/>
      <c r="AR14" s="4"/>
      <c r="AS14" s="4"/>
    </row>
    <row r="15" spans="1:45" x14ac:dyDescent="0.2">
      <c r="A15" t="s">
        <v>2</v>
      </c>
      <c r="B15" s="1">
        <v>2781</v>
      </c>
      <c r="C15" s="5">
        <v>2719</v>
      </c>
      <c r="D15" s="5">
        <v>3352</v>
      </c>
      <c r="E15" s="5">
        <v>3498</v>
      </c>
      <c r="F15" s="5">
        <v>4650</v>
      </c>
      <c r="G15" s="5">
        <v>3070</v>
      </c>
      <c r="H15" s="5">
        <v>2348</v>
      </c>
      <c r="I15" s="5">
        <v>2614</v>
      </c>
      <c r="J15" s="5">
        <v>2019</v>
      </c>
      <c r="K15" s="5">
        <f>4993-2019</f>
        <v>2974</v>
      </c>
      <c r="L15" s="5">
        <f>7244-K15-J15</f>
        <v>2251</v>
      </c>
      <c r="M15" s="5">
        <v>2142</v>
      </c>
      <c r="N15" s="5">
        <v>2495</v>
      </c>
      <c r="O15" s="5">
        <v>2805</v>
      </c>
      <c r="P15" s="5">
        <v>4250.2000000000007</v>
      </c>
      <c r="Q15" s="5">
        <v>4819.7999999999993</v>
      </c>
      <c r="R15" s="5">
        <v>5935</v>
      </c>
      <c r="S15" s="5">
        <f>O15*1.94</f>
        <v>5441.7</v>
      </c>
      <c r="T15" s="5">
        <v>3017.5400000000009</v>
      </c>
      <c r="U15" s="5">
        <v>4282.4599999999991</v>
      </c>
      <c r="V15" s="5">
        <v>3700</v>
      </c>
      <c r="W15" s="5">
        <v>4502.6499999999996</v>
      </c>
      <c r="X15" s="5">
        <v>3957.4700000000012</v>
      </c>
      <c r="Y15" s="5">
        <v>4839.8799999999992</v>
      </c>
      <c r="Z15" s="5">
        <v>3626</v>
      </c>
      <c r="AA15" s="5">
        <v>2174</v>
      </c>
      <c r="AB15" s="5">
        <f>7300-Z15-AA15</f>
        <v>1500</v>
      </c>
      <c r="AC15" s="5">
        <f>9600-7300</f>
        <v>2300</v>
      </c>
      <c r="AD15" s="5">
        <v>1400</v>
      </c>
      <c r="AE15" s="5">
        <f>2700-AD15</f>
        <v>1300</v>
      </c>
      <c r="AF15" s="5">
        <f>4300-AD15-AE15</f>
        <v>1600</v>
      </c>
      <c r="AG15" s="1">
        <f>4300-AE15-AF15</f>
        <v>1400</v>
      </c>
      <c r="AN15" s="3"/>
      <c r="AO15" s="1"/>
      <c r="AP15" s="1"/>
      <c r="AQ15" s="1"/>
      <c r="AR15" s="1"/>
      <c r="AS15" s="1"/>
    </row>
    <row r="16" spans="1:45" x14ac:dyDescent="0.2">
      <c r="A16" t="s">
        <v>3</v>
      </c>
      <c r="B16" s="1">
        <v>9554</v>
      </c>
      <c r="C16" s="5">
        <v>8485</v>
      </c>
      <c r="D16" s="5">
        <v>8570</v>
      </c>
      <c r="E16" s="1">
        <f>E11*E14</f>
        <v>8415.2000000000007</v>
      </c>
      <c r="F16" s="1">
        <f>F11*F14</f>
        <v>8755.9499999999989</v>
      </c>
      <c r="G16" s="1">
        <v>8520.8680000000004</v>
      </c>
      <c r="H16" s="1">
        <v>8285.2610000000041</v>
      </c>
      <c r="I16" s="5">
        <v>7644.4709999999977</v>
      </c>
      <c r="J16" s="1">
        <f>J11*J14</f>
        <v>8365.32</v>
      </c>
      <c r="K16" s="5">
        <v>6100.8200000000015</v>
      </c>
      <c r="L16" s="5">
        <v>7498.9</v>
      </c>
      <c r="M16" s="5">
        <v>7534.9920000000038</v>
      </c>
      <c r="N16" s="1">
        <f>N11*N14</f>
        <v>8261.9040000000005</v>
      </c>
      <c r="O16" s="5">
        <v>7422.3329999999987</v>
      </c>
      <c r="P16" s="5">
        <v>4892.103000000001</v>
      </c>
      <c r="Q16" s="5">
        <v>11023.866000000004</v>
      </c>
      <c r="R16" s="5">
        <f>R11*R14</f>
        <v>9991.9580000000005</v>
      </c>
      <c r="S16" s="5">
        <v>8912.7100000000009</v>
      </c>
      <c r="T16" s="5">
        <v>8341.5719999999983</v>
      </c>
      <c r="U16" s="5">
        <v>7439.0600000000031</v>
      </c>
      <c r="V16" s="5">
        <f>V11*V14</f>
        <v>6639.54</v>
      </c>
      <c r="W16" s="5">
        <v>6710.9799999999987</v>
      </c>
      <c r="X16" s="5">
        <v>7321.6839999999984</v>
      </c>
      <c r="Y16" s="5">
        <v>7596.7159999999994</v>
      </c>
      <c r="Z16" s="5">
        <f>Z14*Z11</f>
        <v>6791.2560000000003</v>
      </c>
      <c r="AA16" s="5">
        <v>6726.6699999999992</v>
      </c>
      <c r="AB16" s="5">
        <f>AB11*AB14</f>
        <v>7409.6819999999998</v>
      </c>
      <c r="AC16" s="5">
        <f>AC11*AC14</f>
        <v>7744.3519999999999</v>
      </c>
      <c r="AD16" s="5">
        <f>AD11*AD14</f>
        <v>8310.82</v>
      </c>
      <c r="AE16" s="5">
        <f>AE11*AE14</f>
        <v>8464.2749999999996</v>
      </c>
      <c r="AF16" s="5">
        <f>AF11*AF14</f>
        <v>9127.09</v>
      </c>
      <c r="AG16" s="1">
        <f>AG11*AG14</f>
        <v>10241.15</v>
      </c>
      <c r="AI16" s="1">
        <f>AI23*AI30</f>
        <v>2828</v>
      </c>
      <c r="AJ16" s="1">
        <f t="shared" ref="AI16:AJ18" si="19">AJ23*AJ30</f>
        <v>3000</v>
      </c>
      <c r="AL16" s="13">
        <f>Z16+AA16+AB16+AC16</f>
        <v>28671.96</v>
      </c>
      <c r="AM16" s="13">
        <f>AD16+AE16+AF16+AF16</f>
        <v>35029.275000000001</v>
      </c>
      <c r="AN16" s="13">
        <f>AJ16*12</f>
        <v>36000</v>
      </c>
      <c r="AP16" s="1"/>
      <c r="AQ16" s="1"/>
      <c r="AR16" s="1"/>
      <c r="AS16" s="1"/>
    </row>
    <row r="17" spans="1:45" x14ac:dyDescent="0.2">
      <c r="A17" t="s">
        <v>5</v>
      </c>
      <c r="B17" s="1">
        <f>11777+814</f>
        <v>12591</v>
      </c>
      <c r="C17" s="5">
        <v>12358</v>
      </c>
      <c r="D17" s="5">
        <v>11068</v>
      </c>
      <c r="E17" s="1">
        <f>E12*E14</f>
        <v>11570.900000000001</v>
      </c>
      <c r="F17" s="1">
        <f>F12*F14</f>
        <v>14509.859999999999</v>
      </c>
      <c r="G17" s="1">
        <v>15853.889000000001</v>
      </c>
      <c r="H17" s="1">
        <v>13698.212999999998</v>
      </c>
      <c r="I17" s="5">
        <v>14177.217999999993</v>
      </c>
      <c r="J17" s="1">
        <f>J12*J14</f>
        <v>16495.824000000001</v>
      </c>
      <c r="K17" s="5">
        <v>15218.405999999995</v>
      </c>
      <c r="L17" s="5">
        <v>12541.258000000009</v>
      </c>
      <c r="M17" s="5">
        <v>13443.103999999999</v>
      </c>
      <c r="N17" s="1">
        <f>N12*N14</f>
        <v>16616.292000000001</v>
      </c>
      <c r="O17" s="5">
        <v>16814.253000000004</v>
      </c>
      <c r="P17" s="5">
        <v>10153.094999999994</v>
      </c>
      <c r="Q17" s="5">
        <v>19124.940000000002</v>
      </c>
      <c r="R17" s="5">
        <f>R12*R14</f>
        <v>20020.383000000002</v>
      </c>
      <c r="S17" s="5">
        <v>18072.169000000002</v>
      </c>
      <c r="T17" s="5">
        <v>15988.663999999997</v>
      </c>
      <c r="U17" s="5">
        <v>14889.168999999994</v>
      </c>
      <c r="V17" s="5">
        <f>V12*V14</f>
        <v>13306.07</v>
      </c>
      <c r="W17" s="5">
        <v>14922.36</v>
      </c>
      <c r="X17" s="5">
        <v>13463.409999999996</v>
      </c>
      <c r="Y17" s="5">
        <v>13544.920000000006</v>
      </c>
      <c r="Z17" s="5">
        <f>Z14*Z12</f>
        <v>14525.742</v>
      </c>
      <c r="AA17" s="5">
        <v>16250.507</v>
      </c>
      <c r="AB17" s="5">
        <f>AB12*AB14</f>
        <v>15433.992</v>
      </c>
      <c r="AC17" s="5">
        <f>AC12*AC14</f>
        <v>15315.839</v>
      </c>
      <c r="AD17" s="5">
        <f>AD12*AD14</f>
        <v>15971.228000000001</v>
      </c>
      <c r="AE17" s="5">
        <f>AE12*AE14</f>
        <v>16778.074000000001</v>
      </c>
      <c r="AF17" s="5">
        <f>AF12*AF14</f>
        <v>17619.252</v>
      </c>
      <c r="AG17" s="1">
        <f>AG12*AG14</f>
        <v>18768.3</v>
      </c>
      <c r="AI17" s="1">
        <f t="shared" si="19"/>
        <v>5642</v>
      </c>
      <c r="AJ17" s="1">
        <f t="shared" si="19"/>
        <v>6030</v>
      </c>
      <c r="AL17" s="13">
        <f>Z17+AA17+AB17+AC17</f>
        <v>61526.080000000002</v>
      </c>
      <c r="AM17" s="13">
        <f>AD17+AE17+AF17+AF17</f>
        <v>67987.806000000011</v>
      </c>
      <c r="AN17" s="13">
        <f>AJ17*12</f>
        <v>72360</v>
      </c>
      <c r="AP17" s="1"/>
      <c r="AQ17" s="1"/>
      <c r="AR17" s="1"/>
      <c r="AS17" s="1"/>
    </row>
    <row r="18" spans="1:45" x14ac:dyDescent="0.2">
      <c r="A18" t="s">
        <v>4</v>
      </c>
      <c r="B18" s="1">
        <v>606</v>
      </c>
      <c r="C18" s="5">
        <v>946</v>
      </c>
      <c r="D18" s="5">
        <v>1248</v>
      </c>
      <c r="E18" s="1">
        <f>E13*E14</f>
        <v>1051.9000000000001</v>
      </c>
      <c r="F18" s="1">
        <f>F13*F14</f>
        <v>1751.19</v>
      </c>
      <c r="G18" s="1">
        <v>2335.2429999999999</v>
      </c>
      <c r="H18" s="1">
        <v>3052.5260000000003</v>
      </c>
      <c r="I18" s="5">
        <v>3589.3109999999997</v>
      </c>
      <c r="J18" s="1">
        <f>J13*J14</f>
        <v>4490.8559999999998</v>
      </c>
      <c r="K18" s="5">
        <v>4967.7740000000013</v>
      </c>
      <c r="L18" s="5">
        <v>5672.8419999999987</v>
      </c>
      <c r="M18" s="5">
        <v>6125.9040000000005</v>
      </c>
      <c r="N18" s="1">
        <f>N13*N14</f>
        <v>5949.8040000000001</v>
      </c>
      <c r="O18" s="5">
        <v>7422.4139999999989</v>
      </c>
      <c r="P18" s="5">
        <v>9287.8020000000015</v>
      </c>
      <c r="Q18" s="5">
        <v>5497.3620000000028</v>
      </c>
      <c r="R18" s="5">
        <v>6370</v>
      </c>
      <c r="S18" s="5">
        <v>6445.5239999999994</v>
      </c>
      <c r="T18" s="5">
        <v>7130.7800000000007</v>
      </c>
      <c r="U18" s="5">
        <v>7134.9109999999982</v>
      </c>
      <c r="V18" s="5">
        <v>6370</v>
      </c>
      <c r="W18" s="5">
        <v>7319.9399999999987</v>
      </c>
      <c r="X18" s="5">
        <v>8632.5660000000025</v>
      </c>
      <c r="Y18" s="5">
        <v>9258.2540000000008</v>
      </c>
      <c r="Z18" s="5">
        <f>Z14*Z13</f>
        <v>9149.3310000000001</v>
      </c>
      <c r="AA18" s="5">
        <v>10340.105999999998</v>
      </c>
      <c r="AB18" s="5">
        <f>AB13*AB14</f>
        <v>10380.384</v>
      </c>
      <c r="AC18" s="5">
        <f>AC13*AC14</f>
        <v>10579.338</v>
      </c>
      <c r="AD18" s="5">
        <f>AD13*AD14</f>
        <v>11020.869999999999</v>
      </c>
      <c r="AE18" s="5">
        <f>AE13*AE14</f>
        <v>11549.032999999999</v>
      </c>
      <c r="AF18" s="5">
        <f>AF13*AF14</f>
        <v>12023.949000000001</v>
      </c>
      <c r="AG18" s="1">
        <f>AG13*AG14</f>
        <v>12855</v>
      </c>
      <c r="AI18" s="1">
        <f t="shared" si="19"/>
        <v>4680</v>
      </c>
      <c r="AJ18" s="1">
        <f>(AI25*2+AJ25)/3*AJ32</f>
        <v>5366.6666666666661</v>
      </c>
      <c r="AL18" s="13">
        <f>Z18+AA18+AB18+AC18</f>
        <v>40449.159</v>
      </c>
      <c r="AM18" s="13">
        <f>AD18+AE18+AF18+AF18</f>
        <v>46617.800999999999</v>
      </c>
      <c r="AN18" s="13">
        <f>AJ18*12</f>
        <v>64399.999999999993</v>
      </c>
      <c r="AP18" s="1"/>
      <c r="AQ18" s="1"/>
      <c r="AR18" s="1"/>
      <c r="AS18" s="1"/>
    </row>
    <row r="19" spans="1:45" x14ac:dyDescent="0.2">
      <c r="B19" s="1"/>
      <c r="C19" s="5"/>
      <c r="AI19" s="19">
        <f>AA16/W16</f>
        <v>1.0023379595826543</v>
      </c>
      <c r="AJ19" s="19">
        <f>AA23/W23</f>
        <v>0.88644067796610171</v>
      </c>
      <c r="AN19" s="3"/>
      <c r="AO19" s="1"/>
      <c r="AP19" s="1"/>
      <c r="AQ19" s="1"/>
      <c r="AR19" s="1"/>
      <c r="AS19" s="1"/>
    </row>
    <row r="20" spans="1:45" ht="15" x14ac:dyDescent="0.25">
      <c r="A20" s="2" t="s">
        <v>9</v>
      </c>
      <c r="B20" s="1">
        <v>4007</v>
      </c>
      <c r="C20" s="5"/>
      <c r="AI20" s="19">
        <f>AA17/W17</f>
        <v>1.0890038170905942</v>
      </c>
      <c r="AJ20" s="19">
        <f>AA24/W24</f>
        <v>0.91437308868501532</v>
      </c>
      <c r="AN20" s="3"/>
      <c r="AO20" s="1"/>
      <c r="AP20" s="1"/>
      <c r="AQ20" s="1"/>
      <c r="AR20" s="1"/>
      <c r="AS20" s="1"/>
    </row>
    <row r="21" spans="1:45" ht="15" x14ac:dyDescent="0.25">
      <c r="A21" s="2" t="s">
        <v>1</v>
      </c>
      <c r="B21" s="1">
        <v>808</v>
      </c>
      <c r="C21" s="5"/>
      <c r="AN21" s="1"/>
      <c r="AO21" s="1"/>
      <c r="AP21" s="1"/>
      <c r="AQ21" s="1"/>
      <c r="AR21" s="1"/>
      <c r="AS21" s="1"/>
    </row>
    <row r="22" spans="1:45" ht="15" x14ac:dyDescent="0.25">
      <c r="A22" s="2" t="s">
        <v>6</v>
      </c>
      <c r="B22" s="4"/>
      <c r="C22" s="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I22" s="2"/>
    </row>
    <row r="23" spans="1:45" x14ac:dyDescent="0.2">
      <c r="A23" t="s">
        <v>3</v>
      </c>
      <c r="B23" s="1">
        <v>1071</v>
      </c>
      <c r="C23" s="5">
        <v>1058</v>
      </c>
      <c r="D23">
        <v>1038</v>
      </c>
      <c r="E23">
        <v>1032</v>
      </c>
      <c r="F23">
        <v>1023</v>
      </c>
      <c r="G23">
        <f>2449-838-600</f>
        <v>1011</v>
      </c>
      <c r="H23">
        <f>2706-H24-H25</f>
        <v>1011</v>
      </c>
      <c r="I23">
        <v>996</v>
      </c>
      <c r="J23">
        <v>1009</v>
      </c>
      <c r="K23">
        <v>971</v>
      </c>
      <c r="L23">
        <v>962</v>
      </c>
      <c r="M23">
        <v>913</v>
      </c>
      <c r="N23">
        <v>909</v>
      </c>
      <c r="O23">
        <v>936</v>
      </c>
      <c r="P23">
        <f>950+50</f>
        <v>1000</v>
      </c>
      <c r="Q23">
        <f>970+50+10</f>
        <v>1030</v>
      </c>
      <c r="R23">
        <f>985+29</f>
        <v>1014</v>
      </c>
      <c r="S23">
        <v>1067</v>
      </c>
      <c r="T23">
        <v>1116</v>
      </c>
      <c r="U23">
        <v>1190</v>
      </c>
      <c r="V23">
        <f>1088+100</f>
        <v>1188</v>
      </c>
      <c r="W23">
        <v>1180</v>
      </c>
      <c r="X23">
        <v>1165</v>
      </c>
      <c r="Y23">
        <v>1078</v>
      </c>
      <c r="Z23">
        <v>1071</v>
      </c>
      <c r="AA23">
        <v>1046</v>
      </c>
      <c r="AB23">
        <v>1023</v>
      </c>
      <c r="AC23">
        <v>1021</v>
      </c>
      <c r="AD23">
        <f>932+85</f>
        <v>1017</v>
      </c>
      <c r="AE23">
        <v>1015</v>
      </c>
      <c r="AF23">
        <v>1013</v>
      </c>
      <c r="AG23">
        <v>1012</v>
      </c>
      <c r="AI23">
        <v>1010</v>
      </c>
      <c r="AJ23">
        <v>1000</v>
      </c>
      <c r="AK23">
        <v>1012</v>
      </c>
    </row>
    <row r="24" spans="1:45" x14ac:dyDescent="0.2">
      <c r="A24" t="s">
        <v>5</v>
      </c>
      <c r="B24" s="1">
        <v>711</v>
      </c>
      <c r="C24" s="5">
        <v>724</v>
      </c>
      <c r="D24">
        <v>737</v>
      </c>
      <c r="E24">
        <v>750</v>
      </c>
      <c r="F24">
        <v>774</v>
      </c>
      <c r="G24">
        <v>838</v>
      </c>
      <c r="H24">
        <v>907</v>
      </c>
      <c r="I24">
        <v>1018</v>
      </c>
      <c r="J24">
        <v>1030</v>
      </c>
      <c r="K24">
        <v>1044</v>
      </c>
      <c r="L24">
        <v>1124</v>
      </c>
      <c r="M24">
        <v>1427</v>
      </c>
      <c r="N24">
        <v>1553</v>
      </c>
      <c r="O24">
        <v>1731</v>
      </c>
      <c r="P24">
        <v>1781</v>
      </c>
      <c r="Q24">
        <v>1992</v>
      </c>
      <c r="R24">
        <f>2077+44</f>
        <v>2121</v>
      </c>
      <c r="S24">
        <v>2131</v>
      </c>
      <c r="T24">
        <v>2246</v>
      </c>
      <c r="U24">
        <v>2284</v>
      </c>
      <c r="V24">
        <v>2291</v>
      </c>
      <c r="W24">
        <v>2289</v>
      </c>
      <c r="X24">
        <v>2286</v>
      </c>
      <c r="Y24">
        <v>2190</v>
      </c>
      <c r="Z24">
        <v>2184</v>
      </c>
      <c r="AA24">
        <v>2093</v>
      </c>
      <c r="AB24">
        <v>2030</v>
      </c>
      <c r="AC24">
        <v>2026</v>
      </c>
      <c r="AD24">
        <v>2027</v>
      </c>
      <c r="AE24">
        <v>2023</v>
      </c>
      <c r="AF24">
        <v>2018</v>
      </c>
      <c r="AG24">
        <v>2008</v>
      </c>
      <c r="AI24">
        <v>2015</v>
      </c>
      <c r="AJ24">
        <v>2010</v>
      </c>
      <c r="AK24">
        <v>2017</v>
      </c>
    </row>
    <row r="25" spans="1:45" x14ac:dyDescent="0.2">
      <c r="A25" t="s">
        <v>4</v>
      </c>
      <c r="B25" s="1">
        <v>355</v>
      </c>
      <c r="C25" s="5">
        <v>384</v>
      </c>
      <c r="D25">
        <v>409</v>
      </c>
      <c r="E25">
        <v>405</v>
      </c>
      <c r="F25">
        <v>469</v>
      </c>
      <c r="G25">
        <v>600</v>
      </c>
      <c r="H25">
        <v>788</v>
      </c>
      <c r="I25">
        <v>1008</v>
      </c>
      <c r="J25">
        <v>1158</v>
      </c>
      <c r="K25">
        <v>1486</v>
      </c>
      <c r="L25">
        <v>1623</v>
      </c>
      <c r="M25">
        <v>1719</v>
      </c>
      <c r="N25">
        <v>1767</v>
      </c>
      <c r="O25">
        <v>1888</v>
      </c>
      <c r="P25">
        <v>1934</v>
      </c>
      <c r="Q25">
        <v>1992</v>
      </c>
      <c r="R25">
        <v>2127</v>
      </c>
      <c r="S25">
        <v>1889</v>
      </c>
      <c r="T25">
        <v>1727</v>
      </c>
      <c r="U25">
        <v>1728</v>
      </c>
      <c r="V25">
        <v>1710</v>
      </c>
      <c r="W25">
        <v>1706</v>
      </c>
      <c r="X25">
        <v>1706</v>
      </c>
      <c r="Y25">
        <v>1698</v>
      </c>
      <c r="Z25">
        <v>1696</v>
      </c>
      <c r="AA25">
        <v>1701</v>
      </c>
      <c r="AB25">
        <v>1726</v>
      </c>
      <c r="AC25">
        <v>1770</v>
      </c>
      <c r="AD25">
        <v>2002</v>
      </c>
      <c r="AE25">
        <v>2184</v>
      </c>
      <c r="AF25">
        <v>2290</v>
      </c>
      <c r="AG25">
        <v>2559</v>
      </c>
      <c r="AI25">
        <v>2600</v>
      </c>
      <c r="AJ25">
        <v>4000</v>
      </c>
      <c r="AK25">
        <v>2482</v>
      </c>
    </row>
    <row r="26" spans="1:45" x14ac:dyDescent="0.2">
      <c r="A26" t="s">
        <v>35</v>
      </c>
      <c r="R26">
        <v>211</v>
      </c>
      <c r="S26">
        <v>365</v>
      </c>
      <c r="T26">
        <v>529</v>
      </c>
      <c r="U26">
        <v>500</v>
      </c>
      <c r="V26">
        <v>510</v>
      </c>
      <c r="W26">
        <v>537</v>
      </c>
      <c r="X26">
        <v>540</v>
      </c>
      <c r="Y26">
        <v>527</v>
      </c>
      <c r="Z26">
        <v>526</v>
      </c>
      <c r="AA26">
        <v>481</v>
      </c>
      <c r="AB26">
        <v>326</v>
      </c>
      <c r="AC26">
        <v>326</v>
      </c>
      <c r="AD26">
        <v>326</v>
      </c>
      <c r="AE26">
        <v>326</v>
      </c>
      <c r="AF26">
        <v>347</v>
      </c>
      <c r="AG26">
        <v>382</v>
      </c>
      <c r="AK26">
        <v>371</v>
      </c>
    </row>
    <row r="27" spans="1:45" x14ac:dyDescent="0.2">
      <c r="A27" t="s">
        <v>36</v>
      </c>
      <c r="R27">
        <v>24</v>
      </c>
      <c r="S27">
        <v>53</v>
      </c>
      <c r="T27">
        <v>71</v>
      </c>
      <c r="U27">
        <v>64</v>
      </c>
      <c r="V27">
        <v>64</v>
      </c>
      <c r="W27">
        <v>66</v>
      </c>
      <c r="X27">
        <v>67</v>
      </c>
      <c r="Y27">
        <v>64</v>
      </c>
      <c r="Z27">
        <v>64</v>
      </c>
      <c r="AA27">
        <v>64</v>
      </c>
      <c r="AB27">
        <v>62</v>
      </c>
      <c r="AC27">
        <v>62</v>
      </c>
      <c r="AD27">
        <v>62</v>
      </c>
      <c r="AE27">
        <v>62</v>
      </c>
      <c r="AF27">
        <v>67</v>
      </c>
      <c r="AG27">
        <v>83</v>
      </c>
      <c r="AK27">
        <v>80</v>
      </c>
    </row>
    <row r="28" spans="1:45" x14ac:dyDescent="0.2">
      <c r="A28" t="s">
        <v>37</v>
      </c>
      <c r="U28">
        <v>5</v>
      </c>
      <c r="Y28">
        <v>38</v>
      </c>
      <c r="Z28">
        <v>55</v>
      </c>
      <c r="AA28">
        <v>61</v>
      </c>
      <c r="AB28">
        <v>76</v>
      </c>
      <c r="AC28">
        <v>87</v>
      </c>
      <c r="AD28">
        <v>95</v>
      </c>
      <c r="AE28">
        <v>115</v>
      </c>
      <c r="AF28">
        <v>144</v>
      </c>
      <c r="AG28">
        <v>181</v>
      </c>
      <c r="AK28">
        <v>168</v>
      </c>
    </row>
    <row r="30" spans="1:45" x14ac:dyDescent="0.2">
      <c r="A30" t="s">
        <v>38</v>
      </c>
      <c r="B30" s="7">
        <f>B16/B23/3</f>
        <v>2.9735449735449735</v>
      </c>
      <c r="C30" s="7">
        <f t="shared" ref="C30:AG30" si="20">C16/C23/3</f>
        <v>2.6732829237555134</v>
      </c>
      <c r="D30" s="7">
        <f t="shared" si="20"/>
        <v>2.7520873474630698</v>
      </c>
      <c r="E30" s="7">
        <f t="shared" si="20"/>
        <v>2.7180878552971581</v>
      </c>
      <c r="F30" s="7">
        <f t="shared" si="20"/>
        <v>2.853030303030303</v>
      </c>
      <c r="G30" s="7">
        <f t="shared" si="20"/>
        <v>2.8093860863831193</v>
      </c>
      <c r="H30" s="7">
        <f t="shared" si="20"/>
        <v>2.7317049126277624</v>
      </c>
      <c r="I30" s="7">
        <f t="shared" si="20"/>
        <v>2.5583905622489951</v>
      </c>
      <c r="J30" s="7">
        <f t="shared" si="20"/>
        <v>2.7635678889990092</v>
      </c>
      <c r="K30" s="7">
        <f t="shared" si="20"/>
        <v>2.0943426021283904</v>
      </c>
      <c r="L30" s="7">
        <f t="shared" si="20"/>
        <v>2.5983714483714482</v>
      </c>
      <c r="M30" s="7">
        <f t="shared" si="20"/>
        <v>2.7510010952902531</v>
      </c>
      <c r="N30" s="7">
        <f t="shared" si="20"/>
        <v>3.0296677667766776</v>
      </c>
      <c r="O30" s="7">
        <f t="shared" si="20"/>
        <v>2.6432809829059827</v>
      </c>
      <c r="P30" s="7">
        <f t="shared" si="20"/>
        <v>1.6307010000000002</v>
      </c>
      <c r="Q30" s="7">
        <f t="shared" si="20"/>
        <v>3.5675941747572826</v>
      </c>
      <c r="R30" s="7">
        <f t="shared" si="20"/>
        <v>3.2846673241288626</v>
      </c>
      <c r="S30" s="7">
        <f t="shared" si="20"/>
        <v>2.7843517650734149</v>
      </c>
      <c r="T30" s="7">
        <f t="shared" si="20"/>
        <v>2.4915089605734759</v>
      </c>
      <c r="U30" s="7">
        <f t="shared" si="20"/>
        <v>2.0837703081232504</v>
      </c>
      <c r="V30" s="7">
        <f t="shared" si="20"/>
        <v>1.8629461279461281</v>
      </c>
      <c r="W30" s="28">
        <f t="shared" si="20"/>
        <v>1.8957570621468924</v>
      </c>
      <c r="X30" s="7">
        <f t="shared" si="20"/>
        <v>2.0949024320457794</v>
      </c>
      <c r="Y30" s="7">
        <f t="shared" si="20"/>
        <v>2.349015460729746</v>
      </c>
      <c r="Z30" s="7">
        <f t="shared" si="20"/>
        <v>2.1136806722689077</v>
      </c>
      <c r="AA30" s="28">
        <f t="shared" si="20"/>
        <v>2.1436169534735496</v>
      </c>
      <c r="AB30" s="28">
        <f t="shared" si="20"/>
        <v>2.4143636363636363</v>
      </c>
      <c r="AC30" s="28">
        <f t="shared" si="20"/>
        <v>2.5283552073130919</v>
      </c>
      <c r="AD30" s="28">
        <f t="shared" si="20"/>
        <v>2.7239659128154705</v>
      </c>
      <c r="AE30" s="28">
        <f t="shared" si="20"/>
        <v>2.7797290640394086</v>
      </c>
      <c r="AF30" s="28">
        <f t="shared" si="20"/>
        <v>3.0033201711089177</v>
      </c>
      <c r="AG30" s="28">
        <f t="shared" si="20"/>
        <v>3.3732378129117255</v>
      </c>
      <c r="AI30">
        <v>2.8</v>
      </c>
      <c r="AJ30">
        <v>3</v>
      </c>
      <c r="AL30">
        <f>AA30/W30</f>
        <v>1.1307445433150398</v>
      </c>
    </row>
    <row r="31" spans="1:45" x14ac:dyDescent="0.2">
      <c r="A31" t="s">
        <v>39</v>
      </c>
      <c r="B31" s="7">
        <f>B17/B24/3</f>
        <v>5.9029535864978904</v>
      </c>
      <c r="C31" s="7">
        <f t="shared" ref="C31:AG31" si="21">C17/C24/3</f>
        <v>5.6896869244935546</v>
      </c>
      <c r="D31" s="7">
        <f t="shared" si="21"/>
        <v>5.0058796924468565</v>
      </c>
      <c r="E31" s="7">
        <f t="shared" si="21"/>
        <v>5.1426222222222231</v>
      </c>
      <c r="F31" s="7">
        <f t="shared" si="21"/>
        <v>6.2488630490956067</v>
      </c>
      <c r="G31" s="7">
        <f t="shared" si="21"/>
        <v>6.3062406523468582</v>
      </c>
      <c r="H31" s="7">
        <f t="shared" si="21"/>
        <v>5.034256890848952</v>
      </c>
      <c r="I31" s="7">
        <f t="shared" si="21"/>
        <v>4.6421800916830369</v>
      </c>
      <c r="J31" s="7">
        <f t="shared" si="21"/>
        <v>5.3384543689320383</v>
      </c>
      <c r="K31" s="7">
        <f t="shared" si="21"/>
        <v>4.8590057471264352</v>
      </c>
      <c r="L31" s="7">
        <f t="shared" si="21"/>
        <v>3.7192342823250324</v>
      </c>
      <c r="M31" s="7">
        <f t="shared" si="21"/>
        <v>3.1401784629759404</v>
      </c>
      <c r="N31" s="7">
        <f t="shared" si="21"/>
        <v>3.5664932388924666</v>
      </c>
      <c r="O31" s="7">
        <f t="shared" si="21"/>
        <v>3.2378688619295217</v>
      </c>
      <c r="P31" s="7">
        <f t="shared" si="21"/>
        <v>1.9002610892756866</v>
      </c>
      <c r="Q31" s="7">
        <f t="shared" si="21"/>
        <v>3.2002911646586352</v>
      </c>
      <c r="R31" s="7">
        <f t="shared" si="21"/>
        <v>3.1463748231966058</v>
      </c>
      <c r="S31" s="7">
        <f t="shared" si="21"/>
        <v>2.8268682934459566</v>
      </c>
      <c r="T31" s="7">
        <f t="shared" si="21"/>
        <v>2.3729094686850694</v>
      </c>
      <c r="U31" s="7">
        <f t="shared" si="21"/>
        <v>2.1729668709865724</v>
      </c>
      <c r="V31" s="7">
        <f t="shared" si="21"/>
        <v>1.9359915611814345</v>
      </c>
      <c r="W31" s="28">
        <f t="shared" si="21"/>
        <v>2.1730537352555701</v>
      </c>
      <c r="X31" s="7">
        <f t="shared" si="21"/>
        <v>1.9631685622630499</v>
      </c>
      <c r="Y31" s="7">
        <f t="shared" si="21"/>
        <v>2.0616316590563173</v>
      </c>
      <c r="Z31" s="7">
        <f t="shared" si="21"/>
        <v>2.21699358974359</v>
      </c>
      <c r="AA31" s="28">
        <f t="shared" si="21"/>
        <v>2.5880724637681158</v>
      </c>
      <c r="AB31" s="28">
        <f t="shared" si="21"/>
        <v>2.5343172413793105</v>
      </c>
      <c r="AC31" s="28">
        <f t="shared" si="21"/>
        <v>2.5198813754524516</v>
      </c>
      <c r="AD31" s="28">
        <f t="shared" si="21"/>
        <v>2.6264147344186815</v>
      </c>
      <c r="AE31" s="28">
        <f t="shared" si="21"/>
        <v>2.7645533036744112</v>
      </c>
      <c r="AF31" s="28">
        <f t="shared" si="21"/>
        <v>2.910348860257681</v>
      </c>
      <c r="AG31" s="28">
        <f t="shared" si="21"/>
        <v>3.1155876494023906</v>
      </c>
      <c r="AI31">
        <v>2.8</v>
      </c>
      <c r="AJ31">
        <v>3</v>
      </c>
      <c r="AL31">
        <f>AA31/W31</f>
        <v>1.190984107654262</v>
      </c>
    </row>
    <row r="32" spans="1:45" x14ac:dyDescent="0.2">
      <c r="A32" t="s">
        <v>40</v>
      </c>
      <c r="B32" s="7">
        <f>B18/B25/3</f>
        <v>0.56901408450704227</v>
      </c>
      <c r="C32" s="7">
        <f t="shared" ref="C32:AE32" si="22">C18/C25/3</f>
        <v>0.82118055555555547</v>
      </c>
      <c r="D32" s="7">
        <f t="shared" si="22"/>
        <v>1.0171149144254279</v>
      </c>
      <c r="E32" s="7">
        <f t="shared" si="22"/>
        <v>0.86576131687242797</v>
      </c>
      <c r="F32" s="7">
        <f t="shared" si="22"/>
        <v>1.2446268656716419</v>
      </c>
      <c r="G32" s="7">
        <f t="shared" si="22"/>
        <v>1.2973572222222221</v>
      </c>
      <c r="H32" s="7">
        <f t="shared" si="22"/>
        <v>1.2912546531302878</v>
      </c>
      <c r="I32" s="7">
        <f t="shared" si="22"/>
        <v>1.1869414682539683</v>
      </c>
      <c r="J32" s="7">
        <f t="shared" si="22"/>
        <v>1.292704663212435</v>
      </c>
      <c r="K32" s="7">
        <f t="shared" si="22"/>
        <v>1.1143503813369227</v>
      </c>
      <c r="L32" s="7">
        <f t="shared" si="22"/>
        <v>1.1650938591086464</v>
      </c>
      <c r="M32" s="7">
        <f t="shared" si="22"/>
        <v>1.1878813263525305</v>
      </c>
      <c r="N32" s="7">
        <f t="shared" si="22"/>
        <v>1.1223927560837577</v>
      </c>
      <c r="O32" s="7">
        <f t="shared" si="22"/>
        <v>1.3104544491525421</v>
      </c>
      <c r="P32" s="7">
        <f t="shared" si="22"/>
        <v>1.6007931747673219</v>
      </c>
      <c r="Q32" s="7">
        <f t="shared" si="22"/>
        <v>0.91990662650602451</v>
      </c>
      <c r="R32" s="7">
        <f t="shared" si="22"/>
        <v>0.99827613226766954</v>
      </c>
      <c r="S32" s="7">
        <f t="shared" si="22"/>
        <v>1.1373785071466382</v>
      </c>
      <c r="T32" s="7">
        <f t="shared" si="22"/>
        <v>1.3763327542945378</v>
      </c>
      <c r="U32" s="7">
        <f t="shared" si="22"/>
        <v>1.3763331404320984</v>
      </c>
      <c r="V32" s="7">
        <f t="shared" si="22"/>
        <v>1.2417153996101364</v>
      </c>
      <c r="W32" s="28">
        <f t="shared" si="22"/>
        <v>1.4302344665885107</v>
      </c>
      <c r="X32" s="7">
        <f t="shared" si="22"/>
        <v>1.6867069167643616</v>
      </c>
      <c r="Y32" s="7">
        <f t="shared" si="22"/>
        <v>1.8174821358460935</v>
      </c>
      <c r="Z32" s="7">
        <f t="shared" si="22"/>
        <v>1.7982175707547172</v>
      </c>
      <c r="AA32" s="28">
        <f t="shared" si="22"/>
        <v>2.0262798353909459</v>
      </c>
      <c r="AB32" s="28">
        <f t="shared" si="22"/>
        <v>2.0047091541135571</v>
      </c>
      <c r="AC32" s="28">
        <f t="shared" si="22"/>
        <v>1.9923423728813558</v>
      </c>
      <c r="AD32" s="28">
        <f t="shared" si="22"/>
        <v>1.8349766899766899</v>
      </c>
      <c r="AE32" s="28">
        <f t="shared" si="22"/>
        <v>1.762672924297924</v>
      </c>
      <c r="AF32" s="28">
        <f>AF18/AF25/3</f>
        <v>1.7502109170305677</v>
      </c>
      <c r="AG32" s="28">
        <f>AG18/AG25/3</f>
        <v>1.6744822196170379</v>
      </c>
      <c r="AI32">
        <v>1.8</v>
      </c>
      <c r="AJ32">
        <v>1.75</v>
      </c>
    </row>
    <row r="33" spans="23:31" x14ac:dyDescent="0.2">
      <c r="W33" s="29"/>
      <c r="AA33" s="29"/>
      <c r="AB33" s="29"/>
      <c r="AC33" s="29"/>
      <c r="AD33" s="29"/>
      <c r="AE33" s="29"/>
    </row>
    <row r="138" spans="37:38" x14ac:dyDescent="0.2">
      <c r="AK138" t="s">
        <v>73</v>
      </c>
      <c r="AL138">
        <v>2.5</v>
      </c>
    </row>
    <row r="139" spans="37:38" x14ac:dyDescent="0.2">
      <c r="AK139" t="s">
        <v>76</v>
      </c>
      <c r="AL139">
        <v>3</v>
      </c>
    </row>
    <row r="140" spans="37:38" x14ac:dyDescent="0.2">
      <c r="AK140" t="s">
        <v>74</v>
      </c>
      <c r="AL140">
        <v>4</v>
      </c>
    </row>
    <row r="141" spans="37:38" x14ac:dyDescent="0.2">
      <c r="AK141" t="s">
        <v>75</v>
      </c>
      <c r="AL141">
        <v>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Kinh doanh</vt:lpstr>
      <vt:lpstr>Diễn biến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2026-02-12T10:17:06Z</dcterms:modified>
</cp:coreProperties>
</file>